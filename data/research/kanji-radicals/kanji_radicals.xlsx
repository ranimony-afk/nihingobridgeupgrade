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adicals" sheetId="1" state="visible" r:id="rId3"/>
    <sheet name="Kanji" sheetId="2" state="visible" r:id="rId4"/>
    <sheet name="Notes" sheetId="3" state="visible" r:id="rId5"/>
  </sheets>
  <definedNames>
    <definedName function="false" hidden="true" localSheetId="1" name="_xlnm._FilterDatabase" vbProcedure="false">Kanji!$A$1:$G$2502</definedName>
    <definedName function="false" hidden="true" localSheetId="0" name="_xlnm._FilterDatabase" vbProcedure="false">Radicals!$A$1:$J$215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<sst xmlns="http://schemas.openxmlformats.org/spreadsheetml/2006/main" count="3849" uniqueCount="3470">
  <si>
    <t xml:space="preserve">No.</t>
  </si>
  <si>
    <t xml:space="preserve">Radical</t>
  </si>
  <si>
    <t xml:space="preserve">Variant forms</t>
  </si>
  <si>
    <t xml:space="preserve">Strokes</t>
  </si>
  <si>
    <t xml:space="preserve">Name (kana)</t>
  </si>
  <si>
    <t xml:space="preserve">Name (romaji)</t>
  </si>
  <si>
    <t xml:space="preserve">Meaning</t>
  </si>
  <si>
    <t xml:space="preserve">Group</t>
  </si>
  <si>
    <t xml:space="preserve">Kanji count (of 2501)</t>
  </si>
  <si>
    <t xml:space="preserve">Kanji using this radical (by frequency rank)</t>
  </si>
  <si>
    <t xml:space="preserve">一</t>
  </si>
  <si>
    <t xml:space="preserve">いち</t>
  </si>
  <si>
    <t xml:space="preserve">ichi</t>
  </si>
  <si>
    <t xml:space="preserve">one</t>
  </si>
  <si>
    <t xml:space="preserve">Strokes &amp; numbers</t>
  </si>
  <si>
    <t xml:space="preserve">一三上下不七世両与万並丁丈丘丑</t>
  </si>
  <si>
    <t xml:space="preserve">丨</t>
  </si>
  <si>
    <t xml:space="preserve">たてぼう</t>
  </si>
  <si>
    <t xml:space="preserve">tatebou</t>
  </si>
  <si>
    <t xml:space="preserve">vertical line</t>
  </si>
  <si>
    <t xml:space="preserve">中串</t>
  </si>
  <si>
    <t xml:space="preserve">丶</t>
  </si>
  <si>
    <t xml:space="preserve">てん</t>
  </si>
  <si>
    <t xml:space="preserve">ten</t>
  </si>
  <si>
    <t xml:space="preserve">dot</t>
  </si>
  <si>
    <t xml:space="preserve">主丸丹丼</t>
  </si>
  <si>
    <t xml:space="preserve">丿</t>
  </si>
  <si>
    <r>
      <rPr>
        <sz val="11"/>
        <rFont val="Noto Sans CJK SC"/>
        <family val="2"/>
      </rPr>
      <t xml:space="preserve">の </t>
    </r>
    <r>
      <rPr>
        <sz val="11"/>
        <rFont val="Arial"/>
        <family val="0"/>
        <charset val="1"/>
      </rPr>
      <t xml:space="preserve">/ </t>
    </r>
    <r>
      <rPr>
        <sz val="11"/>
        <rFont val="Noto Sans CJK SC"/>
        <family val="2"/>
      </rPr>
      <t xml:space="preserve">はらいぼう</t>
    </r>
  </si>
  <si>
    <t xml:space="preserve">no / haraibou</t>
  </si>
  <si>
    <t xml:space="preserve">slash, left-falling stroke</t>
  </si>
  <si>
    <t xml:space="preserve">乗久之乏乃</t>
  </si>
  <si>
    <t xml:space="preserve">乙</t>
  </si>
  <si>
    <t xml:space="preserve">乚</t>
  </si>
  <si>
    <r>
      <rPr>
        <sz val="11"/>
        <rFont val="Noto Sans CJK SC"/>
        <family val="2"/>
      </rPr>
      <t xml:space="preserve">おつ </t>
    </r>
    <r>
      <rPr>
        <sz val="11"/>
        <rFont val="Arial"/>
        <family val="0"/>
        <charset val="1"/>
      </rPr>
      <t xml:space="preserve">/ </t>
    </r>
    <r>
      <rPr>
        <sz val="11"/>
        <rFont val="Noto Sans CJK SC"/>
        <family val="2"/>
      </rPr>
      <t xml:space="preserve">おっ</t>
    </r>
  </si>
  <si>
    <t xml:space="preserve">otsu / o</t>
  </si>
  <si>
    <t xml:space="preserve">second, hook</t>
  </si>
  <si>
    <t xml:space="preserve">九乱乳亀也乾乙乞</t>
  </si>
  <si>
    <t xml:space="preserve">亅</t>
  </si>
  <si>
    <t xml:space="preserve">はねぼう</t>
  </si>
  <si>
    <t xml:space="preserve">hanebou</t>
  </si>
  <si>
    <t xml:space="preserve">hook, barb</t>
  </si>
  <si>
    <t xml:space="preserve">事予争了</t>
  </si>
  <si>
    <t xml:space="preserve">二</t>
  </si>
  <si>
    <t xml:space="preserve">に</t>
  </si>
  <si>
    <t xml:space="preserve">ni</t>
  </si>
  <si>
    <t xml:space="preserve">two</t>
  </si>
  <si>
    <t xml:space="preserve">二五井互亜亘</t>
  </si>
  <si>
    <t xml:space="preserve">亠</t>
  </si>
  <si>
    <r>
      <rPr>
        <sz val="11"/>
        <rFont val="Noto Sans CJK SC"/>
        <family val="2"/>
      </rPr>
      <t xml:space="preserve">なべぶた </t>
    </r>
    <r>
      <rPr>
        <sz val="11"/>
        <rFont val="Arial"/>
        <family val="0"/>
        <charset val="1"/>
      </rPr>
      <t xml:space="preserve">/ </t>
    </r>
    <r>
      <rPr>
        <sz val="11"/>
        <rFont val="Noto Sans CJK SC"/>
        <family val="2"/>
      </rPr>
      <t xml:space="preserve">けいさんかんむり</t>
    </r>
  </si>
  <si>
    <t xml:space="preserve">nabebuta / keisankanmuri</t>
  </si>
  <si>
    <t xml:space="preserve">lid, top</t>
  </si>
  <si>
    <t xml:space="preserve">Buildings, covers &amp; enclosures</t>
  </si>
  <si>
    <t xml:space="preserve">京交亡亭亮享亨</t>
  </si>
  <si>
    <t xml:space="preserve">人</t>
  </si>
  <si>
    <r>
      <rPr>
        <sz val="11"/>
        <rFont val="Noto Sans CJK SC"/>
        <family val="2"/>
      </rPr>
      <t xml:space="preserve">亻・⺅ </t>
    </r>
    <r>
      <rPr>
        <sz val="11"/>
        <rFont val="Arial"/>
        <family val="0"/>
        <charset val="1"/>
      </rPr>
      <t xml:space="preserve">(</t>
    </r>
    <r>
      <rPr>
        <sz val="11"/>
        <rFont val="Noto Sans CJK SC"/>
        <family val="2"/>
      </rPr>
      <t xml:space="preserve">にんべん</t>
    </r>
    <r>
      <rPr>
        <sz val="11"/>
        <rFont val="Arial"/>
        <family val="0"/>
        <charset val="1"/>
      </rPr>
      <t xml:space="preserve">, left side); </t>
    </r>
    <r>
      <rPr>
        <sz val="11"/>
        <rFont val="Noto Sans CJK SC"/>
        <family val="2"/>
      </rPr>
      <t xml:space="preserve">𠆢 </t>
    </r>
    <r>
      <rPr>
        <sz val="11"/>
        <rFont val="Arial"/>
        <family val="0"/>
        <charset val="1"/>
      </rPr>
      <t xml:space="preserve">(</t>
    </r>
    <r>
      <rPr>
        <sz val="11"/>
        <rFont val="Noto Sans CJK SC"/>
        <family val="2"/>
      </rPr>
      <t xml:space="preserve">ひとやね </t>
    </r>
    <r>
      <rPr>
        <sz val="11"/>
        <rFont val="Arial"/>
        <family val="0"/>
        <charset val="1"/>
      </rPr>
      <t xml:space="preserve">/ </t>
    </r>
    <r>
      <rPr>
        <sz val="11"/>
        <rFont val="Noto Sans CJK SC"/>
        <family val="2"/>
      </rPr>
      <t xml:space="preserve">ひとがしら</t>
    </r>
    <r>
      <rPr>
        <sz val="11"/>
        <rFont val="Arial"/>
        <family val="0"/>
        <charset val="1"/>
      </rPr>
      <t xml:space="preserve">, top)</t>
    </r>
  </si>
  <si>
    <t xml:space="preserve">ひと</t>
  </si>
  <si>
    <t xml:space="preserve">hito</t>
  </si>
  <si>
    <t xml:space="preserve">person</t>
  </si>
  <si>
    <t xml:space="preserve">Person &amp; family</t>
  </si>
  <si>
    <t xml:space="preserve">会人今代体作以保信件側任使係価住位企供付優何備例伝働低仕個佐候値催他健修介休余伊僚倍億債便伸停儀倒令仏傷償像伴依仲似借傾併促俊侵仮倉俳仙舎偽僕倫仁偏舗俵仰俣偶伏俗偉佳傍傘僧伯伐俸倶偵伍傑侍俺侮僑倭儒佃伺佑仇伽偲侯侠但儲倣偕倹</t>
  </si>
  <si>
    <t xml:space="preserve">儿</t>
  </si>
  <si>
    <r>
      <rPr>
        <sz val="11"/>
        <rFont val="Noto Sans CJK SC"/>
        <family val="2"/>
      </rPr>
      <t xml:space="preserve">ひとあし </t>
    </r>
    <r>
      <rPr>
        <sz val="11"/>
        <rFont val="Arial"/>
        <family val="0"/>
        <charset val="1"/>
      </rPr>
      <t xml:space="preserve">/ </t>
    </r>
    <r>
      <rPr>
        <sz val="11"/>
        <rFont val="Noto Sans CJK SC"/>
        <family val="2"/>
      </rPr>
      <t xml:space="preserve">にんにょう</t>
    </r>
  </si>
  <si>
    <t xml:space="preserve">hitoashi / ninnyou</t>
  </si>
  <si>
    <t xml:space="preserve">legs, walking person</t>
  </si>
  <si>
    <t xml:space="preserve">党先元光児充免兆兄克兜允</t>
  </si>
  <si>
    <t xml:space="preserve">入</t>
  </si>
  <si>
    <r>
      <rPr>
        <sz val="11"/>
        <rFont val="Noto Sans CJK SC"/>
        <family val="2"/>
      </rPr>
      <t xml:space="preserve">⺊ </t>
    </r>
    <r>
      <rPr>
        <sz val="11"/>
        <rFont val="Arial"/>
        <family val="0"/>
        <charset val="1"/>
      </rPr>
      <t xml:space="preserve">(</t>
    </r>
    <r>
      <rPr>
        <sz val="11"/>
        <rFont val="Noto Sans CJK SC"/>
        <family val="2"/>
      </rPr>
      <t xml:space="preserve">いりがしら</t>
    </r>
    <r>
      <rPr>
        <sz val="11"/>
        <rFont val="Arial"/>
        <family val="0"/>
        <charset val="1"/>
      </rPr>
      <t xml:space="preserve">, top form)</t>
    </r>
  </si>
  <si>
    <t xml:space="preserve">いる</t>
  </si>
  <si>
    <t xml:space="preserve">iru</t>
  </si>
  <si>
    <t xml:space="preserve">enter</t>
  </si>
  <si>
    <t xml:space="preserve">Actions &amp; movement</t>
  </si>
  <si>
    <t xml:space="preserve">入全</t>
  </si>
  <si>
    <t xml:space="preserve">八</t>
  </si>
  <si>
    <r>
      <rPr>
        <sz val="11"/>
        <rFont val="Noto Sans CJK SC"/>
        <family val="2"/>
      </rPr>
      <t xml:space="preserve">丷 </t>
    </r>
    <r>
      <rPr>
        <sz val="11"/>
        <rFont val="Arial"/>
        <family val="0"/>
        <charset val="1"/>
      </rPr>
      <t xml:space="preserve">(</t>
    </r>
    <r>
      <rPr>
        <sz val="11"/>
        <rFont val="Noto Sans CJK SC"/>
        <family val="2"/>
      </rPr>
      <t xml:space="preserve">はちがしら</t>
    </r>
    <r>
      <rPr>
        <sz val="11"/>
        <rFont val="Arial"/>
        <family val="0"/>
        <charset val="1"/>
      </rPr>
      <t xml:space="preserve">, top form)</t>
    </r>
  </si>
  <si>
    <t xml:space="preserve">はち</t>
  </si>
  <si>
    <t xml:space="preserve">hachi</t>
  </si>
  <si>
    <t xml:space="preserve">eight</t>
  </si>
  <si>
    <t xml:space="preserve">八六公共兵具典兼曽其</t>
  </si>
  <si>
    <t xml:space="preserve">冂</t>
  </si>
  <si>
    <r>
      <rPr>
        <sz val="11"/>
        <rFont val="Noto Sans CJK SC"/>
        <family val="2"/>
      </rPr>
      <t xml:space="preserve">まきがまえ </t>
    </r>
    <r>
      <rPr>
        <sz val="11"/>
        <rFont val="Arial"/>
        <family val="0"/>
        <charset val="1"/>
      </rPr>
      <t xml:space="preserve">/ </t>
    </r>
    <r>
      <rPr>
        <sz val="11"/>
        <rFont val="Noto Sans CJK SC"/>
        <family val="2"/>
      </rPr>
      <t xml:space="preserve">えんがまえ </t>
    </r>
    <r>
      <rPr>
        <sz val="11"/>
        <rFont val="Arial"/>
        <family val="0"/>
        <charset val="1"/>
      </rPr>
      <t xml:space="preserve">/ </t>
    </r>
    <r>
      <rPr>
        <sz val="11"/>
        <rFont val="Noto Sans CJK SC"/>
        <family val="2"/>
      </rPr>
      <t xml:space="preserve">どうがまえ</t>
    </r>
  </si>
  <si>
    <t xml:space="preserve">makigamae / engamae / dougamae</t>
  </si>
  <si>
    <t xml:space="preserve">down box, upside-down box</t>
  </si>
  <si>
    <t xml:space="preserve">内円再冊冒</t>
  </si>
  <si>
    <t xml:space="preserve">冖</t>
  </si>
  <si>
    <t xml:space="preserve">わかんむり</t>
  </si>
  <si>
    <t xml:space="preserve">wakanmuri</t>
  </si>
  <si>
    <t xml:space="preserve">cover, crown</t>
  </si>
  <si>
    <t xml:space="preserve">写冠冗冨冥冤</t>
  </si>
  <si>
    <t xml:space="preserve">冫</t>
  </si>
  <si>
    <t xml:space="preserve">にすい</t>
  </si>
  <si>
    <t xml:space="preserve">nisui</t>
  </si>
  <si>
    <t xml:space="preserve">ice</t>
  </si>
  <si>
    <t xml:space="preserve">Water, fire, earth &amp; land</t>
  </si>
  <si>
    <t xml:space="preserve">冷冬凍准凝凄冴凌</t>
  </si>
  <si>
    <t xml:space="preserve">几</t>
  </si>
  <si>
    <r>
      <rPr>
        <sz val="11"/>
        <rFont val="Noto Sans CJK SC"/>
        <family val="2"/>
      </rPr>
      <t xml:space="preserve">つくえ </t>
    </r>
    <r>
      <rPr>
        <sz val="11"/>
        <rFont val="Arial"/>
        <family val="0"/>
        <charset val="1"/>
      </rPr>
      <t xml:space="preserve">/ </t>
    </r>
    <r>
      <rPr>
        <sz val="11"/>
        <rFont val="Noto Sans CJK SC"/>
        <family val="2"/>
      </rPr>
      <t xml:space="preserve">きにょう</t>
    </r>
  </si>
  <si>
    <t xml:space="preserve">tsukue / kinyou</t>
  </si>
  <si>
    <t xml:space="preserve">table, wind</t>
  </si>
  <si>
    <t xml:space="preserve">Tools, weapons &amp; objects</t>
  </si>
  <si>
    <t xml:space="preserve">処凡凧凱</t>
  </si>
  <si>
    <t xml:space="preserve">凵</t>
  </si>
  <si>
    <t xml:space="preserve">うけばこ</t>
  </si>
  <si>
    <t xml:space="preserve">ukebako</t>
  </si>
  <si>
    <t xml:space="preserve">open box</t>
  </si>
  <si>
    <t xml:space="preserve">出凶函凸凹</t>
  </si>
  <si>
    <t xml:space="preserve">刀</t>
  </si>
  <si>
    <r>
      <rPr>
        <sz val="11"/>
        <rFont val="Noto Sans CJK SC"/>
        <family val="2"/>
      </rPr>
      <t xml:space="preserve">刂 </t>
    </r>
    <r>
      <rPr>
        <sz val="11"/>
        <rFont val="Arial"/>
        <family val="0"/>
        <charset val="1"/>
      </rPr>
      <t xml:space="preserve">(</t>
    </r>
    <r>
      <rPr>
        <sz val="11"/>
        <rFont val="Noto Sans CJK SC"/>
        <family val="2"/>
      </rPr>
      <t xml:space="preserve">りっとう</t>
    </r>
    <r>
      <rPr>
        <sz val="11"/>
        <rFont val="Arial"/>
        <family val="0"/>
        <charset val="1"/>
      </rPr>
      <t xml:space="preserve">, right side); </t>
    </r>
    <r>
      <rPr>
        <sz val="11"/>
        <rFont val="Noto Sans CJK SC"/>
        <family val="2"/>
      </rPr>
      <t xml:space="preserve">⺈</t>
    </r>
  </si>
  <si>
    <t xml:space="preserve">かたな</t>
  </si>
  <si>
    <t xml:space="preserve">katana</t>
  </si>
  <si>
    <t xml:space="preserve">knife, sword</t>
  </si>
  <si>
    <t xml:space="preserve">分前制初判利別割切副券劇創則削刊刑刻列刺到剤剣刷剰剛刈刃刀剖劉剥剃</t>
  </si>
  <si>
    <t xml:space="preserve">力</t>
  </si>
  <si>
    <t xml:space="preserve">ちから</t>
  </si>
  <si>
    <t xml:space="preserve">chikara</t>
  </si>
  <si>
    <t xml:space="preserve">power, strength</t>
  </si>
  <si>
    <t xml:space="preserve">力動務加勝勢助労効努募勤功勉勧励勇勘勲劣劾勅</t>
  </si>
  <si>
    <t xml:space="preserve">勹</t>
  </si>
  <si>
    <t xml:space="preserve">つつみがまえ</t>
  </si>
  <si>
    <t xml:space="preserve">tsutsumigamae</t>
  </si>
  <si>
    <t xml:space="preserve">wrap</t>
  </si>
  <si>
    <t xml:space="preserve">包匂</t>
  </si>
  <si>
    <t xml:space="preserve">匕</t>
  </si>
  <si>
    <r>
      <rPr>
        <sz val="11"/>
        <rFont val="Noto Sans CJK SC"/>
        <family val="2"/>
      </rPr>
      <t xml:space="preserve">さじ </t>
    </r>
    <r>
      <rPr>
        <sz val="11"/>
        <rFont val="Arial"/>
        <family val="0"/>
        <charset val="1"/>
      </rPr>
      <t xml:space="preserve">/ </t>
    </r>
    <r>
      <rPr>
        <sz val="11"/>
        <rFont val="Noto Sans CJK SC"/>
        <family val="2"/>
      </rPr>
      <t xml:space="preserve">ひ</t>
    </r>
  </si>
  <si>
    <t xml:space="preserve">saji / hi</t>
  </si>
  <si>
    <t xml:space="preserve">spoon, ladle</t>
  </si>
  <si>
    <t xml:space="preserve">化北</t>
  </si>
  <si>
    <t xml:space="preserve">匚</t>
  </si>
  <si>
    <t xml:space="preserve">はこがまえ</t>
  </si>
  <si>
    <t xml:space="preserve">hakogamae</t>
  </si>
  <si>
    <t xml:space="preserve">box (open right)</t>
  </si>
  <si>
    <t xml:space="preserve">匠匡</t>
  </si>
  <si>
    <t xml:space="preserve">匸</t>
  </si>
  <si>
    <t xml:space="preserve">かくしがまえ</t>
  </si>
  <si>
    <t xml:space="preserve">kakushigamae</t>
  </si>
  <si>
    <t xml:space="preserve">hiding enclosure</t>
  </si>
  <si>
    <t xml:space="preserve">区医匹匿</t>
  </si>
  <si>
    <t xml:space="preserve">十</t>
  </si>
  <si>
    <t xml:space="preserve">じゅう</t>
  </si>
  <si>
    <t xml:space="preserve">juu</t>
  </si>
  <si>
    <t xml:space="preserve">十協午千半南単卒博卓卑升</t>
  </si>
  <si>
    <t xml:space="preserve">卜</t>
  </si>
  <si>
    <r>
      <rPr>
        <sz val="11"/>
        <rFont val="Noto Sans CJK SC"/>
        <family val="2"/>
      </rPr>
      <t xml:space="preserve">ぼく </t>
    </r>
    <r>
      <rPr>
        <sz val="11"/>
        <rFont val="Arial"/>
        <family val="0"/>
        <charset val="1"/>
      </rPr>
      <t xml:space="preserve">/ </t>
    </r>
    <r>
      <rPr>
        <sz val="11"/>
        <rFont val="Noto Sans CJK SC"/>
        <family val="2"/>
      </rPr>
      <t xml:space="preserve">うらない</t>
    </r>
  </si>
  <si>
    <t xml:space="preserve">boku / uranai</t>
  </si>
  <si>
    <t xml:space="preserve">divination</t>
  </si>
  <si>
    <t xml:space="preserve">占</t>
  </si>
  <si>
    <t xml:space="preserve">卩</t>
  </si>
  <si>
    <t xml:space="preserve">㔾</t>
  </si>
  <si>
    <r>
      <rPr>
        <sz val="11"/>
        <rFont val="Noto Sans CJK SC"/>
        <family val="2"/>
      </rPr>
      <t xml:space="preserve">ふしづくり </t>
    </r>
    <r>
      <rPr>
        <sz val="11"/>
        <rFont val="Arial"/>
        <family val="0"/>
        <charset val="1"/>
      </rPr>
      <t xml:space="preserve">/ </t>
    </r>
    <r>
      <rPr>
        <sz val="11"/>
        <rFont val="Noto Sans CJK SC"/>
        <family val="2"/>
      </rPr>
      <t xml:space="preserve">わりふ</t>
    </r>
  </si>
  <si>
    <t xml:space="preserve">fushizukuri / warifu</t>
  </si>
  <si>
    <t xml:space="preserve">seal, kneeling person</t>
  </si>
  <si>
    <t xml:space="preserve">危印却即卵卸卿卯</t>
  </si>
  <si>
    <t xml:space="preserve">厂</t>
  </si>
  <si>
    <t xml:space="preserve">がんだれ</t>
  </si>
  <si>
    <t xml:space="preserve">gandare</t>
  </si>
  <si>
    <t xml:space="preserve">cliff</t>
  </si>
  <si>
    <t xml:space="preserve">原厳厚厘厄厦厨</t>
  </si>
  <si>
    <t xml:space="preserve">厶</t>
  </si>
  <si>
    <t xml:space="preserve">む</t>
  </si>
  <si>
    <t xml:space="preserve">mu</t>
  </si>
  <si>
    <t xml:space="preserve">private</t>
  </si>
  <si>
    <t xml:space="preserve">Other &amp; abstract</t>
  </si>
  <si>
    <t xml:space="preserve">参去</t>
  </si>
  <si>
    <t xml:space="preserve">又</t>
  </si>
  <si>
    <t xml:space="preserve">また</t>
  </si>
  <si>
    <t xml:space="preserve">mata</t>
  </si>
  <si>
    <t xml:space="preserve">again, right hand</t>
  </si>
  <si>
    <t xml:space="preserve">Body parts &amp; health</t>
  </si>
  <si>
    <t xml:space="preserve">取受反収及友双又叔叙叢</t>
  </si>
  <si>
    <t xml:space="preserve">口</t>
  </si>
  <si>
    <t xml:space="preserve">くち</t>
  </si>
  <si>
    <t xml:space="preserve">kuchi</t>
  </si>
  <si>
    <t xml:space="preserve">mouth</t>
  </si>
  <si>
    <t xml:space="preserve">同合員問和名向告品各台口営可商味命含呼古史器否周号右吉司善喜喪君吸哲喚唱吹句噴唆唯喫啓叫咲召嘉呈后嘆吐哀唐呉吾呆喝嘱吟喬唇哨唄呂呪嚇嘘喧叱囃只噂噺嗣叶叩咸呑喉噛喋喘哺啄嗜吊嗅</t>
  </si>
  <si>
    <t xml:space="preserve">囗</t>
  </si>
  <si>
    <t xml:space="preserve">くにがまえ</t>
  </si>
  <si>
    <t xml:space="preserve">kunigamae</t>
  </si>
  <si>
    <t xml:space="preserve">enclosure</t>
  </si>
  <si>
    <t xml:space="preserve">国四回団図園因固囲困圏囚</t>
  </si>
  <si>
    <t xml:space="preserve">土</t>
  </si>
  <si>
    <t xml:space="preserve">つち</t>
  </si>
  <si>
    <t xml:space="preserve">tsuchi</t>
  </si>
  <si>
    <t xml:space="preserve">earth, soil</t>
  </si>
  <si>
    <t xml:space="preserve">地場報在増基土境域型塁均圧壊城執坂塚埼堂壁堅埋塩堀塾墓壌塗培墜壇垣墨堤塔垂塊墳坪坊圭堺堰堪塀坑堕尭埴堆壕坐塙</t>
  </si>
  <si>
    <t xml:space="preserve">士</t>
  </si>
  <si>
    <t xml:space="preserve">さむらい</t>
  </si>
  <si>
    <t xml:space="preserve">samurai</t>
  </si>
  <si>
    <t xml:space="preserve">scholar, samurai</t>
  </si>
  <si>
    <t xml:space="preserve">売声士壮壷壱壬</t>
  </si>
  <si>
    <t xml:space="preserve">夂</t>
  </si>
  <si>
    <r>
      <rPr>
        <sz val="11"/>
        <rFont val="Noto Sans CJK SC"/>
        <family val="2"/>
      </rPr>
      <t xml:space="preserve">ふゆがしら </t>
    </r>
    <r>
      <rPr>
        <sz val="11"/>
        <rFont val="Arial"/>
        <family val="0"/>
        <charset val="1"/>
      </rPr>
      <t xml:space="preserve">/ </t>
    </r>
    <r>
      <rPr>
        <sz val="11"/>
        <rFont val="Noto Sans CJK SC"/>
        <family val="2"/>
      </rPr>
      <t xml:space="preserve">ちかんむり</t>
    </r>
  </si>
  <si>
    <t xml:space="preserve">fuyugashira / chikanmuri</t>
  </si>
  <si>
    <t xml:space="preserve">go</t>
  </si>
  <si>
    <t xml:space="preserve">変</t>
  </si>
  <si>
    <t xml:space="preserve">夊</t>
  </si>
  <si>
    <t xml:space="preserve">すいにょう</t>
  </si>
  <si>
    <t xml:space="preserve">suinyou</t>
  </si>
  <si>
    <t xml:space="preserve">go slowly</t>
  </si>
  <si>
    <t xml:space="preserve">夏</t>
  </si>
  <si>
    <t xml:space="preserve">夕</t>
  </si>
  <si>
    <r>
      <rPr>
        <sz val="11"/>
        <rFont val="Noto Sans CJK SC"/>
        <family val="2"/>
      </rPr>
      <t xml:space="preserve">ゆう </t>
    </r>
    <r>
      <rPr>
        <sz val="11"/>
        <rFont val="Arial"/>
        <family val="0"/>
        <charset val="1"/>
      </rPr>
      <t xml:space="preserve">/ </t>
    </r>
    <r>
      <rPr>
        <sz val="11"/>
        <rFont val="Noto Sans CJK SC"/>
        <family val="2"/>
      </rPr>
      <t xml:space="preserve">ゆうべ</t>
    </r>
  </si>
  <si>
    <t xml:space="preserve">yuu / yuube</t>
  </si>
  <si>
    <t xml:space="preserve">evening</t>
  </si>
  <si>
    <t xml:space="preserve">Sky, time &amp; weather</t>
  </si>
  <si>
    <t xml:space="preserve">外多夜夕夢</t>
  </si>
  <si>
    <t xml:space="preserve">大</t>
  </si>
  <si>
    <t xml:space="preserve">だい</t>
  </si>
  <si>
    <t xml:space="preserve">dai</t>
  </si>
  <si>
    <t xml:space="preserve">big</t>
  </si>
  <si>
    <t xml:space="preserve">大夫失天太央奈契奪奥奏奇奨奮奉奔奄夷</t>
  </si>
  <si>
    <t xml:space="preserve">女</t>
  </si>
  <si>
    <t xml:space="preserve">おんな</t>
  </si>
  <si>
    <t xml:space="preserve">onna</t>
  </si>
  <si>
    <t xml:space="preserve">woman</t>
  </si>
  <si>
    <t xml:space="preserve">女委始好姿婦妻婚妥威妙娘嫌妊妹姉妨姫嫁娠姓如媛妃娯媒姜奴妖姻姑嬢婿嫡娼妄嬉嫉姚婆</t>
  </si>
  <si>
    <t xml:space="preserve">子</t>
  </si>
  <si>
    <t xml:space="preserve">こ</t>
  </si>
  <si>
    <t xml:space="preserve">ko</t>
  </si>
  <si>
    <t xml:space="preserve">child</t>
  </si>
  <si>
    <t xml:space="preserve">学子字存季孝孤孫孜孔孟</t>
  </si>
  <si>
    <t xml:space="preserve">宀</t>
  </si>
  <si>
    <t xml:space="preserve">うかんむり</t>
  </si>
  <si>
    <t xml:space="preserve">ukanmuri</t>
  </si>
  <si>
    <t xml:space="preserve">roof</t>
  </si>
  <si>
    <t xml:space="preserve">定実家安官容宅害宮審守察室客完富寄宣宿密宇宗宙寝宝宏寛寒宰寂宴寧寮宜寅寡宋宕宵宍寓</t>
  </si>
  <si>
    <t xml:space="preserve">寸</t>
  </si>
  <si>
    <t xml:space="preserve">すん</t>
  </si>
  <si>
    <t xml:space="preserve">sun</t>
  </si>
  <si>
    <t xml:space="preserve">inch</t>
  </si>
  <si>
    <t xml:space="preserve">対導専将寺射封尊寿尋寸尉</t>
  </si>
  <si>
    <t xml:space="preserve">小</t>
  </si>
  <si>
    <r>
      <rPr>
        <sz val="11"/>
        <rFont val="Noto Sans CJK SC"/>
        <family val="2"/>
      </rPr>
      <t xml:space="preserve">⺌ </t>
    </r>
    <r>
      <rPr>
        <sz val="11"/>
        <rFont val="Arial"/>
        <family val="0"/>
        <charset val="1"/>
      </rPr>
      <t xml:space="preserve">(</t>
    </r>
    <r>
      <rPr>
        <sz val="11"/>
        <rFont val="Noto Sans CJK SC"/>
        <family val="2"/>
      </rPr>
      <t xml:space="preserve">しょう</t>
    </r>
    <r>
      <rPr>
        <sz val="11"/>
        <rFont val="Arial"/>
        <family val="0"/>
        <charset val="1"/>
      </rPr>
      <t xml:space="preserve">, top form)</t>
    </r>
  </si>
  <si>
    <r>
      <rPr>
        <sz val="11"/>
        <rFont val="Noto Sans CJK SC"/>
        <family val="2"/>
      </rPr>
      <t xml:space="preserve">しょう </t>
    </r>
    <r>
      <rPr>
        <sz val="11"/>
        <rFont val="Arial"/>
        <family val="0"/>
        <charset val="1"/>
      </rPr>
      <t xml:space="preserve">/ </t>
    </r>
    <r>
      <rPr>
        <sz val="11"/>
        <rFont val="Noto Sans CJK SC"/>
        <family val="2"/>
      </rPr>
      <t xml:space="preserve">ちいさい</t>
    </r>
  </si>
  <si>
    <t xml:space="preserve">shou / chiisai</t>
  </si>
  <si>
    <t xml:space="preserve">small</t>
  </si>
  <si>
    <t xml:space="preserve">Colors &amp; qualities</t>
  </si>
  <si>
    <t xml:space="preserve">小少尚尖</t>
  </si>
  <si>
    <t xml:space="preserve">尢</t>
  </si>
  <si>
    <t xml:space="preserve">尣</t>
  </si>
  <si>
    <r>
      <rPr>
        <sz val="11"/>
        <rFont val="Noto Sans CJK SC"/>
        <family val="2"/>
      </rPr>
      <t xml:space="preserve">だいのまげあし </t>
    </r>
    <r>
      <rPr>
        <sz val="11"/>
        <rFont val="Arial"/>
        <family val="0"/>
        <charset val="1"/>
      </rPr>
      <t xml:space="preserve">/ </t>
    </r>
    <r>
      <rPr>
        <sz val="11"/>
        <rFont val="Noto Sans CJK SC"/>
        <family val="2"/>
      </rPr>
      <t xml:space="preserve">まげあし</t>
    </r>
  </si>
  <si>
    <t xml:space="preserve">dainomageashi / mageashi</t>
  </si>
  <si>
    <t xml:space="preserve">lame</t>
  </si>
  <si>
    <t xml:space="preserve">就</t>
  </si>
  <si>
    <t xml:space="preserve">尸</t>
  </si>
  <si>
    <r>
      <rPr>
        <sz val="11"/>
        <rFont val="Noto Sans CJK SC"/>
        <family val="2"/>
      </rPr>
      <t xml:space="preserve">しかばね </t>
    </r>
    <r>
      <rPr>
        <sz val="11"/>
        <rFont val="Arial"/>
        <family val="0"/>
        <charset val="1"/>
      </rPr>
      <t xml:space="preserve">/ </t>
    </r>
    <r>
      <rPr>
        <sz val="11"/>
        <rFont val="Noto Sans CJK SC"/>
        <family val="2"/>
      </rPr>
      <t xml:space="preserve">かばね</t>
    </r>
  </si>
  <si>
    <t xml:space="preserve">shikabane / kabane</t>
  </si>
  <si>
    <t xml:space="preserve">corpse, body</t>
  </si>
  <si>
    <t xml:space="preserve">局展屋層居尾属届尽屈履尿尻尼尺屏尹</t>
  </si>
  <si>
    <t xml:space="preserve">屮</t>
  </si>
  <si>
    <t xml:space="preserve">てつ</t>
  </si>
  <si>
    <t xml:space="preserve">tetsu</t>
  </si>
  <si>
    <t xml:space="preserve">sprout</t>
  </si>
  <si>
    <t xml:space="preserve">Plants &amp; grain</t>
  </si>
  <si>
    <t xml:space="preserve">屯</t>
  </si>
  <si>
    <t xml:space="preserve">山</t>
  </si>
  <si>
    <t xml:space="preserve">やま</t>
  </si>
  <si>
    <t xml:space="preserve">yama</t>
  </si>
  <si>
    <t xml:space="preserve">mountain</t>
  </si>
  <si>
    <t xml:space="preserve">山島岡崎岸崩岩岳岐嶋嶌峡峰嵐峠嶺崔崇岬巌峻峯嶽嵯峨峙</t>
  </si>
  <si>
    <t xml:space="preserve">巛</t>
  </si>
  <si>
    <r>
      <rPr>
        <sz val="11"/>
        <rFont val="Noto Sans CJK SC"/>
        <family val="2"/>
      </rPr>
      <t xml:space="preserve">川 </t>
    </r>
    <r>
      <rPr>
        <sz val="11"/>
        <rFont val="Arial"/>
        <family val="0"/>
        <charset val="1"/>
      </rPr>
      <t xml:space="preserve">(</t>
    </r>
    <r>
      <rPr>
        <sz val="11"/>
        <rFont val="Noto Sans CJK SC"/>
        <family val="2"/>
      </rPr>
      <t xml:space="preserve">かわ</t>
    </r>
    <r>
      <rPr>
        <sz val="11"/>
        <rFont val="Arial"/>
        <family val="0"/>
        <charset val="1"/>
      </rPr>
      <t xml:space="preserve">)</t>
    </r>
  </si>
  <si>
    <r>
      <rPr>
        <sz val="11"/>
        <rFont val="Noto Sans CJK SC"/>
        <family val="2"/>
      </rPr>
      <t xml:space="preserve">かわ </t>
    </r>
    <r>
      <rPr>
        <sz val="11"/>
        <rFont val="Arial"/>
        <family val="0"/>
        <charset val="1"/>
      </rPr>
      <t xml:space="preserve">/ </t>
    </r>
    <r>
      <rPr>
        <sz val="11"/>
        <rFont val="Noto Sans CJK SC"/>
        <family val="2"/>
      </rPr>
      <t xml:space="preserve">まがりがわ</t>
    </r>
  </si>
  <si>
    <t xml:space="preserve">kawa / magarigawa</t>
  </si>
  <si>
    <t xml:space="preserve">river</t>
  </si>
  <si>
    <t xml:space="preserve">川州巡</t>
  </si>
  <si>
    <t xml:space="preserve">工</t>
  </si>
  <si>
    <r>
      <rPr>
        <sz val="11"/>
        <rFont val="Noto Sans CJK SC"/>
        <family val="2"/>
      </rPr>
      <t xml:space="preserve">たくみ </t>
    </r>
    <r>
      <rPr>
        <sz val="11"/>
        <rFont val="Arial"/>
        <family val="0"/>
        <charset val="1"/>
      </rPr>
      <t xml:space="preserve">/ </t>
    </r>
    <r>
      <rPr>
        <sz val="11"/>
        <rFont val="Noto Sans CJK SC"/>
        <family val="2"/>
      </rPr>
      <t xml:space="preserve">こう</t>
    </r>
  </si>
  <si>
    <t xml:space="preserve">takumi / kou</t>
  </si>
  <si>
    <t xml:space="preserve">work, craftsman</t>
  </si>
  <si>
    <t xml:space="preserve">工差左巨巧</t>
  </si>
  <si>
    <t xml:space="preserve">己</t>
  </si>
  <si>
    <r>
      <rPr>
        <sz val="11"/>
        <rFont val="Noto Sans CJK SC"/>
        <family val="2"/>
      </rPr>
      <t xml:space="preserve">おのれ </t>
    </r>
    <r>
      <rPr>
        <sz val="11"/>
        <rFont val="Arial"/>
        <family val="0"/>
        <charset val="1"/>
      </rPr>
      <t xml:space="preserve">/ </t>
    </r>
    <r>
      <rPr>
        <sz val="11"/>
        <rFont val="Noto Sans CJK SC"/>
        <family val="2"/>
      </rPr>
      <t xml:space="preserve">き </t>
    </r>
    <r>
      <rPr>
        <sz val="11"/>
        <rFont val="Arial"/>
        <family val="0"/>
        <charset val="1"/>
      </rPr>
      <t xml:space="preserve">/ </t>
    </r>
    <r>
      <rPr>
        <sz val="11"/>
        <rFont val="Noto Sans CJK SC"/>
        <family val="2"/>
      </rPr>
      <t xml:space="preserve">み</t>
    </r>
  </si>
  <si>
    <t xml:space="preserve">onore / ki / mi</t>
  </si>
  <si>
    <t xml:space="preserve">oneself</t>
  </si>
  <si>
    <t xml:space="preserve">巻己巽巴已巳巷</t>
  </si>
  <si>
    <t xml:space="preserve">巾</t>
  </si>
  <si>
    <r>
      <rPr>
        <sz val="11"/>
        <rFont val="Noto Sans CJK SC"/>
        <family val="2"/>
      </rPr>
      <t xml:space="preserve">はば </t>
    </r>
    <r>
      <rPr>
        <sz val="11"/>
        <rFont val="Arial"/>
        <family val="0"/>
        <charset val="1"/>
      </rPr>
      <t xml:space="preserve">/ </t>
    </r>
    <r>
      <rPr>
        <sz val="11"/>
        <rFont val="Noto Sans CJK SC"/>
        <family val="2"/>
      </rPr>
      <t xml:space="preserve">きんべん</t>
    </r>
  </si>
  <si>
    <t xml:space="preserve">haba / kinben</t>
  </si>
  <si>
    <t xml:space="preserve">turban, cloth</t>
  </si>
  <si>
    <t xml:space="preserve">市常席帰師幅帯幕布希帝幌帳帽幣帆幡帥帖</t>
  </si>
  <si>
    <t xml:space="preserve">干</t>
  </si>
  <si>
    <r>
      <rPr>
        <sz val="11"/>
        <rFont val="Noto Sans CJK SC"/>
        <family val="2"/>
      </rPr>
      <t xml:space="preserve">かん </t>
    </r>
    <r>
      <rPr>
        <sz val="11"/>
        <rFont val="Arial"/>
        <family val="0"/>
        <charset val="1"/>
      </rPr>
      <t xml:space="preserve">/ </t>
    </r>
    <r>
      <rPr>
        <sz val="11"/>
        <rFont val="Noto Sans CJK SC"/>
        <family val="2"/>
      </rPr>
      <t xml:space="preserve">いちじゅう</t>
    </r>
  </si>
  <si>
    <t xml:space="preserve">kan / ichijuu</t>
  </si>
  <si>
    <t xml:space="preserve">dry, to do with</t>
  </si>
  <si>
    <t xml:space="preserve">年平幹幸干</t>
  </si>
  <si>
    <t xml:space="preserve">幺</t>
  </si>
  <si>
    <r>
      <rPr>
        <sz val="11"/>
        <rFont val="Noto Sans CJK SC"/>
        <family val="2"/>
      </rPr>
      <t xml:space="preserve">いとがしら </t>
    </r>
    <r>
      <rPr>
        <sz val="11"/>
        <rFont val="Arial"/>
        <family val="0"/>
        <charset val="1"/>
      </rPr>
      <t xml:space="preserve">/ </t>
    </r>
    <r>
      <rPr>
        <sz val="11"/>
        <rFont val="Noto Sans CJK SC"/>
        <family val="2"/>
      </rPr>
      <t xml:space="preserve">よう</t>
    </r>
  </si>
  <si>
    <t xml:space="preserve">itogashira / you</t>
  </si>
  <si>
    <t xml:space="preserve">short thread, tiny</t>
  </si>
  <si>
    <t xml:space="preserve">幼幻幾幽</t>
  </si>
  <si>
    <t xml:space="preserve">广</t>
  </si>
  <si>
    <t xml:space="preserve">まだれ</t>
  </si>
  <si>
    <t xml:space="preserve">madare</t>
  </si>
  <si>
    <t xml:space="preserve">dotted cliff, building</t>
  </si>
  <si>
    <t xml:space="preserve">度府広店座廃康庁庭庫底序床庶廊庄庸廉廟庵廣</t>
  </si>
  <si>
    <t xml:space="preserve">廴</t>
  </si>
  <si>
    <t xml:space="preserve">えんにょう</t>
  </si>
  <si>
    <t xml:space="preserve">ennyou</t>
  </si>
  <si>
    <t xml:space="preserve">long stride</t>
  </si>
  <si>
    <t xml:space="preserve">建延廷</t>
  </si>
  <si>
    <t xml:space="preserve">廾</t>
  </si>
  <si>
    <r>
      <rPr>
        <sz val="11"/>
        <rFont val="Noto Sans CJK SC"/>
        <family val="2"/>
      </rPr>
      <t xml:space="preserve">にじゅうあし </t>
    </r>
    <r>
      <rPr>
        <sz val="11"/>
        <rFont val="Arial"/>
        <family val="0"/>
        <charset val="1"/>
      </rPr>
      <t xml:space="preserve">/ </t>
    </r>
    <r>
      <rPr>
        <sz val="11"/>
        <rFont val="Noto Sans CJK SC"/>
        <family val="2"/>
      </rPr>
      <t xml:space="preserve">こまぬき</t>
    </r>
  </si>
  <si>
    <t xml:space="preserve">nijuuashi / komanuki</t>
  </si>
  <si>
    <t xml:space="preserve">two hands, joined hands</t>
  </si>
  <si>
    <t xml:space="preserve">弁弊</t>
  </si>
  <si>
    <t xml:space="preserve">弋</t>
  </si>
  <si>
    <r>
      <rPr>
        <sz val="11"/>
        <rFont val="Noto Sans CJK SC"/>
        <family val="2"/>
      </rPr>
      <t xml:space="preserve">しきがまえ </t>
    </r>
    <r>
      <rPr>
        <sz val="11"/>
        <rFont val="Arial"/>
        <family val="0"/>
        <charset val="1"/>
      </rPr>
      <t xml:space="preserve">/ </t>
    </r>
    <r>
      <rPr>
        <sz val="11"/>
        <rFont val="Noto Sans CJK SC"/>
        <family val="2"/>
      </rPr>
      <t xml:space="preserve">よく</t>
    </r>
  </si>
  <si>
    <t xml:space="preserve">shikigamae / yoku</t>
  </si>
  <si>
    <t xml:space="preserve">shoot, ceremony</t>
  </si>
  <si>
    <t xml:space="preserve">式</t>
  </si>
  <si>
    <t xml:space="preserve">弓</t>
  </si>
  <si>
    <r>
      <rPr>
        <sz val="11"/>
        <rFont val="Noto Sans CJK SC"/>
        <family val="2"/>
      </rPr>
      <t xml:space="preserve">ゆみ </t>
    </r>
    <r>
      <rPr>
        <sz val="11"/>
        <rFont val="Arial"/>
        <family val="0"/>
        <charset val="1"/>
      </rPr>
      <t xml:space="preserve">/ </t>
    </r>
    <r>
      <rPr>
        <sz val="11"/>
        <rFont val="Noto Sans CJK SC"/>
        <family val="2"/>
      </rPr>
      <t xml:space="preserve">ゆみへん</t>
    </r>
  </si>
  <si>
    <t xml:space="preserve">yumi / yumihen</t>
  </si>
  <si>
    <t xml:space="preserve">bow</t>
  </si>
  <si>
    <t xml:space="preserve">強引張弾弱弘弟弥弦弓弔弧弛</t>
  </si>
  <si>
    <t xml:space="preserve">彐</t>
  </si>
  <si>
    <t xml:space="preserve">彑</t>
  </si>
  <si>
    <t xml:space="preserve">けいがしら</t>
  </si>
  <si>
    <t xml:space="preserve">keigashira</t>
  </si>
  <si>
    <t xml:space="preserve">pig snout</t>
  </si>
  <si>
    <t xml:space="preserve">当彗</t>
  </si>
  <si>
    <t xml:space="preserve">彡</t>
  </si>
  <si>
    <t xml:space="preserve">さんづくり</t>
  </si>
  <si>
    <t xml:space="preserve">sanzukuri</t>
  </si>
  <si>
    <t xml:space="preserve">bristle, hair, shadow</t>
  </si>
  <si>
    <t xml:space="preserve">形影彦彩彰彫彬彪彭</t>
  </si>
  <si>
    <t xml:space="preserve">彳</t>
  </si>
  <si>
    <t xml:space="preserve">ぎょうにんべん</t>
  </si>
  <si>
    <t xml:space="preserve">gyouninben</t>
  </si>
  <si>
    <t xml:space="preserve">step, small step</t>
  </si>
  <si>
    <t xml:space="preserve">後得役待復従彼徒徴徹律御徳微往径徐征循徘</t>
  </si>
  <si>
    <t xml:space="preserve">心</t>
  </si>
  <si>
    <r>
      <rPr>
        <sz val="11"/>
        <rFont val="Noto Sans CJK SC"/>
        <family val="2"/>
      </rPr>
      <t xml:space="preserve">忄 </t>
    </r>
    <r>
      <rPr>
        <sz val="11"/>
        <rFont val="Arial"/>
        <family val="0"/>
        <charset val="1"/>
      </rPr>
      <t xml:space="preserve">(</t>
    </r>
    <r>
      <rPr>
        <sz val="11"/>
        <rFont val="Noto Sans CJK SC"/>
        <family val="2"/>
      </rPr>
      <t xml:space="preserve">りっしんべん</t>
    </r>
    <r>
      <rPr>
        <sz val="11"/>
        <rFont val="Arial"/>
        <family val="0"/>
        <charset val="1"/>
      </rPr>
      <t xml:space="preserve">, left side); </t>
    </r>
    <r>
      <rPr>
        <sz val="11"/>
        <rFont val="Noto Sans CJK SC"/>
        <family val="2"/>
      </rPr>
      <t xml:space="preserve">⺗ </t>
    </r>
    <r>
      <rPr>
        <sz val="11"/>
        <rFont val="Arial"/>
        <family val="0"/>
        <charset val="1"/>
      </rPr>
      <t xml:space="preserve">(</t>
    </r>
    <r>
      <rPr>
        <sz val="11"/>
        <rFont val="Noto Sans CJK SC"/>
        <family val="2"/>
      </rPr>
      <t xml:space="preserve">したごころ</t>
    </r>
    <r>
      <rPr>
        <sz val="11"/>
        <rFont val="Arial"/>
        <family val="0"/>
        <charset val="1"/>
      </rPr>
      <t xml:space="preserve">, bottom)</t>
    </r>
  </si>
  <si>
    <t xml:space="preserve">こころ</t>
  </si>
  <si>
    <t xml:space="preserve">kokoro</t>
  </si>
  <si>
    <t xml:space="preserve">heart, mind</t>
  </si>
  <si>
    <t xml:space="preserve">意性思心感情必応急態想念悪憲愛惑患志恐息懸慮恵慎悲快悩忠忘懇慰慣怒恋慶懲恒憶怖慢悟恩悔惨忙懐愚恥憂怪惜悼憾忍怠憩恭悦憎慈慌憤慨恨忌悠愉惧慕怨慧愁惣惟憧惇恣惰怜悌惚</t>
  </si>
  <si>
    <t xml:space="preserve">戈</t>
  </si>
  <si>
    <r>
      <rPr>
        <sz val="11"/>
        <rFont val="Noto Sans CJK SC"/>
        <family val="2"/>
      </rPr>
      <t xml:space="preserve">ほこ </t>
    </r>
    <r>
      <rPr>
        <sz val="11"/>
        <rFont val="Arial"/>
        <family val="0"/>
        <charset val="1"/>
      </rPr>
      <t xml:space="preserve">/ </t>
    </r>
    <r>
      <rPr>
        <sz val="11"/>
        <rFont val="Noto Sans CJK SC"/>
        <family val="2"/>
      </rPr>
      <t xml:space="preserve">ほこづくり</t>
    </r>
  </si>
  <si>
    <t xml:space="preserve">hoko / hokozukuri</t>
  </si>
  <si>
    <t xml:space="preserve">halberd, spear</t>
  </si>
  <si>
    <t xml:space="preserve">戦成我戒戯戴或</t>
  </si>
  <si>
    <t xml:space="preserve">戶</t>
  </si>
  <si>
    <t xml:space="preserve">戸・户</t>
  </si>
  <si>
    <r>
      <rPr>
        <sz val="11"/>
        <rFont val="Noto Sans CJK SC"/>
        <family val="2"/>
      </rPr>
      <t xml:space="preserve">と </t>
    </r>
    <r>
      <rPr>
        <sz val="11"/>
        <rFont val="Arial"/>
        <family val="0"/>
        <charset val="1"/>
      </rPr>
      <t xml:space="preserve">/ </t>
    </r>
    <r>
      <rPr>
        <sz val="11"/>
        <rFont val="Noto Sans CJK SC"/>
        <family val="2"/>
      </rPr>
      <t xml:space="preserve">とだれ</t>
    </r>
  </si>
  <si>
    <t xml:space="preserve">to / todare</t>
  </si>
  <si>
    <t xml:space="preserve">door</t>
  </si>
  <si>
    <t xml:space="preserve">所戸房戻扇扉</t>
  </si>
  <si>
    <t xml:space="preserve">手</t>
  </si>
  <si>
    <r>
      <rPr>
        <sz val="11"/>
        <rFont val="Noto Sans CJK SC"/>
        <family val="2"/>
      </rPr>
      <t xml:space="preserve">扌 </t>
    </r>
    <r>
      <rPr>
        <sz val="11"/>
        <rFont val="Arial"/>
        <family val="0"/>
        <charset val="1"/>
      </rPr>
      <t xml:space="preserve">(</t>
    </r>
    <r>
      <rPr>
        <sz val="11"/>
        <rFont val="Noto Sans CJK SC"/>
        <family val="2"/>
      </rPr>
      <t xml:space="preserve">てへん</t>
    </r>
    <r>
      <rPr>
        <sz val="11"/>
        <rFont val="Arial"/>
        <family val="0"/>
        <charset val="1"/>
      </rPr>
      <t xml:space="preserve">, left side)</t>
    </r>
  </si>
  <si>
    <t xml:space="preserve">て</t>
  </si>
  <si>
    <t xml:space="preserve">te</t>
  </si>
  <si>
    <t xml:space="preserve">hand</t>
  </si>
  <si>
    <t xml:space="preserve">手持指投打提挙援担技撃推接授摘批捜捕採拡振抗換抜承押損撤払措抑招択拠拒抱描掲探揮折挑控握操携撮括掛排扱揺抵擁摩掃掘捨撲揚拘拍抽披拝据搭拾擦才拐拓把搬掌摂挫挟扶挿拳拙捉擬抹搾拷摯挺播挨捧抒抄搜撚撫揃拭</t>
  </si>
  <si>
    <t xml:space="preserve">支</t>
  </si>
  <si>
    <r>
      <rPr>
        <sz val="11"/>
        <rFont val="Noto Sans CJK SC"/>
        <family val="2"/>
      </rPr>
      <t xml:space="preserve">し </t>
    </r>
    <r>
      <rPr>
        <sz val="11"/>
        <rFont val="Arial"/>
        <family val="0"/>
        <charset val="1"/>
      </rPr>
      <t xml:space="preserve">/ </t>
    </r>
    <r>
      <rPr>
        <sz val="11"/>
        <rFont val="Noto Sans CJK SC"/>
        <family val="2"/>
      </rPr>
      <t xml:space="preserve">えだ</t>
    </r>
  </si>
  <si>
    <t xml:space="preserve">shi / eda</t>
  </si>
  <si>
    <t xml:space="preserve">branch</t>
  </si>
  <si>
    <t xml:space="preserve">攴</t>
  </si>
  <si>
    <r>
      <rPr>
        <sz val="11"/>
        <rFont val="Noto Sans CJK SC"/>
        <family val="2"/>
      </rPr>
      <t xml:space="preserve">攵 </t>
    </r>
    <r>
      <rPr>
        <sz val="11"/>
        <rFont val="Arial"/>
        <family val="0"/>
        <charset val="1"/>
      </rPr>
      <t xml:space="preserve">(</t>
    </r>
    <r>
      <rPr>
        <sz val="11"/>
        <rFont val="Noto Sans CJK SC"/>
        <family val="2"/>
      </rPr>
      <t xml:space="preserve">のぶん</t>
    </r>
    <r>
      <rPr>
        <sz val="11"/>
        <rFont val="Arial"/>
        <family val="0"/>
        <charset val="1"/>
      </rPr>
      <t xml:space="preserve">, right side)</t>
    </r>
  </si>
  <si>
    <r>
      <rPr>
        <sz val="11"/>
        <rFont val="Noto Sans CJK SC"/>
        <family val="2"/>
      </rPr>
      <t xml:space="preserve">ぼくにょう </t>
    </r>
    <r>
      <rPr>
        <sz val="11"/>
        <rFont val="Arial"/>
        <family val="0"/>
        <charset val="1"/>
      </rPr>
      <t xml:space="preserve">/ </t>
    </r>
    <r>
      <rPr>
        <sz val="11"/>
        <rFont val="Noto Sans CJK SC"/>
        <family val="2"/>
      </rPr>
      <t xml:space="preserve">ぼくづくり</t>
    </r>
  </si>
  <si>
    <t xml:space="preserve">bokunyou / bokuzukuri</t>
  </si>
  <si>
    <t xml:space="preserve">rap, tap, strike</t>
  </si>
  <si>
    <t xml:space="preserve">政改数教放整敗攻故散救敏敬敵敷敦敢</t>
  </si>
  <si>
    <t xml:space="preserve">文</t>
  </si>
  <si>
    <r>
      <rPr>
        <sz val="11"/>
        <rFont val="Noto Sans CJK SC"/>
        <family val="2"/>
      </rPr>
      <t xml:space="preserve">ぶん </t>
    </r>
    <r>
      <rPr>
        <sz val="11"/>
        <rFont val="Arial"/>
        <family val="0"/>
        <charset val="1"/>
      </rPr>
      <t xml:space="preserve">/ </t>
    </r>
    <r>
      <rPr>
        <sz val="11"/>
        <rFont val="Noto Sans CJK SC"/>
        <family val="2"/>
      </rPr>
      <t xml:space="preserve">ぶんにょう</t>
    </r>
  </si>
  <si>
    <t xml:space="preserve">bun / bunnyou</t>
  </si>
  <si>
    <t xml:space="preserve">script, literature</t>
  </si>
  <si>
    <t xml:space="preserve">Speech, mind &amp; ritual</t>
  </si>
  <si>
    <t xml:space="preserve">文斎斉斐斑</t>
  </si>
  <si>
    <t xml:space="preserve">斗</t>
  </si>
  <si>
    <r>
      <rPr>
        <sz val="11"/>
        <rFont val="Noto Sans CJK SC"/>
        <family val="2"/>
      </rPr>
      <t xml:space="preserve">とます </t>
    </r>
    <r>
      <rPr>
        <sz val="11"/>
        <rFont val="Arial"/>
        <family val="0"/>
        <charset val="1"/>
      </rPr>
      <t xml:space="preserve">/ </t>
    </r>
    <r>
      <rPr>
        <sz val="11"/>
        <rFont val="Noto Sans CJK SC"/>
        <family val="2"/>
      </rPr>
      <t xml:space="preserve">ます</t>
    </r>
  </si>
  <si>
    <t xml:space="preserve">tomasu / masu</t>
  </si>
  <si>
    <t xml:space="preserve">dipper, measure</t>
  </si>
  <si>
    <t xml:space="preserve">料斜斗</t>
  </si>
  <si>
    <t xml:space="preserve">斤</t>
  </si>
  <si>
    <r>
      <rPr>
        <sz val="11"/>
        <rFont val="Noto Sans CJK SC"/>
        <family val="2"/>
      </rPr>
      <t xml:space="preserve">きん </t>
    </r>
    <r>
      <rPr>
        <sz val="11"/>
        <rFont val="Arial"/>
        <family val="0"/>
        <charset val="1"/>
      </rPr>
      <t xml:space="preserve">/ </t>
    </r>
    <r>
      <rPr>
        <sz val="11"/>
        <rFont val="Noto Sans CJK SC"/>
        <family val="2"/>
      </rPr>
      <t xml:space="preserve">おのづくり</t>
    </r>
  </si>
  <si>
    <t xml:space="preserve">kin / onozukuri</t>
  </si>
  <si>
    <t xml:space="preserve">axe</t>
  </si>
  <si>
    <t xml:space="preserve">新断斬斥</t>
  </si>
  <si>
    <t xml:space="preserve">方</t>
  </si>
  <si>
    <r>
      <rPr>
        <sz val="11"/>
        <rFont val="Noto Sans CJK SC"/>
        <family val="2"/>
      </rPr>
      <t xml:space="preserve">ほう </t>
    </r>
    <r>
      <rPr>
        <sz val="11"/>
        <rFont val="Arial"/>
        <family val="0"/>
        <charset val="1"/>
      </rPr>
      <t xml:space="preserve">/ </t>
    </r>
    <r>
      <rPr>
        <sz val="11"/>
        <rFont val="Noto Sans CJK SC"/>
        <family val="2"/>
      </rPr>
      <t xml:space="preserve">ほうへん</t>
    </r>
  </si>
  <si>
    <t xml:space="preserve">hou / houhen</t>
  </si>
  <si>
    <t xml:space="preserve">square, direction</t>
  </si>
  <si>
    <t xml:space="preserve">方施族旅旗旋於旛</t>
  </si>
  <si>
    <t xml:space="preserve">无</t>
  </si>
  <si>
    <t xml:space="preserve">旡</t>
  </si>
  <si>
    <r>
      <rPr>
        <sz val="11"/>
        <rFont val="Noto Sans CJK SC"/>
        <family val="2"/>
      </rPr>
      <t xml:space="preserve">むにょう </t>
    </r>
    <r>
      <rPr>
        <sz val="11"/>
        <rFont val="Arial"/>
        <family val="0"/>
        <charset val="1"/>
      </rPr>
      <t xml:space="preserve">/ </t>
    </r>
    <r>
      <rPr>
        <sz val="11"/>
        <rFont val="Noto Sans CJK SC"/>
        <family val="2"/>
      </rPr>
      <t xml:space="preserve">なし</t>
    </r>
  </si>
  <si>
    <t xml:space="preserve">munyou / nashi</t>
  </si>
  <si>
    <t xml:space="preserve">not, nothing</t>
  </si>
  <si>
    <t xml:space="preserve">既</t>
  </si>
  <si>
    <t xml:space="preserve">日</t>
  </si>
  <si>
    <r>
      <rPr>
        <sz val="11"/>
        <rFont val="Noto Sans CJK SC"/>
        <family val="2"/>
      </rPr>
      <t xml:space="preserve">ひ </t>
    </r>
    <r>
      <rPr>
        <sz val="11"/>
        <rFont val="Arial"/>
        <family val="0"/>
        <charset val="1"/>
      </rPr>
      <t xml:space="preserve">/ </t>
    </r>
    <r>
      <rPr>
        <sz val="11"/>
        <rFont val="Noto Sans CJK SC"/>
        <family val="2"/>
      </rPr>
      <t xml:space="preserve">ひへん</t>
    </r>
  </si>
  <si>
    <t xml:space="preserve">hi / hihen</t>
  </si>
  <si>
    <t xml:space="preserve">sun, day</t>
  </si>
  <si>
    <t xml:space="preserve">日時明昨早映景旧易春暴昭普昇星曜暮智晴暗是暫昼旬旨昔暖昌暇旭晩暑曙晶晋晃昆暦曇暁暢暉旺</t>
  </si>
  <si>
    <t xml:space="preserve">曰</t>
  </si>
  <si>
    <r>
      <rPr>
        <sz val="11"/>
        <rFont val="Noto Sans CJK SC"/>
        <family val="2"/>
      </rPr>
      <t xml:space="preserve">ひらび </t>
    </r>
    <r>
      <rPr>
        <sz val="11"/>
        <rFont val="Arial"/>
        <family val="0"/>
        <charset val="1"/>
      </rPr>
      <t xml:space="preserve">/ </t>
    </r>
    <r>
      <rPr>
        <sz val="11"/>
        <rFont val="Noto Sans CJK SC"/>
        <family val="2"/>
      </rPr>
      <t xml:space="preserve">いわく</t>
    </r>
  </si>
  <si>
    <t xml:space="preserve">hirabi / iwaku</t>
  </si>
  <si>
    <t xml:space="preserve">say</t>
  </si>
  <si>
    <t xml:space="preserve">最書曲更替曹曼</t>
  </si>
  <si>
    <t xml:space="preserve">月</t>
  </si>
  <si>
    <r>
      <rPr>
        <sz val="11"/>
        <rFont val="Noto Sans CJK SC"/>
        <family val="2"/>
      </rPr>
      <t xml:space="preserve">つき </t>
    </r>
    <r>
      <rPr>
        <sz val="11"/>
        <rFont val="Arial"/>
        <family val="0"/>
        <charset val="1"/>
      </rPr>
      <t xml:space="preserve">/ </t>
    </r>
    <r>
      <rPr>
        <sz val="11"/>
        <rFont val="Noto Sans CJK SC"/>
        <family val="2"/>
      </rPr>
      <t xml:space="preserve">つきへん</t>
    </r>
  </si>
  <si>
    <t xml:space="preserve">tsuki / tsukihen</t>
  </si>
  <si>
    <t xml:space="preserve">moon, month</t>
  </si>
  <si>
    <t xml:space="preserve">月期朝有望服朗朋朔</t>
  </si>
  <si>
    <t xml:space="preserve">木</t>
  </si>
  <si>
    <r>
      <rPr>
        <sz val="11"/>
        <rFont val="Noto Sans CJK SC"/>
        <family val="2"/>
      </rPr>
      <t xml:space="preserve">き </t>
    </r>
    <r>
      <rPr>
        <sz val="11"/>
        <rFont val="Arial"/>
        <family val="0"/>
        <charset val="1"/>
      </rPr>
      <t xml:space="preserve">/ </t>
    </r>
    <r>
      <rPr>
        <sz val="11"/>
        <rFont val="Noto Sans CJK SC"/>
        <family val="2"/>
      </rPr>
      <t xml:space="preserve">きへん</t>
    </r>
  </si>
  <si>
    <t xml:space="preserve">ki / kihen</t>
  </si>
  <si>
    <t xml:space="preserve">tree, wood</t>
  </si>
  <si>
    <t xml:space="preserve">本東業来機権査案村果格検校構木条楽株末極松核横様橋材森根未林模標植染棄枚束栄札枠板析樹杉柱柄李柳柔梅杯桜棋械梨概梶枝棟栃棒栽欄栗架巣棚柏朴柴桑桂桐机柿枯桃朱枢槽樋楊椿朽椎楠榎樽樺槙槻梁楢橘桧杜枕檜桟榊某杏棺楼橿栓榛桶梯椅樟櫛槍檀樫梓杭杵杖桝檄椙槌楕柚杞</t>
  </si>
  <si>
    <t xml:space="preserve">欠</t>
  </si>
  <si>
    <r>
      <rPr>
        <sz val="11"/>
        <rFont val="Noto Sans CJK SC"/>
        <family val="2"/>
      </rPr>
      <t xml:space="preserve">あくび </t>
    </r>
    <r>
      <rPr>
        <sz val="11"/>
        <rFont val="Arial"/>
        <family val="0"/>
        <charset val="1"/>
      </rPr>
      <t xml:space="preserve">/ </t>
    </r>
    <r>
      <rPr>
        <sz val="11"/>
        <rFont val="Noto Sans CJK SC"/>
        <family val="2"/>
      </rPr>
      <t xml:space="preserve">かける</t>
    </r>
  </si>
  <si>
    <t xml:space="preserve">akubi / kakeru</t>
  </si>
  <si>
    <t xml:space="preserve">lack, yawn</t>
  </si>
  <si>
    <t xml:space="preserve">次欧歌欠欲歓欺款欣欽</t>
  </si>
  <si>
    <t xml:space="preserve">止</t>
  </si>
  <si>
    <r>
      <rPr>
        <sz val="11"/>
        <rFont val="Noto Sans CJK SC"/>
        <family val="2"/>
      </rPr>
      <t xml:space="preserve">とめる </t>
    </r>
    <r>
      <rPr>
        <sz val="11"/>
        <rFont val="Arial"/>
        <family val="0"/>
        <charset val="1"/>
      </rPr>
      <t xml:space="preserve">/ </t>
    </r>
    <r>
      <rPr>
        <sz val="11"/>
        <rFont val="Noto Sans CJK SC"/>
        <family val="2"/>
      </rPr>
      <t xml:space="preserve">とめへん</t>
    </r>
  </si>
  <si>
    <t xml:space="preserve">tomeru / tomehen</t>
  </si>
  <si>
    <t xml:space="preserve">stop</t>
  </si>
  <si>
    <t xml:space="preserve">正歳止武歩歴歯此歪</t>
  </si>
  <si>
    <t xml:space="preserve">歹</t>
  </si>
  <si>
    <t xml:space="preserve">歺</t>
  </si>
  <si>
    <r>
      <rPr>
        <sz val="11"/>
        <rFont val="Noto Sans CJK SC"/>
        <family val="2"/>
      </rPr>
      <t xml:space="preserve">かばねへん </t>
    </r>
    <r>
      <rPr>
        <sz val="11"/>
        <rFont val="Arial"/>
        <family val="0"/>
        <charset val="1"/>
      </rPr>
      <t xml:space="preserve">/ </t>
    </r>
    <r>
      <rPr>
        <sz val="11"/>
        <rFont val="Noto Sans CJK SC"/>
        <family val="2"/>
      </rPr>
      <t xml:space="preserve">いちたへん</t>
    </r>
  </si>
  <si>
    <t xml:space="preserve">kabanehen / ichitahen</t>
  </si>
  <si>
    <t xml:space="preserve">death, decay</t>
  </si>
  <si>
    <t xml:space="preserve">死残殊殖殉</t>
  </si>
  <si>
    <t xml:space="preserve">殳</t>
  </si>
  <si>
    <r>
      <rPr>
        <sz val="11"/>
        <rFont val="Noto Sans CJK SC"/>
        <family val="2"/>
      </rPr>
      <t xml:space="preserve">るまた </t>
    </r>
    <r>
      <rPr>
        <sz val="11"/>
        <rFont val="Arial"/>
        <family val="0"/>
        <charset val="1"/>
      </rPr>
      <t xml:space="preserve">/ </t>
    </r>
    <r>
      <rPr>
        <sz val="11"/>
        <rFont val="Noto Sans CJK SC"/>
        <family val="2"/>
      </rPr>
      <t xml:space="preserve">ほこづくり</t>
    </r>
  </si>
  <si>
    <t xml:space="preserve">rumata / hokozukuri</t>
  </si>
  <si>
    <t xml:space="preserve">weapon, to strike</t>
  </si>
  <si>
    <t xml:space="preserve">段殺殿殴毅殻</t>
  </si>
  <si>
    <t xml:space="preserve">毋</t>
  </si>
  <si>
    <r>
      <rPr>
        <sz val="11"/>
        <rFont val="Noto Sans CJK SC"/>
        <family val="2"/>
      </rPr>
      <t xml:space="preserve">なかれ </t>
    </r>
    <r>
      <rPr>
        <sz val="11"/>
        <rFont val="Arial"/>
        <family val="0"/>
        <charset val="1"/>
      </rPr>
      <t xml:space="preserve">/ </t>
    </r>
    <r>
      <rPr>
        <sz val="11"/>
        <rFont val="Noto Sans CJK SC"/>
        <family val="2"/>
      </rPr>
      <t xml:space="preserve">はは</t>
    </r>
  </si>
  <si>
    <t xml:space="preserve">nakare / haha</t>
  </si>
  <si>
    <t xml:space="preserve">do not, mother</t>
  </si>
  <si>
    <t xml:space="preserve">毎母毒</t>
  </si>
  <si>
    <t xml:space="preserve">比</t>
  </si>
  <si>
    <r>
      <rPr>
        <sz val="11"/>
        <rFont val="Noto Sans CJK SC"/>
        <family val="2"/>
      </rPr>
      <t xml:space="preserve">くらべる </t>
    </r>
    <r>
      <rPr>
        <sz val="11"/>
        <rFont val="Arial"/>
        <family val="0"/>
        <charset val="1"/>
      </rPr>
      <t xml:space="preserve">/ </t>
    </r>
    <r>
      <rPr>
        <sz val="11"/>
        <rFont val="Noto Sans CJK SC"/>
        <family val="2"/>
      </rPr>
      <t xml:space="preserve">ならびひ</t>
    </r>
  </si>
  <si>
    <t xml:space="preserve">kuraberu / narabihi</t>
  </si>
  <si>
    <t xml:space="preserve">compare</t>
  </si>
  <si>
    <t xml:space="preserve">毛</t>
  </si>
  <si>
    <t xml:space="preserve">け</t>
  </si>
  <si>
    <t xml:space="preserve">ke</t>
  </si>
  <si>
    <t xml:space="preserve">fur, hair</t>
  </si>
  <si>
    <t xml:space="preserve">毛毬</t>
  </si>
  <si>
    <t xml:space="preserve">氏</t>
  </si>
  <si>
    <t xml:space="preserve">うじ</t>
  </si>
  <si>
    <t xml:space="preserve">uji</t>
  </si>
  <si>
    <t xml:space="preserve">clan</t>
  </si>
  <si>
    <t xml:space="preserve">民氏</t>
  </si>
  <si>
    <t xml:space="preserve">气</t>
  </si>
  <si>
    <t xml:space="preserve">きがまえ</t>
  </si>
  <si>
    <t xml:space="preserve">kigamae</t>
  </si>
  <si>
    <t xml:space="preserve">steam, breath</t>
  </si>
  <si>
    <t xml:space="preserve">気</t>
  </si>
  <si>
    <t xml:space="preserve">水</t>
  </si>
  <si>
    <r>
      <rPr>
        <sz val="11"/>
        <rFont val="Noto Sans CJK SC"/>
        <family val="2"/>
      </rPr>
      <t xml:space="preserve">氵 </t>
    </r>
    <r>
      <rPr>
        <sz val="11"/>
        <rFont val="Arial"/>
        <family val="0"/>
        <charset val="1"/>
      </rPr>
      <t xml:space="preserve">(</t>
    </r>
    <r>
      <rPr>
        <sz val="11"/>
        <rFont val="Noto Sans CJK SC"/>
        <family val="2"/>
      </rPr>
      <t xml:space="preserve">さんずい</t>
    </r>
    <r>
      <rPr>
        <sz val="11"/>
        <rFont val="Arial"/>
        <family val="0"/>
        <charset val="1"/>
      </rPr>
      <t xml:space="preserve">, left side); </t>
    </r>
    <r>
      <rPr>
        <sz val="11"/>
        <rFont val="Noto Sans CJK SC"/>
        <family val="2"/>
      </rPr>
      <t xml:space="preserve">氺 </t>
    </r>
    <r>
      <rPr>
        <sz val="11"/>
        <rFont val="Arial"/>
        <family val="0"/>
        <charset val="1"/>
      </rPr>
      <t xml:space="preserve">(</t>
    </r>
    <r>
      <rPr>
        <sz val="11"/>
        <rFont val="Noto Sans CJK SC"/>
        <family val="2"/>
      </rPr>
      <t xml:space="preserve">したみず</t>
    </r>
    <r>
      <rPr>
        <sz val="11"/>
        <rFont val="Arial"/>
        <family val="0"/>
        <charset val="1"/>
      </rPr>
      <t xml:space="preserve">, bottom)</t>
    </r>
  </si>
  <si>
    <t xml:space="preserve">みず</t>
  </si>
  <si>
    <t xml:space="preserve">mizu</t>
  </si>
  <si>
    <t xml:space="preserve">water</t>
  </si>
  <si>
    <t xml:space="preserve">決法治派済活海求水減演流沢消準渡深況港注渉満湾激浜河油江清源波測洋浮混池温永汚沖浦渋津泉漁滞沿浴浩瀬洗濃潟液滅泳潮泊滑浅沈泰漏潜湖湯溶泣涙浄没渕漫淡浸氷沼滝漢漂添汗浪湿涯滋泥淵潔漠洞淳潤濯沸澄溝洪涼渦漬汁泡濁沙湘灘淑渇漆洲淀汎滴汽漱渓湧泌漸湛瀋湊渚渥濡洛汐漕瀕澤溥汪溢浙淘洸洒溜</t>
  </si>
  <si>
    <t xml:space="preserve">火</t>
  </si>
  <si>
    <r>
      <rPr>
        <sz val="11"/>
        <rFont val="Noto Sans CJK SC"/>
        <family val="2"/>
      </rPr>
      <t xml:space="preserve">灬 </t>
    </r>
    <r>
      <rPr>
        <sz val="11"/>
        <rFont val="Arial"/>
        <family val="0"/>
        <charset val="1"/>
      </rPr>
      <t xml:space="preserve">(</t>
    </r>
    <r>
      <rPr>
        <sz val="11"/>
        <rFont val="Noto Sans CJK SC"/>
        <family val="2"/>
      </rPr>
      <t xml:space="preserve">れっか </t>
    </r>
    <r>
      <rPr>
        <sz val="11"/>
        <rFont val="Arial"/>
        <family val="0"/>
        <charset val="1"/>
      </rPr>
      <t xml:space="preserve">/ </t>
    </r>
    <r>
      <rPr>
        <sz val="11"/>
        <rFont val="Noto Sans CJK SC"/>
        <family val="2"/>
      </rPr>
      <t xml:space="preserve">れんが</t>
    </r>
    <r>
      <rPr>
        <sz val="11"/>
        <rFont val="Arial"/>
        <family val="0"/>
        <charset val="1"/>
      </rPr>
      <t xml:space="preserve">, bottom)</t>
    </r>
  </si>
  <si>
    <t xml:space="preserve">ひ</t>
  </si>
  <si>
    <t xml:space="preserve">hi</t>
  </si>
  <si>
    <t xml:space="preserve">fire</t>
  </si>
  <si>
    <t xml:space="preserve">点無然火熱爆為燃焦災焼照熊煕炎煙炭炉烈熟煮灯灰炊燥炒烏煩燕焉煥燈煎</t>
  </si>
  <si>
    <t xml:space="preserve">爪</t>
  </si>
  <si>
    <r>
      <rPr>
        <sz val="11"/>
        <rFont val="Noto Sans CJK SC"/>
        <family val="2"/>
      </rPr>
      <t xml:space="preserve">爫 </t>
    </r>
    <r>
      <rPr>
        <sz val="11"/>
        <rFont val="Arial"/>
        <family val="0"/>
        <charset val="1"/>
      </rPr>
      <t xml:space="preserve">(</t>
    </r>
    <r>
      <rPr>
        <sz val="11"/>
        <rFont val="Noto Sans CJK SC"/>
        <family val="2"/>
      </rPr>
      <t xml:space="preserve">つめかんむり</t>
    </r>
    <r>
      <rPr>
        <sz val="11"/>
        <rFont val="Arial"/>
        <family val="0"/>
        <charset val="1"/>
      </rPr>
      <t xml:space="preserve">, top)</t>
    </r>
  </si>
  <si>
    <t xml:space="preserve">つめ</t>
  </si>
  <si>
    <t xml:space="preserve">tsume</t>
  </si>
  <si>
    <t xml:space="preserve">claw</t>
  </si>
  <si>
    <t xml:space="preserve">父</t>
  </si>
  <si>
    <t xml:space="preserve">ちち</t>
  </si>
  <si>
    <t xml:space="preserve">chichi</t>
  </si>
  <si>
    <t xml:space="preserve">father</t>
  </si>
  <si>
    <t xml:space="preserve">爻</t>
  </si>
  <si>
    <r>
      <rPr>
        <sz val="11"/>
        <rFont val="Noto Sans CJK SC"/>
        <family val="2"/>
      </rPr>
      <t xml:space="preserve">こう </t>
    </r>
    <r>
      <rPr>
        <sz val="11"/>
        <rFont val="Arial"/>
        <family val="0"/>
        <charset val="1"/>
      </rPr>
      <t xml:space="preserve">/ </t>
    </r>
    <r>
      <rPr>
        <sz val="11"/>
        <rFont val="Noto Sans CJK SC"/>
        <family val="2"/>
      </rPr>
      <t xml:space="preserve">めめ</t>
    </r>
  </si>
  <si>
    <t xml:space="preserve">kou / meme</t>
  </si>
  <si>
    <t xml:space="preserve">mix, crossing</t>
  </si>
  <si>
    <t xml:space="preserve">爽</t>
  </si>
  <si>
    <t xml:space="preserve">爿</t>
  </si>
  <si>
    <t xml:space="preserve">丬</t>
  </si>
  <si>
    <r>
      <rPr>
        <sz val="11"/>
        <rFont val="Noto Sans CJK SC"/>
        <family val="2"/>
      </rPr>
      <t xml:space="preserve">しょうへん </t>
    </r>
    <r>
      <rPr>
        <sz val="11"/>
        <rFont val="Arial"/>
        <family val="0"/>
        <charset val="1"/>
      </rPr>
      <t xml:space="preserve">/ </t>
    </r>
    <r>
      <rPr>
        <sz val="11"/>
        <rFont val="Noto Sans CJK SC"/>
        <family val="2"/>
      </rPr>
      <t xml:space="preserve">へん</t>
    </r>
  </si>
  <si>
    <t xml:space="preserve">shouhen / hen</t>
  </si>
  <si>
    <t xml:space="preserve">split wood, bed</t>
  </si>
  <si>
    <t xml:space="preserve">片</t>
  </si>
  <si>
    <r>
      <rPr>
        <sz val="11"/>
        <rFont val="Noto Sans CJK SC"/>
        <family val="2"/>
      </rPr>
      <t xml:space="preserve">かた </t>
    </r>
    <r>
      <rPr>
        <sz val="11"/>
        <rFont val="Arial"/>
        <family val="0"/>
        <charset val="1"/>
      </rPr>
      <t xml:space="preserve">/ </t>
    </r>
    <r>
      <rPr>
        <sz val="11"/>
        <rFont val="Noto Sans CJK SC"/>
        <family val="2"/>
      </rPr>
      <t xml:space="preserve">かたへん</t>
    </r>
  </si>
  <si>
    <t xml:space="preserve">kata / katahen</t>
  </si>
  <si>
    <t xml:space="preserve">slice, one side</t>
  </si>
  <si>
    <t xml:space="preserve">版片牌</t>
  </si>
  <si>
    <t xml:space="preserve">牙</t>
  </si>
  <si>
    <r>
      <rPr>
        <sz val="11"/>
        <rFont val="Noto Sans CJK SC"/>
        <family val="2"/>
      </rPr>
      <t xml:space="preserve">きば </t>
    </r>
    <r>
      <rPr>
        <sz val="11"/>
        <rFont val="Arial"/>
        <family val="0"/>
        <charset val="1"/>
      </rPr>
      <t xml:space="preserve">/ </t>
    </r>
    <r>
      <rPr>
        <sz val="11"/>
        <rFont val="Noto Sans CJK SC"/>
        <family val="2"/>
      </rPr>
      <t xml:space="preserve">きばへん</t>
    </r>
  </si>
  <si>
    <t xml:space="preserve">kiba / kibahen</t>
  </si>
  <si>
    <t xml:space="preserve">fang, tooth</t>
  </si>
  <si>
    <t xml:space="preserve">Animals &amp; creatures</t>
  </si>
  <si>
    <t xml:space="preserve">牛</t>
  </si>
  <si>
    <r>
      <rPr>
        <sz val="11"/>
        <rFont val="Noto Sans CJK SC"/>
        <family val="2"/>
      </rPr>
      <t xml:space="preserve">牜 </t>
    </r>
    <r>
      <rPr>
        <sz val="11"/>
        <rFont val="Arial"/>
        <family val="0"/>
        <charset val="1"/>
      </rPr>
      <t xml:space="preserve">(</t>
    </r>
    <r>
      <rPr>
        <sz val="11"/>
        <rFont val="Noto Sans CJK SC"/>
        <family val="2"/>
      </rPr>
      <t xml:space="preserve">うしへん</t>
    </r>
    <r>
      <rPr>
        <sz val="11"/>
        <rFont val="Arial"/>
        <family val="0"/>
        <charset val="1"/>
      </rPr>
      <t xml:space="preserve">, left side)</t>
    </r>
  </si>
  <si>
    <t xml:space="preserve">うし</t>
  </si>
  <si>
    <t xml:space="preserve">ushi</t>
  </si>
  <si>
    <t xml:space="preserve">cow, ox</t>
  </si>
  <si>
    <t xml:space="preserve">物特犠牛牲牧牟牡牝犀牢</t>
  </si>
  <si>
    <t xml:space="preserve">犬</t>
  </si>
  <si>
    <r>
      <rPr>
        <sz val="11"/>
        <rFont val="Noto Sans CJK SC"/>
        <family val="2"/>
      </rPr>
      <t xml:space="preserve">犭 </t>
    </r>
    <r>
      <rPr>
        <sz val="11"/>
        <rFont val="Arial"/>
        <family val="0"/>
        <charset val="1"/>
      </rPr>
      <t xml:space="preserve">(</t>
    </r>
    <r>
      <rPr>
        <sz val="11"/>
        <rFont val="Noto Sans CJK SC"/>
        <family val="2"/>
      </rPr>
      <t xml:space="preserve">けものへん</t>
    </r>
    <r>
      <rPr>
        <sz val="11"/>
        <rFont val="Arial"/>
        <family val="0"/>
        <charset val="1"/>
      </rPr>
      <t xml:space="preserve">, left side)</t>
    </r>
  </si>
  <si>
    <t xml:space="preserve">いぬ</t>
  </si>
  <si>
    <t xml:space="preserve">inu</t>
  </si>
  <si>
    <t xml:space="preserve">dog</t>
  </si>
  <si>
    <t xml:space="preserve">状独献狙犯獲猛犬狭狂獄猪猫獣猿狩猶猟獅狼狐狛猷狸</t>
  </si>
  <si>
    <t xml:space="preserve">玄</t>
  </si>
  <si>
    <t xml:space="preserve">げん</t>
  </si>
  <si>
    <t xml:space="preserve">gen</t>
  </si>
  <si>
    <t xml:space="preserve">dark, profound</t>
  </si>
  <si>
    <t xml:space="preserve">率玄</t>
  </si>
  <si>
    <t xml:space="preserve">玉</t>
  </si>
  <si>
    <r>
      <rPr>
        <sz val="11"/>
        <rFont val="Noto Sans CJK SC"/>
        <family val="2"/>
      </rPr>
      <t xml:space="preserve">王 </t>
    </r>
    <r>
      <rPr>
        <sz val="11"/>
        <rFont val="Arial"/>
        <family val="0"/>
        <charset val="1"/>
      </rPr>
      <t xml:space="preserve">(</t>
    </r>
    <r>
      <rPr>
        <sz val="11"/>
        <rFont val="Noto Sans CJK SC"/>
        <family val="2"/>
      </rPr>
      <t xml:space="preserve">おうへん </t>
    </r>
    <r>
      <rPr>
        <sz val="11"/>
        <rFont val="Arial"/>
        <family val="0"/>
        <charset val="1"/>
      </rPr>
      <t xml:space="preserve">/ </t>
    </r>
    <r>
      <rPr>
        <sz val="11"/>
        <rFont val="Noto Sans CJK SC"/>
        <family val="2"/>
      </rPr>
      <t xml:space="preserve">たまへん</t>
    </r>
    <r>
      <rPr>
        <sz val="11"/>
        <rFont val="Arial"/>
        <family val="0"/>
        <charset val="1"/>
      </rPr>
      <t xml:space="preserve">, left side)</t>
    </r>
  </si>
  <si>
    <t xml:space="preserve">たま</t>
  </si>
  <si>
    <t xml:space="preserve">tama</t>
  </si>
  <si>
    <t xml:space="preserve">jade, king</t>
  </si>
  <si>
    <t xml:space="preserve">現理球環王玉珍琴班珠瑞玲琵琶琢琉玩珂瑠瑛</t>
  </si>
  <si>
    <t xml:space="preserve">瓜</t>
  </si>
  <si>
    <t xml:space="preserve">うり</t>
  </si>
  <si>
    <t xml:space="preserve">uri</t>
  </si>
  <si>
    <t xml:space="preserve">melon</t>
  </si>
  <si>
    <t xml:space="preserve">瓦</t>
  </si>
  <si>
    <t xml:space="preserve">かわら</t>
  </si>
  <si>
    <t xml:space="preserve">kawara</t>
  </si>
  <si>
    <t xml:space="preserve">tile</t>
  </si>
  <si>
    <t xml:space="preserve">瓶瓦甕</t>
  </si>
  <si>
    <t xml:space="preserve">甘</t>
  </si>
  <si>
    <r>
      <rPr>
        <sz val="11"/>
        <rFont val="Noto Sans CJK SC"/>
        <family val="2"/>
      </rPr>
      <t xml:space="preserve">あまい </t>
    </r>
    <r>
      <rPr>
        <sz val="11"/>
        <rFont val="Arial"/>
        <family val="0"/>
        <charset val="1"/>
      </rPr>
      <t xml:space="preserve">/ </t>
    </r>
    <r>
      <rPr>
        <sz val="11"/>
        <rFont val="Noto Sans CJK SC"/>
        <family val="2"/>
      </rPr>
      <t xml:space="preserve">かん</t>
    </r>
  </si>
  <si>
    <t xml:space="preserve">amai / kan</t>
  </si>
  <si>
    <t xml:space="preserve">sweet</t>
  </si>
  <si>
    <t xml:space="preserve">甘甚</t>
  </si>
  <si>
    <t xml:space="preserve">生</t>
  </si>
  <si>
    <r>
      <rPr>
        <sz val="11"/>
        <rFont val="Noto Sans CJK SC"/>
        <family val="2"/>
      </rPr>
      <t xml:space="preserve">うまれる </t>
    </r>
    <r>
      <rPr>
        <sz val="11"/>
        <rFont val="Arial"/>
        <family val="0"/>
        <charset val="1"/>
      </rPr>
      <t xml:space="preserve">/ </t>
    </r>
    <r>
      <rPr>
        <sz val="11"/>
        <rFont val="Noto Sans CJK SC"/>
        <family val="2"/>
      </rPr>
      <t xml:space="preserve">せい</t>
    </r>
  </si>
  <si>
    <t xml:space="preserve">umareru / sei</t>
  </si>
  <si>
    <t xml:space="preserve">life, birth</t>
  </si>
  <si>
    <t xml:space="preserve">生産甦</t>
  </si>
  <si>
    <t xml:space="preserve">用</t>
  </si>
  <si>
    <r>
      <rPr>
        <sz val="11"/>
        <rFont val="Noto Sans CJK SC"/>
        <family val="2"/>
      </rPr>
      <t xml:space="preserve">もちいる </t>
    </r>
    <r>
      <rPr>
        <sz val="11"/>
        <rFont val="Arial"/>
        <family val="0"/>
        <charset val="1"/>
      </rPr>
      <t xml:space="preserve">/ </t>
    </r>
    <r>
      <rPr>
        <sz val="11"/>
        <rFont val="Noto Sans CJK SC"/>
        <family val="2"/>
      </rPr>
      <t xml:space="preserve">よう</t>
    </r>
  </si>
  <si>
    <t xml:space="preserve">mochiiru / you</t>
  </si>
  <si>
    <t xml:space="preserve">use</t>
  </si>
  <si>
    <t xml:space="preserve">用甫</t>
  </si>
  <si>
    <t xml:space="preserve">田</t>
  </si>
  <si>
    <r>
      <rPr>
        <sz val="11"/>
        <rFont val="Noto Sans CJK SC"/>
        <family val="2"/>
      </rPr>
      <t xml:space="preserve">た </t>
    </r>
    <r>
      <rPr>
        <sz val="11"/>
        <rFont val="Arial"/>
        <family val="0"/>
        <charset val="1"/>
      </rPr>
      <t xml:space="preserve">/ </t>
    </r>
    <r>
      <rPr>
        <sz val="11"/>
        <rFont val="Noto Sans CJK SC"/>
        <family val="2"/>
      </rPr>
      <t xml:space="preserve">たへん</t>
    </r>
  </si>
  <si>
    <t xml:space="preserve">ta / tahen</t>
  </si>
  <si>
    <t xml:space="preserve">field, paddy</t>
  </si>
  <si>
    <t xml:space="preserve">田界画男町由番申異留略甲畑畳畿畜畠畔畝畏</t>
  </si>
  <si>
    <t xml:space="preserve">疋</t>
  </si>
  <si>
    <t xml:space="preserve">⽧</t>
  </si>
  <si>
    <r>
      <rPr>
        <sz val="11"/>
        <rFont val="Noto Sans CJK SC"/>
        <family val="2"/>
      </rPr>
      <t xml:space="preserve">ひき </t>
    </r>
    <r>
      <rPr>
        <sz val="11"/>
        <rFont val="Arial"/>
        <family val="0"/>
        <charset val="1"/>
      </rPr>
      <t xml:space="preserve">/ </t>
    </r>
    <r>
      <rPr>
        <sz val="11"/>
        <rFont val="Noto Sans CJK SC"/>
        <family val="2"/>
      </rPr>
      <t xml:space="preserve">ひきへん</t>
    </r>
  </si>
  <si>
    <t xml:space="preserve">hiki / hikihen</t>
  </si>
  <si>
    <t xml:space="preserve">bolt of cloth</t>
  </si>
  <si>
    <t xml:space="preserve">疑疎</t>
  </si>
  <si>
    <t xml:space="preserve">疒</t>
  </si>
  <si>
    <t xml:space="preserve">やまいだれ</t>
  </si>
  <si>
    <t xml:space="preserve">yamaidare</t>
  </si>
  <si>
    <t xml:space="preserve">sickness</t>
  </si>
  <si>
    <t xml:space="preserve">病療痛症疲疾疫痴癒痕癖痢癌瘤</t>
  </si>
  <si>
    <t xml:space="preserve">癶</t>
  </si>
  <si>
    <t xml:space="preserve">はつがしら</t>
  </si>
  <si>
    <t xml:space="preserve">hatsugashira</t>
  </si>
  <si>
    <t xml:space="preserve">footsteps, legs spread</t>
  </si>
  <si>
    <t xml:space="preserve">発登</t>
  </si>
  <si>
    <t xml:space="preserve">白</t>
  </si>
  <si>
    <r>
      <rPr>
        <sz val="11"/>
        <rFont val="Noto Sans CJK SC"/>
        <family val="2"/>
      </rPr>
      <t xml:space="preserve">しろ </t>
    </r>
    <r>
      <rPr>
        <sz val="11"/>
        <rFont val="Arial"/>
        <family val="0"/>
        <charset val="1"/>
      </rPr>
      <t xml:space="preserve">/ </t>
    </r>
    <r>
      <rPr>
        <sz val="11"/>
        <rFont val="Noto Sans CJK SC"/>
        <family val="2"/>
      </rPr>
      <t xml:space="preserve">しろへん</t>
    </r>
  </si>
  <si>
    <t xml:space="preserve">shiro / shirohen</t>
  </si>
  <si>
    <t xml:space="preserve">white</t>
  </si>
  <si>
    <t xml:space="preserve">的百白皇皆皐皓</t>
  </si>
  <si>
    <t xml:space="preserve">皮</t>
  </si>
  <si>
    <r>
      <rPr>
        <sz val="11"/>
        <rFont val="Noto Sans CJK SC"/>
        <family val="2"/>
      </rPr>
      <t xml:space="preserve">けがわ </t>
    </r>
    <r>
      <rPr>
        <sz val="11"/>
        <rFont val="Arial"/>
        <family val="0"/>
        <charset val="1"/>
      </rPr>
      <t xml:space="preserve">/ </t>
    </r>
    <r>
      <rPr>
        <sz val="11"/>
        <rFont val="Noto Sans CJK SC"/>
        <family val="2"/>
      </rPr>
      <t xml:space="preserve">ひのかわ</t>
    </r>
  </si>
  <si>
    <t xml:space="preserve">kegawa / hinokawa</t>
  </si>
  <si>
    <t xml:space="preserve">skin, leather</t>
  </si>
  <si>
    <t xml:space="preserve">皿</t>
  </si>
  <si>
    <t xml:space="preserve">さら</t>
  </si>
  <si>
    <t xml:space="preserve">sara</t>
  </si>
  <si>
    <t xml:space="preserve">dish</t>
  </si>
  <si>
    <t xml:space="preserve">監盟益盛盤盗盧盆皿</t>
  </si>
  <si>
    <t xml:space="preserve">目</t>
  </si>
  <si>
    <r>
      <rPr>
        <sz val="11"/>
        <rFont val="Noto Sans CJK SC"/>
        <family val="2"/>
      </rPr>
      <t xml:space="preserve">め </t>
    </r>
    <r>
      <rPr>
        <sz val="11"/>
        <rFont val="Arial"/>
        <family val="0"/>
        <charset val="1"/>
      </rPr>
      <t xml:space="preserve">/ </t>
    </r>
    <r>
      <rPr>
        <sz val="11"/>
        <rFont val="Noto Sans CJK SC"/>
        <family val="2"/>
      </rPr>
      <t xml:space="preserve">めへん</t>
    </r>
  </si>
  <si>
    <t xml:space="preserve">me / mehen</t>
  </si>
  <si>
    <t xml:space="preserve">eye</t>
  </si>
  <si>
    <t xml:space="preserve">相目県直真着督省看瞬眠盾眼眺睡盲睦瞳眉瞑眞</t>
  </si>
  <si>
    <t xml:space="preserve">矛</t>
  </si>
  <si>
    <r>
      <rPr>
        <sz val="11"/>
        <rFont val="Noto Sans CJK SC"/>
        <family val="2"/>
      </rPr>
      <t xml:space="preserve">ほこ </t>
    </r>
    <r>
      <rPr>
        <sz val="11"/>
        <rFont val="Arial"/>
        <family val="0"/>
        <charset val="1"/>
      </rPr>
      <t xml:space="preserve">/ </t>
    </r>
    <r>
      <rPr>
        <sz val="11"/>
        <rFont val="Noto Sans CJK SC"/>
        <family val="2"/>
      </rPr>
      <t xml:space="preserve">ほこへん</t>
    </r>
  </si>
  <si>
    <t xml:space="preserve">hoko / hokohen</t>
  </si>
  <si>
    <t xml:space="preserve">spear</t>
  </si>
  <si>
    <t xml:space="preserve">矢</t>
  </si>
  <si>
    <r>
      <rPr>
        <sz val="11"/>
        <rFont val="Noto Sans CJK SC"/>
        <family val="2"/>
      </rPr>
      <t xml:space="preserve">や </t>
    </r>
    <r>
      <rPr>
        <sz val="11"/>
        <rFont val="Arial"/>
        <family val="0"/>
        <charset val="1"/>
      </rPr>
      <t xml:space="preserve">/ </t>
    </r>
    <r>
      <rPr>
        <sz val="11"/>
        <rFont val="Noto Sans CJK SC"/>
        <family val="2"/>
      </rPr>
      <t xml:space="preserve">やへん</t>
    </r>
  </si>
  <si>
    <t xml:space="preserve">ya / yahen</t>
  </si>
  <si>
    <t xml:space="preserve">arrow</t>
  </si>
  <si>
    <t xml:space="preserve">知短矢矯矩</t>
  </si>
  <si>
    <t xml:space="preserve">石</t>
  </si>
  <si>
    <r>
      <rPr>
        <sz val="11"/>
        <rFont val="Noto Sans CJK SC"/>
        <family val="2"/>
      </rPr>
      <t xml:space="preserve">いし </t>
    </r>
    <r>
      <rPr>
        <sz val="11"/>
        <rFont val="Arial"/>
        <family val="0"/>
        <charset val="1"/>
      </rPr>
      <t xml:space="preserve">/ </t>
    </r>
    <r>
      <rPr>
        <sz val="11"/>
        <rFont val="Noto Sans CJK SC"/>
        <family val="2"/>
      </rPr>
      <t xml:space="preserve">いしへん</t>
    </r>
  </si>
  <si>
    <t xml:space="preserve">ishi / ishihen</t>
  </si>
  <si>
    <t xml:space="preserve">stone</t>
  </si>
  <si>
    <t xml:space="preserve">確研石破硬砂礎砲磯砕磨碁磁磐碑硫礁硝砦礒碓碧硯</t>
  </si>
  <si>
    <t xml:space="preserve">示</t>
  </si>
  <si>
    <r>
      <rPr>
        <sz val="11"/>
        <rFont val="Noto Sans CJK SC"/>
        <family val="2"/>
      </rPr>
      <t xml:space="preserve">礻 </t>
    </r>
    <r>
      <rPr>
        <sz val="11"/>
        <rFont val="Arial"/>
        <family val="0"/>
        <charset val="1"/>
      </rPr>
      <t xml:space="preserve">(</t>
    </r>
    <r>
      <rPr>
        <sz val="11"/>
        <rFont val="Noto Sans CJK SC"/>
        <family val="2"/>
      </rPr>
      <t xml:space="preserve">しめすへん</t>
    </r>
    <r>
      <rPr>
        <sz val="11"/>
        <rFont val="Arial"/>
        <family val="0"/>
        <charset val="1"/>
      </rPr>
      <t xml:space="preserve">, left side)</t>
    </r>
  </si>
  <si>
    <t xml:space="preserve">しめす</t>
  </si>
  <si>
    <t xml:space="preserve">shimesu</t>
  </si>
  <si>
    <t xml:space="preserve">spirit, altar, show</t>
  </si>
  <si>
    <t xml:space="preserve">社示神福票禁祉祭祝礼祖祥祈祐禅禍禎禄祇</t>
  </si>
  <si>
    <t xml:space="preserve">禸</t>
  </si>
  <si>
    <t xml:space="preserve">ぐうのあし</t>
  </si>
  <si>
    <t xml:space="preserve">guunoashi</t>
  </si>
  <si>
    <t xml:space="preserve">track, footprint</t>
  </si>
  <si>
    <t xml:space="preserve">禾</t>
  </si>
  <si>
    <r>
      <rPr>
        <sz val="11"/>
        <rFont val="Noto Sans CJK SC"/>
        <family val="2"/>
      </rPr>
      <t xml:space="preserve">のぎ </t>
    </r>
    <r>
      <rPr>
        <sz val="11"/>
        <rFont val="Arial"/>
        <family val="0"/>
        <charset val="1"/>
      </rPr>
      <t xml:space="preserve">/ </t>
    </r>
    <r>
      <rPr>
        <sz val="11"/>
        <rFont val="Noto Sans CJK SC"/>
        <family val="2"/>
      </rPr>
      <t xml:space="preserve">のぎへん</t>
    </r>
  </si>
  <si>
    <t xml:space="preserve">nogi / nogihen</t>
  </si>
  <si>
    <t xml:space="preserve">grain, rice plant</t>
  </si>
  <si>
    <t xml:space="preserve">私税移種程科積秋秀秘称秒稲稼秩稿穏稚穫穂穀稔秦租稜稀稽穣</t>
  </si>
  <si>
    <t xml:space="preserve">穴</t>
  </si>
  <si>
    <r>
      <rPr>
        <sz val="11"/>
        <rFont val="Noto Sans CJK SC"/>
        <family val="2"/>
      </rPr>
      <t xml:space="preserve">あな </t>
    </r>
    <r>
      <rPr>
        <sz val="11"/>
        <rFont val="Arial"/>
        <family val="0"/>
        <charset val="1"/>
      </rPr>
      <t xml:space="preserve">/ </t>
    </r>
    <r>
      <rPr>
        <sz val="11"/>
        <rFont val="Noto Sans CJK SC"/>
        <family val="2"/>
      </rPr>
      <t xml:space="preserve">あなかんむり</t>
    </r>
  </si>
  <si>
    <t xml:space="preserve">ana / anakanmuri</t>
  </si>
  <si>
    <t xml:space="preserve">cave, hole</t>
  </si>
  <si>
    <t xml:space="preserve">空究突窓穴窮窒窪窃窯</t>
  </si>
  <si>
    <t xml:space="preserve">立</t>
  </si>
  <si>
    <r>
      <rPr>
        <sz val="11"/>
        <rFont val="Noto Sans CJK SC"/>
        <family val="2"/>
      </rPr>
      <t xml:space="preserve">たつ </t>
    </r>
    <r>
      <rPr>
        <sz val="11"/>
        <rFont val="Arial"/>
        <family val="0"/>
        <charset val="1"/>
      </rPr>
      <t xml:space="preserve">/ </t>
    </r>
    <r>
      <rPr>
        <sz val="11"/>
        <rFont val="Noto Sans CJK SC"/>
        <family val="2"/>
      </rPr>
      <t xml:space="preserve">たつへん</t>
    </r>
  </si>
  <si>
    <t xml:space="preserve">tatsu / tatsuhen</t>
  </si>
  <si>
    <t xml:space="preserve">stand</t>
  </si>
  <si>
    <t xml:space="preserve">立競端章童竜竪</t>
  </si>
  <si>
    <t xml:space="preserve">竹</t>
  </si>
  <si>
    <r>
      <rPr>
        <sz val="11"/>
        <rFont val="Noto Sans CJK SC"/>
        <family val="2"/>
      </rPr>
      <t xml:space="preserve">⺮ </t>
    </r>
    <r>
      <rPr>
        <sz val="11"/>
        <rFont val="Arial"/>
        <family val="0"/>
        <charset val="1"/>
      </rPr>
      <t xml:space="preserve">(</t>
    </r>
    <r>
      <rPr>
        <sz val="11"/>
        <rFont val="Noto Sans CJK SC"/>
        <family val="2"/>
      </rPr>
      <t xml:space="preserve">たけかんむり</t>
    </r>
    <r>
      <rPr>
        <sz val="11"/>
        <rFont val="Arial"/>
        <family val="0"/>
        <charset val="1"/>
      </rPr>
      <t xml:space="preserve">, top)</t>
    </r>
  </si>
  <si>
    <t xml:space="preserve">たけ</t>
  </si>
  <si>
    <t xml:space="preserve">take</t>
  </si>
  <si>
    <t xml:space="preserve">bamboo</t>
  </si>
  <si>
    <t xml:space="preserve">第策算答管竹筋等築籍笑節簡範筆箱簿笠筑篠筒笹符笛篤箕篇箸篭篆笘簗箏笏竿簑</t>
  </si>
  <si>
    <t xml:space="preserve">米</t>
  </si>
  <si>
    <r>
      <rPr>
        <sz val="11"/>
        <rFont val="Noto Sans CJK SC"/>
        <family val="2"/>
      </rPr>
      <t xml:space="preserve">こめ </t>
    </r>
    <r>
      <rPr>
        <sz val="11"/>
        <rFont val="Arial"/>
        <family val="0"/>
        <charset val="1"/>
      </rPr>
      <t xml:space="preserve">/ </t>
    </r>
    <r>
      <rPr>
        <sz val="11"/>
        <rFont val="Noto Sans CJK SC"/>
        <family val="2"/>
      </rPr>
      <t xml:space="preserve">こめへん</t>
    </r>
  </si>
  <si>
    <t xml:space="preserve">kome / komehen</t>
  </si>
  <si>
    <t xml:space="preserve">rice</t>
  </si>
  <si>
    <t xml:space="preserve">米精糧粘糖粉粧粒粗粋粕粟粥糞</t>
  </si>
  <si>
    <t xml:space="preserve">糸</t>
  </si>
  <si>
    <r>
      <rPr>
        <sz val="11"/>
        <rFont val="Noto Sans CJK SC"/>
        <family val="2"/>
      </rPr>
      <t xml:space="preserve">糹 </t>
    </r>
    <r>
      <rPr>
        <sz val="11"/>
        <rFont val="Arial"/>
        <family val="0"/>
        <charset val="1"/>
      </rPr>
      <t xml:space="preserve">(</t>
    </r>
    <r>
      <rPr>
        <sz val="11"/>
        <rFont val="Noto Sans CJK SC"/>
        <family val="2"/>
      </rPr>
      <t xml:space="preserve">いとへん</t>
    </r>
    <r>
      <rPr>
        <sz val="11"/>
        <rFont val="Arial"/>
        <family val="0"/>
        <charset val="1"/>
      </rPr>
      <t xml:space="preserve">, left side)</t>
    </r>
  </si>
  <si>
    <t xml:space="preserve">いと</t>
  </si>
  <si>
    <t xml:space="preserve">ito</t>
  </si>
  <si>
    <t xml:space="preserve">thread, silk</t>
  </si>
  <si>
    <t xml:space="preserve">経約統総続結組終線細紙系編織給維素緊継紀絶級練締絡績繰絵縮緩緒紹納紛純綱縄索緑網繁縦絞縁紅緯繊糸綿紫紋累紘縫綾縛紳糾紺紡絹綴綜繕絆絢綺緋緻縞繭</t>
  </si>
  <si>
    <t xml:space="preserve">缶</t>
  </si>
  <si>
    <r>
      <rPr>
        <sz val="11"/>
        <rFont val="Noto Sans CJK SC"/>
        <family val="2"/>
      </rPr>
      <t xml:space="preserve">ほとぎ </t>
    </r>
    <r>
      <rPr>
        <sz val="11"/>
        <rFont val="Arial"/>
        <family val="0"/>
        <charset val="1"/>
      </rPr>
      <t xml:space="preserve">/ </t>
    </r>
    <r>
      <rPr>
        <sz val="11"/>
        <rFont val="Noto Sans CJK SC"/>
        <family val="2"/>
      </rPr>
      <t xml:space="preserve">ほとぎへん</t>
    </r>
  </si>
  <si>
    <t xml:space="preserve">hotogi / hotogihen</t>
  </si>
  <si>
    <t xml:space="preserve">jar, can</t>
  </si>
  <si>
    <t xml:space="preserve">网</t>
  </si>
  <si>
    <r>
      <rPr>
        <sz val="11"/>
        <rFont val="Noto Sans CJK SC"/>
        <family val="2"/>
      </rPr>
      <t xml:space="preserve">罒・⺳・冈 </t>
    </r>
    <r>
      <rPr>
        <sz val="11"/>
        <rFont val="Arial"/>
        <family val="0"/>
        <charset val="1"/>
      </rPr>
      <t xml:space="preserve">(</t>
    </r>
    <r>
      <rPr>
        <sz val="11"/>
        <rFont val="Noto Sans CJK SC"/>
        <family val="2"/>
      </rPr>
      <t xml:space="preserve">あみがしら </t>
    </r>
    <r>
      <rPr>
        <sz val="11"/>
        <rFont val="Arial"/>
        <family val="0"/>
        <charset val="1"/>
      </rPr>
      <t xml:space="preserve">/ </t>
    </r>
    <r>
      <rPr>
        <sz val="11"/>
        <rFont val="Noto Sans CJK SC"/>
        <family val="2"/>
      </rPr>
      <t xml:space="preserve">よこめ</t>
    </r>
    <r>
      <rPr>
        <sz val="11"/>
        <rFont val="Arial"/>
        <family val="0"/>
        <charset val="1"/>
      </rPr>
      <t xml:space="preserve">, top)</t>
    </r>
  </si>
  <si>
    <t xml:space="preserve">あみ</t>
  </si>
  <si>
    <t xml:space="preserve">ami</t>
  </si>
  <si>
    <t xml:space="preserve">net</t>
  </si>
  <si>
    <t xml:space="preserve">置署罪罰羅罷罵</t>
  </si>
  <si>
    <t xml:space="preserve">羊</t>
  </si>
  <si>
    <r>
      <rPr>
        <sz val="11"/>
        <rFont val="Noto Sans CJK SC"/>
        <family val="2"/>
      </rPr>
      <t xml:space="preserve">⺶ </t>
    </r>
    <r>
      <rPr>
        <sz val="11"/>
        <rFont val="Arial"/>
        <family val="0"/>
        <charset val="1"/>
      </rPr>
      <t xml:space="preserve">(top)</t>
    </r>
  </si>
  <si>
    <t xml:space="preserve">ひつじ</t>
  </si>
  <si>
    <t xml:space="preserve">hitsuji</t>
  </si>
  <si>
    <t xml:space="preserve">sheep</t>
  </si>
  <si>
    <t xml:space="preserve">義美群羊</t>
  </si>
  <si>
    <t xml:space="preserve">羽</t>
  </si>
  <si>
    <t xml:space="preserve">はね</t>
  </si>
  <si>
    <t xml:space="preserve">hane</t>
  </si>
  <si>
    <t xml:space="preserve">feather, wing</t>
  </si>
  <si>
    <t xml:space="preserve">習羽翌翼翻翔翁翫翠耀</t>
  </si>
  <si>
    <t xml:space="preserve">老</t>
  </si>
  <si>
    <r>
      <rPr>
        <sz val="11"/>
        <rFont val="Noto Sans CJK SC"/>
        <family val="2"/>
      </rPr>
      <t xml:space="preserve">耂 </t>
    </r>
    <r>
      <rPr>
        <sz val="11"/>
        <rFont val="Arial"/>
        <family val="0"/>
        <charset val="1"/>
      </rPr>
      <t xml:space="preserve">(</t>
    </r>
    <r>
      <rPr>
        <sz val="11"/>
        <rFont val="Noto Sans CJK SC"/>
        <family val="2"/>
      </rPr>
      <t xml:space="preserve">おいかんむり</t>
    </r>
    <r>
      <rPr>
        <sz val="11"/>
        <rFont val="Arial"/>
        <family val="0"/>
        <charset val="1"/>
      </rPr>
      <t xml:space="preserve">, top)</t>
    </r>
  </si>
  <si>
    <r>
      <rPr>
        <sz val="11"/>
        <rFont val="Noto Sans CJK SC"/>
        <family val="2"/>
      </rPr>
      <t xml:space="preserve">おいる </t>
    </r>
    <r>
      <rPr>
        <sz val="11"/>
        <rFont val="Arial"/>
        <family val="0"/>
        <charset val="1"/>
      </rPr>
      <t xml:space="preserve">/ </t>
    </r>
    <r>
      <rPr>
        <sz val="11"/>
        <rFont val="Noto Sans CJK SC"/>
        <family val="2"/>
      </rPr>
      <t xml:space="preserve">おい</t>
    </r>
  </si>
  <si>
    <t xml:space="preserve">oiru / oi</t>
  </si>
  <si>
    <t xml:space="preserve">old</t>
  </si>
  <si>
    <t xml:space="preserve">者考老</t>
  </si>
  <si>
    <t xml:space="preserve">而</t>
  </si>
  <si>
    <r>
      <rPr>
        <sz val="11"/>
        <rFont val="Noto Sans CJK SC"/>
        <family val="2"/>
      </rPr>
      <t xml:space="preserve">しかして </t>
    </r>
    <r>
      <rPr>
        <sz val="11"/>
        <rFont val="Arial"/>
        <family val="0"/>
        <charset val="1"/>
      </rPr>
      <t xml:space="preserve">/ </t>
    </r>
    <r>
      <rPr>
        <sz val="11"/>
        <rFont val="Noto Sans CJK SC"/>
        <family val="2"/>
      </rPr>
      <t xml:space="preserve">しこうして</t>
    </r>
  </si>
  <si>
    <t xml:space="preserve">shikashite / shikoushite</t>
  </si>
  <si>
    <t xml:space="preserve">and, beard</t>
  </si>
  <si>
    <t xml:space="preserve">耐</t>
  </si>
  <si>
    <t xml:space="preserve">耒</t>
  </si>
  <si>
    <r>
      <rPr>
        <sz val="11"/>
        <rFont val="Noto Sans CJK SC"/>
        <family val="2"/>
      </rPr>
      <t xml:space="preserve">すきへん </t>
    </r>
    <r>
      <rPr>
        <sz val="11"/>
        <rFont val="Arial"/>
        <family val="0"/>
        <charset val="1"/>
      </rPr>
      <t xml:space="preserve">/ </t>
    </r>
    <r>
      <rPr>
        <sz val="11"/>
        <rFont val="Noto Sans CJK SC"/>
        <family val="2"/>
      </rPr>
      <t xml:space="preserve">らいすき</t>
    </r>
  </si>
  <si>
    <t xml:space="preserve">sukihen / raisuki</t>
  </si>
  <si>
    <t xml:space="preserve">plow</t>
  </si>
  <si>
    <t xml:space="preserve">耕</t>
  </si>
  <si>
    <t xml:space="preserve">耳</t>
  </si>
  <si>
    <r>
      <rPr>
        <sz val="11"/>
        <rFont val="Noto Sans CJK SC"/>
        <family val="2"/>
      </rPr>
      <t xml:space="preserve">みみ </t>
    </r>
    <r>
      <rPr>
        <sz val="11"/>
        <rFont val="Arial"/>
        <family val="0"/>
        <charset val="1"/>
      </rPr>
      <t xml:space="preserve">/ </t>
    </r>
    <r>
      <rPr>
        <sz val="11"/>
        <rFont val="Noto Sans CJK SC"/>
        <family val="2"/>
      </rPr>
      <t xml:space="preserve">みみへん</t>
    </r>
  </si>
  <si>
    <t xml:space="preserve">mimi / mimihen</t>
  </si>
  <si>
    <t xml:space="preserve">ear</t>
  </si>
  <si>
    <t xml:space="preserve">職聞聴聖耳聡聯</t>
  </si>
  <si>
    <t xml:space="preserve">聿</t>
  </si>
  <si>
    <t xml:space="preserve">⺻</t>
  </si>
  <si>
    <r>
      <rPr>
        <sz val="11"/>
        <rFont val="Noto Sans CJK SC"/>
        <family val="2"/>
      </rPr>
      <t xml:space="preserve">ふで </t>
    </r>
    <r>
      <rPr>
        <sz val="11"/>
        <rFont val="Arial"/>
        <family val="0"/>
        <charset val="1"/>
      </rPr>
      <t xml:space="preserve">/ </t>
    </r>
    <r>
      <rPr>
        <sz val="11"/>
        <rFont val="Noto Sans CJK SC"/>
        <family val="2"/>
      </rPr>
      <t xml:space="preserve">ふでづくり</t>
    </r>
  </si>
  <si>
    <t xml:space="preserve">fude / fudezukuri</t>
  </si>
  <si>
    <t xml:space="preserve">brush</t>
  </si>
  <si>
    <t xml:space="preserve">粛肇</t>
  </si>
  <si>
    <t xml:space="preserve">肉</t>
  </si>
  <si>
    <r>
      <rPr>
        <sz val="11"/>
        <rFont val="Noto Sans CJK SC"/>
        <family val="2"/>
      </rPr>
      <t xml:space="preserve">月 </t>
    </r>
    <r>
      <rPr>
        <sz val="11"/>
        <rFont val="Arial"/>
        <family val="0"/>
        <charset val="1"/>
      </rPr>
      <t xml:space="preserve">(</t>
    </r>
    <r>
      <rPr>
        <sz val="11"/>
        <rFont val="Noto Sans CJK SC"/>
        <family val="2"/>
      </rPr>
      <t xml:space="preserve">にくづき</t>
    </r>
    <r>
      <rPr>
        <sz val="11"/>
        <rFont val="Arial"/>
        <family val="0"/>
        <charset val="1"/>
      </rPr>
      <t xml:space="preserve">, left side)</t>
    </r>
  </si>
  <si>
    <t xml:space="preserve">にく</t>
  </si>
  <si>
    <t xml:space="preserve">niku</t>
  </si>
  <si>
    <t xml:space="preserve">meat, flesh</t>
  </si>
  <si>
    <t xml:space="preserve">能育脳背脱肉臓肝胸腕脅肩腐脚腹膨腰胞肺胆肥脈脂肌胃膚腎膜脇腸肯胎肪肖胴胡膳腫股脩肢脊膝膠胚</t>
  </si>
  <si>
    <t xml:space="preserve">臣</t>
  </si>
  <si>
    <r>
      <rPr>
        <sz val="11"/>
        <rFont val="Noto Sans CJK SC"/>
        <family val="2"/>
      </rPr>
      <t xml:space="preserve">しん </t>
    </r>
    <r>
      <rPr>
        <sz val="11"/>
        <rFont val="Arial"/>
        <family val="0"/>
        <charset val="1"/>
      </rPr>
      <t xml:space="preserve">/ </t>
    </r>
    <r>
      <rPr>
        <sz val="11"/>
        <rFont val="Noto Sans CJK SC"/>
        <family val="2"/>
      </rPr>
      <t xml:space="preserve">おみ</t>
    </r>
  </si>
  <si>
    <t xml:space="preserve">shin / omi</t>
  </si>
  <si>
    <t xml:space="preserve">minister, retainer</t>
  </si>
  <si>
    <t xml:space="preserve">臨臣</t>
  </si>
  <si>
    <t xml:space="preserve">自</t>
  </si>
  <si>
    <r>
      <rPr>
        <sz val="11"/>
        <rFont val="Noto Sans CJK SC"/>
        <family val="2"/>
      </rPr>
      <t xml:space="preserve">みずから </t>
    </r>
    <r>
      <rPr>
        <sz val="11"/>
        <rFont val="Arial"/>
        <family val="0"/>
        <charset val="1"/>
      </rPr>
      <t xml:space="preserve">/ </t>
    </r>
    <r>
      <rPr>
        <sz val="11"/>
        <rFont val="Noto Sans CJK SC"/>
        <family val="2"/>
      </rPr>
      <t xml:space="preserve">じ</t>
    </r>
  </si>
  <si>
    <t xml:space="preserve">mizukara / ji</t>
  </si>
  <si>
    <t xml:space="preserve">self</t>
  </si>
  <si>
    <t xml:space="preserve">自臭</t>
  </si>
  <si>
    <t xml:space="preserve">至</t>
  </si>
  <si>
    <r>
      <rPr>
        <sz val="11"/>
        <rFont val="Noto Sans CJK SC"/>
        <family val="2"/>
      </rPr>
      <t xml:space="preserve">いたる </t>
    </r>
    <r>
      <rPr>
        <sz val="11"/>
        <rFont val="Arial"/>
        <family val="0"/>
        <charset val="1"/>
      </rPr>
      <t xml:space="preserve">/ </t>
    </r>
    <r>
      <rPr>
        <sz val="11"/>
        <rFont val="Noto Sans CJK SC"/>
        <family val="2"/>
      </rPr>
      <t xml:space="preserve">いたるへん</t>
    </r>
  </si>
  <si>
    <t xml:space="preserve">itaru / itaruhen</t>
  </si>
  <si>
    <t xml:space="preserve">arrive</t>
  </si>
  <si>
    <t xml:space="preserve">致至</t>
  </si>
  <si>
    <t xml:space="preserve">臼</t>
  </si>
  <si>
    <t xml:space="preserve">うす</t>
  </si>
  <si>
    <t xml:space="preserve">usu</t>
  </si>
  <si>
    <t xml:space="preserve">mortar</t>
  </si>
  <si>
    <t xml:space="preserve">興臼</t>
  </si>
  <si>
    <t xml:space="preserve">舌</t>
  </si>
  <si>
    <r>
      <rPr>
        <sz val="11"/>
        <rFont val="Noto Sans CJK SC"/>
        <family val="2"/>
      </rPr>
      <t xml:space="preserve">した </t>
    </r>
    <r>
      <rPr>
        <sz val="11"/>
        <rFont val="Arial"/>
        <family val="0"/>
        <charset val="1"/>
      </rPr>
      <t xml:space="preserve">/ </t>
    </r>
    <r>
      <rPr>
        <sz val="11"/>
        <rFont val="Noto Sans CJK SC"/>
        <family val="2"/>
      </rPr>
      <t xml:space="preserve">したへん</t>
    </r>
  </si>
  <si>
    <t xml:space="preserve">shita / shitahen</t>
  </si>
  <si>
    <t xml:space="preserve">tongue</t>
  </si>
  <si>
    <t xml:space="preserve">舌舘</t>
  </si>
  <si>
    <t xml:space="preserve">舛</t>
  </si>
  <si>
    <t xml:space="preserve">まいあし</t>
  </si>
  <si>
    <t xml:space="preserve">maiashi</t>
  </si>
  <si>
    <t xml:space="preserve">oppose, dance</t>
  </si>
  <si>
    <t xml:space="preserve">舞舜舛</t>
  </si>
  <si>
    <t xml:space="preserve">舟</t>
  </si>
  <si>
    <r>
      <rPr>
        <sz val="11"/>
        <rFont val="Noto Sans CJK SC"/>
        <family val="2"/>
      </rPr>
      <t xml:space="preserve">ふね </t>
    </r>
    <r>
      <rPr>
        <sz val="11"/>
        <rFont val="Arial"/>
        <family val="0"/>
        <charset val="1"/>
      </rPr>
      <t xml:space="preserve">/ </t>
    </r>
    <r>
      <rPr>
        <sz val="11"/>
        <rFont val="Noto Sans CJK SC"/>
        <family val="2"/>
      </rPr>
      <t xml:space="preserve">ふねへん</t>
    </r>
  </si>
  <si>
    <t xml:space="preserve">fune / funehen</t>
  </si>
  <si>
    <t xml:space="preserve">boat</t>
  </si>
  <si>
    <t xml:space="preserve">般航船艦艇舶舟舵舩</t>
  </si>
  <si>
    <t xml:space="preserve">艮</t>
  </si>
  <si>
    <r>
      <rPr>
        <sz val="11"/>
        <rFont val="Noto Sans CJK SC"/>
        <family val="2"/>
      </rPr>
      <t xml:space="preserve">こん </t>
    </r>
    <r>
      <rPr>
        <sz val="11"/>
        <rFont val="Arial"/>
        <family val="0"/>
        <charset val="1"/>
      </rPr>
      <t xml:space="preserve">/ </t>
    </r>
    <r>
      <rPr>
        <sz val="11"/>
        <rFont val="Noto Sans CJK SC"/>
        <family val="2"/>
      </rPr>
      <t xml:space="preserve">うしとら </t>
    </r>
    <r>
      <rPr>
        <sz val="11"/>
        <rFont val="Arial"/>
        <family val="0"/>
        <charset val="1"/>
      </rPr>
      <t xml:space="preserve">/ </t>
    </r>
    <r>
      <rPr>
        <sz val="11"/>
        <rFont val="Noto Sans CJK SC"/>
        <family val="2"/>
      </rPr>
      <t xml:space="preserve">ねづくり</t>
    </r>
  </si>
  <si>
    <t xml:space="preserve">kon / ushitora / nezukuri</t>
  </si>
  <si>
    <t xml:space="preserve">stopping, tough</t>
  </si>
  <si>
    <t xml:space="preserve">良</t>
  </si>
  <si>
    <t xml:space="preserve">色</t>
  </si>
  <si>
    <t xml:space="preserve">いろ</t>
  </si>
  <si>
    <t xml:space="preserve">iro</t>
  </si>
  <si>
    <t xml:space="preserve">color</t>
  </si>
  <si>
    <t xml:space="preserve">色艶</t>
  </si>
  <si>
    <t xml:space="preserve">艸</t>
  </si>
  <si>
    <r>
      <rPr>
        <sz val="11"/>
        <rFont val="Noto Sans CJK SC"/>
        <family val="2"/>
      </rPr>
      <t xml:space="preserve">艹・⺾ </t>
    </r>
    <r>
      <rPr>
        <sz val="11"/>
        <rFont val="Arial"/>
        <family val="0"/>
        <charset val="1"/>
      </rPr>
      <t xml:space="preserve">(</t>
    </r>
    <r>
      <rPr>
        <sz val="11"/>
        <rFont val="Noto Sans CJK SC"/>
        <family val="2"/>
      </rPr>
      <t xml:space="preserve">くさかんむり</t>
    </r>
    <r>
      <rPr>
        <sz val="11"/>
        <rFont val="Arial"/>
        <family val="0"/>
        <charset val="1"/>
      </rPr>
      <t xml:space="preserve">, top)</t>
    </r>
  </si>
  <si>
    <t xml:space="preserve">くさ</t>
  </si>
  <si>
    <t xml:space="preserve">kusa</t>
  </si>
  <si>
    <t xml:space="preserve">grass, plant</t>
  </si>
  <si>
    <t xml:space="preserve">藤葉落英若蔵花苦薬芸葬著草薄芝薦華荒茶茂茨菱荷蓄菊芳菜荘萩葛蒸菅菌荻芽苗菓芦蓮薫蘭蒲茅藩芥蘇薩茎芭苫蕉藍苑藝菩荏薮葵藻萬芹蔭苅薪芯蔦萱芙蒋蒼蕨蔡葦萌薔蒙蕃茗蒔蓋藏芋茜蓼蔑藁</t>
  </si>
  <si>
    <t xml:space="preserve">虍</t>
  </si>
  <si>
    <r>
      <rPr>
        <sz val="11"/>
        <rFont val="Noto Sans CJK SC"/>
        <family val="2"/>
      </rPr>
      <t xml:space="preserve">とらかんむり </t>
    </r>
    <r>
      <rPr>
        <sz val="11"/>
        <rFont val="Arial"/>
        <family val="0"/>
        <charset val="1"/>
      </rPr>
      <t xml:space="preserve">/ </t>
    </r>
    <r>
      <rPr>
        <sz val="11"/>
        <rFont val="Noto Sans CJK SC"/>
        <family val="2"/>
      </rPr>
      <t xml:space="preserve">とらがしら</t>
    </r>
  </si>
  <si>
    <t xml:space="preserve">torakanmuri / toragashira</t>
  </si>
  <si>
    <t xml:space="preserve">tiger stripes</t>
  </si>
  <si>
    <t xml:space="preserve">虚虐虎虜</t>
  </si>
  <si>
    <t xml:space="preserve">虫</t>
  </si>
  <si>
    <r>
      <rPr>
        <sz val="11"/>
        <rFont val="Noto Sans CJK SC"/>
        <family val="2"/>
      </rPr>
      <t xml:space="preserve">むし </t>
    </r>
    <r>
      <rPr>
        <sz val="11"/>
        <rFont val="Arial"/>
        <family val="0"/>
        <charset val="1"/>
      </rPr>
      <t xml:space="preserve">/ </t>
    </r>
    <r>
      <rPr>
        <sz val="11"/>
        <rFont val="Noto Sans CJK SC"/>
        <family val="2"/>
      </rPr>
      <t xml:space="preserve">むしへん</t>
    </r>
  </si>
  <si>
    <t xml:space="preserve">mushi / mushihen</t>
  </si>
  <si>
    <t xml:space="preserve">insect</t>
  </si>
  <si>
    <t xml:space="preserve">融虫蛇蝶蛍虹蚊蜜蜂蛋蚕蜷蛮蟹蛭蝦</t>
  </si>
  <si>
    <t xml:space="preserve">血</t>
  </si>
  <si>
    <t xml:space="preserve">ち</t>
  </si>
  <si>
    <t xml:space="preserve">chi</t>
  </si>
  <si>
    <t xml:space="preserve">blood</t>
  </si>
  <si>
    <t xml:space="preserve">衆血</t>
  </si>
  <si>
    <t xml:space="preserve">行</t>
  </si>
  <si>
    <r>
      <rPr>
        <sz val="11"/>
        <rFont val="Noto Sans CJK SC"/>
        <family val="2"/>
      </rPr>
      <t xml:space="preserve">ぎょうがまえ </t>
    </r>
    <r>
      <rPr>
        <sz val="11"/>
        <rFont val="Arial"/>
        <family val="0"/>
        <charset val="1"/>
      </rPr>
      <t xml:space="preserve">/ </t>
    </r>
    <r>
      <rPr>
        <sz val="11"/>
        <rFont val="Noto Sans CJK SC"/>
        <family val="2"/>
      </rPr>
      <t xml:space="preserve">ゆきがまえ</t>
    </r>
  </si>
  <si>
    <t xml:space="preserve">gyougamae / yukigamae</t>
  </si>
  <si>
    <t xml:space="preserve">walk, go, line</t>
  </si>
  <si>
    <t xml:space="preserve">行術衛街衝衡</t>
  </si>
  <si>
    <t xml:space="preserve">衣</t>
  </si>
  <si>
    <r>
      <rPr>
        <sz val="11"/>
        <rFont val="Noto Sans CJK SC"/>
        <family val="2"/>
      </rPr>
      <t xml:space="preserve">衤 </t>
    </r>
    <r>
      <rPr>
        <sz val="11"/>
        <rFont val="Arial"/>
        <family val="0"/>
        <charset val="1"/>
      </rPr>
      <t xml:space="preserve">(</t>
    </r>
    <r>
      <rPr>
        <sz val="11"/>
        <rFont val="Noto Sans CJK SC"/>
        <family val="2"/>
      </rPr>
      <t xml:space="preserve">ころもへん</t>
    </r>
    <r>
      <rPr>
        <sz val="11"/>
        <rFont val="Arial"/>
        <family val="0"/>
        <charset val="1"/>
      </rPr>
      <t xml:space="preserve">, left side)</t>
    </r>
  </si>
  <si>
    <t xml:space="preserve">ころも</t>
  </si>
  <si>
    <t xml:space="preserve">koromo</t>
  </si>
  <si>
    <t xml:space="preserve">clothes</t>
  </si>
  <si>
    <t xml:space="preserve">表裁補被製装裏複裂裕袋襲衣衰裸袖襟褒袴褐衷襄裾袁</t>
  </si>
  <si>
    <t xml:space="preserve">襾</t>
  </si>
  <si>
    <r>
      <rPr>
        <sz val="11"/>
        <rFont val="Noto Sans CJK SC"/>
        <family val="2"/>
      </rPr>
      <t xml:space="preserve">覀・西 </t>
    </r>
    <r>
      <rPr>
        <sz val="11"/>
        <rFont val="Arial"/>
        <family val="0"/>
        <charset val="1"/>
      </rPr>
      <t xml:space="preserve">(</t>
    </r>
    <r>
      <rPr>
        <sz val="11"/>
        <rFont val="Noto Sans CJK SC"/>
        <family val="2"/>
      </rPr>
      <t xml:space="preserve">おおいかんむり </t>
    </r>
    <r>
      <rPr>
        <sz val="11"/>
        <rFont val="Arial"/>
        <family val="0"/>
        <charset val="1"/>
      </rPr>
      <t xml:space="preserve">/ </t>
    </r>
    <r>
      <rPr>
        <sz val="11"/>
        <rFont val="Noto Sans CJK SC"/>
        <family val="2"/>
      </rPr>
      <t xml:space="preserve">にし</t>
    </r>
    <r>
      <rPr>
        <sz val="11"/>
        <rFont val="Arial"/>
        <family val="0"/>
        <charset val="1"/>
      </rPr>
      <t xml:space="preserve">)</t>
    </r>
  </si>
  <si>
    <r>
      <rPr>
        <sz val="11"/>
        <rFont val="Noto Sans CJK SC"/>
        <family val="2"/>
      </rPr>
      <t xml:space="preserve">にし </t>
    </r>
    <r>
      <rPr>
        <sz val="11"/>
        <rFont val="Arial"/>
        <family val="0"/>
        <charset val="1"/>
      </rPr>
      <t xml:space="preserve">/ </t>
    </r>
    <r>
      <rPr>
        <sz val="11"/>
        <rFont val="Noto Sans CJK SC"/>
        <family val="2"/>
      </rPr>
      <t xml:space="preserve">おおいかんむり</t>
    </r>
  </si>
  <si>
    <t xml:space="preserve">nishi / ooikanmuri</t>
  </si>
  <si>
    <t xml:space="preserve">west, cover</t>
  </si>
  <si>
    <t xml:space="preserve">要西覇覆</t>
  </si>
  <si>
    <t xml:space="preserve">見</t>
  </si>
  <si>
    <t xml:space="preserve">みる</t>
  </si>
  <si>
    <t xml:space="preserve">miru</t>
  </si>
  <si>
    <t xml:space="preserve">see</t>
  </si>
  <si>
    <t xml:space="preserve">見規視親観覚覧</t>
  </si>
  <si>
    <t xml:space="preserve">角</t>
  </si>
  <si>
    <r>
      <rPr>
        <sz val="11"/>
        <rFont val="Noto Sans CJK SC"/>
        <family val="2"/>
      </rPr>
      <t xml:space="preserve">つの </t>
    </r>
    <r>
      <rPr>
        <sz val="11"/>
        <rFont val="Arial"/>
        <family val="0"/>
        <charset val="1"/>
      </rPr>
      <t xml:space="preserve">/ </t>
    </r>
    <r>
      <rPr>
        <sz val="11"/>
        <rFont val="Noto Sans CJK SC"/>
        <family val="2"/>
      </rPr>
      <t xml:space="preserve">つのへん</t>
    </r>
  </si>
  <si>
    <t xml:space="preserve">tsuno / tsunohen</t>
  </si>
  <si>
    <t xml:space="preserve">horn, corner</t>
  </si>
  <si>
    <t xml:space="preserve">解角触</t>
  </si>
  <si>
    <t xml:space="preserve">言</t>
  </si>
  <si>
    <r>
      <rPr>
        <sz val="11"/>
        <rFont val="Noto Sans CJK SC"/>
        <family val="2"/>
      </rPr>
      <t xml:space="preserve">訁 </t>
    </r>
    <r>
      <rPr>
        <sz val="11"/>
        <rFont val="Arial"/>
        <family val="0"/>
        <charset val="1"/>
      </rPr>
      <t xml:space="preserve">(</t>
    </r>
    <r>
      <rPr>
        <sz val="11"/>
        <rFont val="Noto Sans CJK SC"/>
        <family val="2"/>
      </rPr>
      <t xml:space="preserve">ごんべん</t>
    </r>
    <r>
      <rPr>
        <sz val="11"/>
        <rFont val="Arial"/>
        <family val="0"/>
        <charset val="1"/>
      </rPr>
      <t xml:space="preserve">, left side)</t>
    </r>
  </si>
  <si>
    <r>
      <rPr>
        <sz val="11"/>
        <rFont val="Noto Sans CJK SC"/>
        <family val="2"/>
      </rPr>
      <t xml:space="preserve">ことば </t>
    </r>
    <r>
      <rPr>
        <sz val="11"/>
        <rFont val="Arial"/>
        <family val="0"/>
        <charset val="1"/>
      </rPr>
      <t xml:space="preserve">/ </t>
    </r>
    <r>
      <rPr>
        <sz val="11"/>
        <rFont val="Noto Sans CJK SC"/>
        <family val="2"/>
      </rPr>
      <t xml:space="preserve">ごんべん</t>
    </r>
  </si>
  <si>
    <t xml:space="preserve">kotoba / gonben</t>
  </si>
  <si>
    <t xml:space="preserve">speech, say</t>
  </si>
  <si>
    <t xml:space="preserve">議言調話設記認論計談語証説護警訪試訴評課識請討読講諸許誌譲誘診詰託誕謝訳訟誉誠訓誤詳詩誇諮謀諭諾詐誓謡謙詞該訂譜誰諏詠謎謹讃詔謄諌訃諜諦詫謳</t>
  </si>
  <si>
    <t xml:space="preserve">谷</t>
  </si>
  <si>
    <t xml:space="preserve">たに</t>
  </si>
  <si>
    <t xml:space="preserve">tani</t>
  </si>
  <si>
    <t xml:space="preserve">valley</t>
  </si>
  <si>
    <t xml:space="preserve">豆</t>
  </si>
  <si>
    <r>
      <rPr>
        <sz val="11"/>
        <rFont val="Noto Sans CJK SC"/>
        <family val="2"/>
      </rPr>
      <t xml:space="preserve">まめ </t>
    </r>
    <r>
      <rPr>
        <sz val="11"/>
        <rFont val="Arial"/>
        <family val="0"/>
        <charset val="1"/>
      </rPr>
      <t xml:space="preserve">/ </t>
    </r>
    <r>
      <rPr>
        <sz val="11"/>
        <rFont val="Noto Sans CJK SC"/>
        <family val="2"/>
      </rPr>
      <t xml:space="preserve">まめへん</t>
    </r>
  </si>
  <si>
    <t xml:space="preserve">mame / mamehen</t>
  </si>
  <si>
    <t xml:space="preserve">bean</t>
  </si>
  <si>
    <t xml:space="preserve">豊豆</t>
  </si>
  <si>
    <t xml:space="preserve">豕</t>
  </si>
  <si>
    <r>
      <rPr>
        <sz val="11"/>
        <rFont val="Noto Sans CJK SC"/>
        <family val="2"/>
      </rPr>
      <t xml:space="preserve">いのこ </t>
    </r>
    <r>
      <rPr>
        <sz val="11"/>
        <rFont val="Arial"/>
        <family val="0"/>
        <charset val="1"/>
      </rPr>
      <t xml:space="preserve">/ </t>
    </r>
    <r>
      <rPr>
        <sz val="11"/>
        <rFont val="Noto Sans CJK SC"/>
        <family val="2"/>
      </rPr>
      <t xml:space="preserve">ぶた</t>
    </r>
  </si>
  <si>
    <t xml:space="preserve">inoko / buta</t>
  </si>
  <si>
    <t xml:space="preserve">pig</t>
  </si>
  <si>
    <t xml:space="preserve">象豪豚</t>
  </si>
  <si>
    <t xml:space="preserve">豸</t>
  </si>
  <si>
    <r>
      <rPr>
        <sz val="11"/>
        <rFont val="Noto Sans CJK SC"/>
        <family val="2"/>
      </rPr>
      <t xml:space="preserve">むじな </t>
    </r>
    <r>
      <rPr>
        <sz val="11"/>
        <rFont val="Arial"/>
        <family val="0"/>
        <charset val="1"/>
      </rPr>
      <t xml:space="preserve">/ </t>
    </r>
    <r>
      <rPr>
        <sz val="11"/>
        <rFont val="Noto Sans CJK SC"/>
        <family val="2"/>
      </rPr>
      <t xml:space="preserve">むじなへん</t>
    </r>
  </si>
  <si>
    <t xml:space="preserve">mujina / mujinahen</t>
  </si>
  <si>
    <t xml:space="preserve">badger, legless reptile</t>
  </si>
  <si>
    <t xml:space="preserve">貝</t>
  </si>
  <si>
    <r>
      <rPr>
        <sz val="11"/>
        <rFont val="Noto Sans CJK SC"/>
        <family val="2"/>
      </rPr>
      <t xml:space="preserve">かい </t>
    </r>
    <r>
      <rPr>
        <sz val="11"/>
        <rFont val="Arial"/>
        <family val="0"/>
        <charset val="1"/>
      </rPr>
      <t xml:space="preserve">/ </t>
    </r>
    <r>
      <rPr>
        <sz val="11"/>
        <rFont val="Noto Sans CJK SC"/>
        <family val="2"/>
      </rPr>
      <t xml:space="preserve">こがい</t>
    </r>
  </si>
  <si>
    <t xml:space="preserve">kai / kogai</t>
  </si>
  <si>
    <t xml:space="preserve">shell, money</t>
  </si>
  <si>
    <t xml:space="preserve">資費質賞負財買責販貿貨賛購貢賃貴貸贈賀貯貫賢貧賠賄貞賓貝賭賊賜贅贋貰貼</t>
  </si>
  <si>
    <t xml:space="preserve">赤</t>
  </si>
  <si>
    <t xml:space="preserve">あか</t>
  </si>
  <si>
    <t xml:space="preserve">aka</t>
  </si>
  <si>
    <t xml:space="preserve">red</t>
  </si>
  <si>
    <t xml:space="preserve">赤赦</t>
  </si>
  <si>
    <t xml:space="preserve">走</t>
  </si>
  <si>
    <r>
      <rPr>
        <sz val="11"/>
        <rFont val="Noto Sans CJK SC"/>
        <family val="2"/>
      </rPr>
      <t xml:space="preserve">はしる </t>
    </r>
    <r>
      <rPr>
        <sz val="11"/>
        <rFont val="Arial"/>
        <family val="0"/>
        <charset val="1"/>
      </rPr>
      <t xml:space="preserve">/ </t>
    </r>
    <r>
      <rPr>
        <sz val="11"/>
        <rFont val="Noto Sans CJK SC"/>
        <family val="2"/>
      </rPr>
      <t xml:space="preserve">そうにょう</t>
    </r>
  </si>
  <si>
    <t xml:space="preserve">hashiru / sounyou</t>
  </si>
  <si>
    <t xml:space="preserve">run</t>
  </si>
  <si>
    <t xml:space="preserve">起超走越趣趙赴赳</t>
  </si>
  <si>
    <t xml:space="preserve">足</t>
  </si>
  <si>
    <r>
      <rPr>
        <sz val="11"/>
        <rFont val="Noto Sans CJK SC"/>
        <family val="2"/>
      </rPr>
      <t xml:space="preserve">⻊ </t>
    </r>
    <r>
      <rPr>
        <sz val="11"/>
        <rFont val="Arial"/>
        <family val="0"/>
        <charset val="1"/>
      </rPr>
      <t xml:space="preserve">(</t>
    </r>
    <r>
      <rPr>
        <sz val="11"/>
        <rFont val="Noto Sans CJK SC"/>
        <family val="2"/>
      </rPr>
      <t xml:space="preserve">あしへん</t>
    </r>
    <r>
      <rPr>
        <sz val="11"/>
        <rFont val="Arial"/>
        <family val="0"/>
        <charset val="1"/>
      </rPr>
      <t xml:space="preserve">, left side)</t>
    </r>
  </si>
  <si>
    <t xml:space="preserve">あし</t>
  </si>
  <si>
    <t xml:space="preserve">ashi</t>
  </si>
  <si>
    <t xml:space="preserve">foot, leg</t>
  </si>
  <si>
    <t xml:space="preserve">足路踏躍跡距踊践跳蹴蹄</t>
  </si>
  <si>
    <t xml:space="preserve">身</t>
  </si>
  <si>
    <r>
      <rPr>
        <sz val="11"/>
        <rFont val="Noto Sans CJK SC"/>
        <family val="2"/>
      </rPr>
      <t xml:space="preserve">み </t>
    </r>
    <r>
      <rPr>
        <sz val="11"/>
        <rFont val="Arial"/>
        <family val="0"/>
        <charset val="1"/>
      </rPr>
      <t xml:space="preserve">/ </t>
    </r>
    <r>
      <rPr>
        <sz val="11"/>
        <rFont val="Noto Sans CJK SC"/>
        <family val="2"/>
      </rPr>
      <t xml:space="preserve">みへん</t>
    </r>
  </si>
  <si>
    <t xml:space="preserve">mi / mihen</t>
  </si>
  <si>
    <t xml:space="preserve">body</t>
  </si>
  <si>
    <t xml:space="preserve">車</t>
  </si>
  <si>
    <r>
      <rPr>
        <sz val="11"/>
        <rFont val="Noto Sans CJK SC"/>
        <family val="2"/>
      </rPr>
      <t xml:space="preserve">くるま </t>
    </r>
    <r>
      <rPr>
        <sz val="11"/>
        <rFont val="Arial"/>
        <family val="0"/>
        <charset val="1"/>
      </rPr>
      <t xml:space="preserve">/ </t>
    </r>
    <r>
      <rPr>
        <sz val="11"/>
        <rFont val="Noto Sans CJK SC"/>
        <family val="2"/>
      </rPr>
      <t xml:space="preserve">くるまへん</t>
    </r>
  </si>
  <si>
    <t xml:space="preserve">kuruma / kurumahen</t>
  </si>
  <si>
    <t xml:space="preserve">cart, vehicle</t>
  </si>
  <si>
    <t xml:space="preserve">軍転車輸輪軽載較輝軸軟輩軒軌轄輔轟轍</t>
  </si>
  <si>
    <t xml:space="preserve">辛</t>
  </si>
  <si>
    <r>
      <rPr>
        <sz val="11"/>
        <rFont val="Noto Sans CJK SC"/>
        <family val="2"/>
      </rPr>
      <t xml:space="preserve">からい </t>
    </r>
    <r>
      <rPr>
        <sz val="11"/>
        <rFont val="Arial"/>
        <family val="0"/>
        <charset val="1"/>
      </rPr>
      <t xml:space="preserve">/ </t>
    </r>
    <r>
      <rPr>
        <sz val="11"/>
        <rFont val="Noto Sans CJK SC"/>
        <family val="2"/>
      </rPr>
      <t xml:space="preserve">しん</t>
    </r>
  </si>
  <si>
    <t xml:space="preserve">karai / shin</t>
  </si>
  <si>
    <t xml:space="preserve">bitter, spicy</t>
  </si>
  <si>
    <t xml:space="preserve">辞辛</t>
  </si>
  <si>
    <t xml:space="preserve">辰</t>
  </si>
  <si>
    <r>
      <rPr>
        <sz val="11"/>
        <rFont val="Noto Sans CJK SC"/>
        <family val="2"/>
      </rPr>
      <t xml:space="preserve">しんのたつ </t>
    </r>
    <r>
      <rPr>
        <sz val="11"/>
        <rFont val="Arial"/>
        <family val="0"/>
        <charset val="1"/>
      </rPr>
      <t xml:space="preserve">/ </t>
    </r>
    <r>
      <rPr>
        <sz val="11"/>
        <rFont val="Noto Sans CJK SC"/>
        <family val="2"/>
      </rPr>
      <t xml:space="preserve">たつ</t>
    </r>
  </si>
  <si>
    <t xml:space="preserve">shinnotatsu / tatsu</t>
  </si>
  <si>
    <t xml:space="preserve">morning, 5th zodiac sign (dragon)</t>
  </si>
  <si>
    <t xml:space="preserve">農辰辱</t>
  </si>
  <si>
    <t xml:space="preserve">辵</t>
  </si>
  <si>
    <r>
      <rPr>
        <sz val="11"/>
        <rFont val="Noto Sans CJK SC"/>
        <family val="2"/>
      </rPr>
      <t xml:space="preserve">辶・⻌ </t>
    </r>
    <r>
      <rPr>
        <sz val="11"/>
        <rFont val="Arial"/>
        <family val="0"/>
        <charset val="1"/>
      </rPr>
      <t xml:space="preserve">(</t>
    </r>
    <r>
      <rPr>
        <sz val="11"/>
        <rFont val="Noto Sans CJK SC"/>
        <family val="2"/>
      </rPr>
      <t xml:space="preserve">しんにょう </t>
    </r>
    <r>
      <rPr>
        <sz val="11"/>
        <rFont val="Arial"/>
        <family val="0"/>
        <charset val="1"/>
      </rPr>
      <t xml:space="preserve">/ </t>
    </r>
    <r>
      <rPr>
        <sz val="11"/>
        <rFont val="Noto Sans CJK SC"/>
        <family val="2"/>
      </rPr>
      <t xml:space="preserve">しんにゅう</t>
    </r>
    <r>
      <rPr>
        <sz val="11"/>
        <rFont val="Arial"/>
        <family val="0"/>
        <charset val="1"/>
      </rPr>
      <t xml:space="preserve">)</t>
    </r>
  </si>
  <si>
    <r>
      <rPr>
        <sz val="11"/>
        <rFont val="Noto Sans CJK SC"/>
        <family val="2"/>
      </rPr>
      <t xml:space="preserve">しんにょう </t>
    </r>
    <r>
      <rPr>
        <sz val="11"/>
        <rFont val="Arial"/>
        <family val="0"/>
        <charset val="1"/>
      </rPr>
      <t xml:space="preserve">/ </t>
    </r>
    <r>
      <rPr>
        <sz val="11"/>
        <rFont val="Noto Sans CJK SC"/>
        <family val="2"/>
      </rPr>
      <t xml:space="preserve">しんにゅう</t>
    </r>
  </si>
  <si>
    <t xml:space="preserve">shinnyou / shinnyuu</t>
  </si>
  <si>
    <t xml:space="preserve">walk, movement</t>
  </si>
  <si>
    <t xml:space="preserve">連選通進近道運過送違述追退辺造達週速迎遺遣適込逆返途避逮迫遅遠還逃遊迷透遇遂逸遭辻遍遮迅迭遷逓逝逗遼逢迦逐遥</t>
  </si>
  <si>
    <t xml:space="preserve">邑</t>
  </si>
  <si>
    <r>
      <rPr>
        <sz val="11"/>
        <rFont val="Noto Sans CJK SC"/>
        <family val="2"/>
      </rPr>
      <t xml:space="preserve">阝 </t>
    </r>
    <r>
      <rPr>
        <sz val="11"/>
        <rFont val="Arial"/>
        <family val="0"/>
        <charset val="1"/>
      </rPr>
      <t xml:space="preserve">(</t>
    </r>
    <r>
      <rPr>
        <sz val="11"/>
        <rFont val="Noto Sans CJK SC"/>
        <family val="2"/>
      </rPr>
      <t xml:space="preserve">おおざと</t>
    </r>
    <r>
      <rPr>
        <sz val="11"/>
        <rFont val="Arial"/>
        <family val="0"/>
        <charset val="1"/>
      </rPr>
      <t xml:space="preserve">, right side)</t>
    </r>
  </si>
  <si>
    <r>
      <rPr>
        <sz val="11"/>
        <rFont val="Noto Sans CJK SC"/>
        <family val="2"/>
      </rPr>
      <t xml:space="preserve">むら </t>
    </r>
    <r>
      <rPr>
        <sz val="11"/>
        <rFont val="Arial"/>
        <family val="0"/>
        <charset val="1"/>
      </rPr>
      <t xml:space="preserve">/ </t>
    </r>
    <r>
      <rPr>
        <sz val="11"/>
        <rFont val="Noto Sans CJK SC"/>
        <family val="2"/>
      </rPr>
      <t xml:space="preserve">おおざと</t>
    </r>
  </si>
  <si>
    <t xml:space="preserve">mura / oozato</t>
  </si>
  <si>
    <t xml:space="preserve">city, village</t>
  </si>
  <si>
    <t xml:space="preserve">部都郎邦邸郵郡郷郊邪那郭鄭郁鄒邑</t>
  </si>
  <si>
    <t xml:space="preserve">酉</t>
  </si>
  <si>
    <r>
      <rPr>
        <sz val="11"/>
        <rFont val="Noto Sans CJK SC"/>
        <family val="2"/>
      </rPr>
      <t xml:space="preserve">とり </t>
    </r>
    <r>
      <rPr>
        <sz val="11"/>
        <rFont val="Arial"/>
        <family val="0"/>
        <charset val="1"/>
      </rPr>
      <t xml:space="preserve">/ </t>
    </r>
    <r>
      <rPr>
        <sz val="11"/>
        <rFont val="Noto Sans CJK SC"/>
        <family val="2"/>
      </rPr>
      <t xml:space="preserve">さけのとり</t>
    </r>
  </si>
  <si>
    <t xml:space="preserve">tori / sakenotori</t>
  </si>
  <si>
    <t xml:space="preserve">wine, 10th zodiac sign (rooster)</t>
  </si>
  <si>
    <t xml:space="preserve">配酒酸酬酷酔醸酵酢酪醜酌醍酉醤</t>
  </si>
  <si>
    <t xml:space="preserve">釆</t>
  </si>
  <si>
    <r>
      <rPr>
        <sz val="11"/>
        <rFont val="Noto Sans CJK SC"/>
        <family val="2"/>
      </rPr>
      <t xml:space="preserve">のごめ </t>
    </r>
    <r>
      <rPr>
        <sz val="11"/>
        <rFont val="Arial"/>
        <family val="0"/>
        <charset val="1"/>
      </rPr>
      <t xml:space="preserve">/ </t>
    </r>
    <r>
      <rPr>
        <sz val="11"/>
        <rFont val="Noto Sans CJK SC"/>
        <family val="2"/>
      </rPr>
      <t xml:space="preserve">ばんがしら</t>
    </r>
  </si>
  <si>
    <t xml:space="preserve">nogome / bangashira</t>
  </si>
  <si>
    <t xml:space="preserve">distinguish, harvest</t>
  </si>
  <si>
    <t xml:space="preserve">釈</t>
  </si>
  <si>
    <t xml:space="preserve">里</t>
  </si>
  <si>
    <r>
      <rPr>
        <sz val="11"/>
        <rFont val="Noto Sans CJK SC"/>
        <family val="2"/>
      </rPr>
      <t xml:space="preserve">さと </t>
    </r>
    <r>
      <rPr>
        <sz val="11"/>
        <rFont val="Arial"/>
        <family val="0"/>
        <charset val="1"/>
      </rPr>
      <t xml:space="preserve">/ </t>
    </r>
    <r>
      <rPr>
        <sz val="11"/>
        <rFont val="Noto Sans CJK SC"/>
        <family val="2"/>
      </rPr>
      <t xml:space="preserve">さとへん</t>
    </r>
  </si>
  <si>
    <t xml:space="preserve">sato / satohen</t>
  </si>
  <si>
    <t xml:space="preserve">village, ri (distance)</t>
  </si>
  <si>
    <t xml:space="preserve">野重量里</t>
  </si>
  <si>
    <t xml:space="preserve">金</t>
  </si>
  <si>
    <r>
      <rPr>
        <sz val="11"/>
        <rFont val="Noto Sans CJK SC"/>
        <family val="2"/>
      </rPr>
      <t xml:space="preserve">釒 </t>
    </r>
    <r>
      <rPr>
        <sz val="11"/>
        <rFont val="Arial"/>
        <family val="0"/>
        <charset val="1"/>
      </rPr>
      <t xml:space="preserve">(</t>
    </r>
    <r>
      <rPr>
        <sz val="11"/>
        <rFont val="Noto Sans CJK SC"/>
        <family val="2"/>
      </rPr>
      <t xml:space="preserve">かねへん</t>
    </r>
    <r>
      <rPr>
        <sz val="11"/>
        <rFont val="Arial"/>
        <family val="0"/>
        <charset val="1"/>
      </rPr>
      <t xml:space="preserve">, left side)</t>
    </r>
  </si>
  <si>
    <t xml:space="preserve">かね</t>
  </si>
  <si>
    <t xml:space="preserve">kane</t>
  </si>
  <si>
    <t xml:space="preserve">metal, gold</t>
  </si>
  <si>
    <t xml:space="preserve">金銀針録鉄鈴銭銃鋼鎖鉱鑑銘鋭錦銅鏡釣鈍鎌鎮鐘鉛錯釧釜鍛鍋鉢錠鋳鍵錫銚錬銕鍾鍼鉾釘</t>
  </si>
  <si>
    <t xml:space="preserve">長</t>
  </si>
  <si>
    <t xml:space="preserve">镸</t>
  </si>
  <si>
    <r>
      <rPr>
        <sz val="11"/>
        <rFont val="Noto Sans CJK SC"/>
        <family val="2"/>
      </rPr>
      <t xml:space="preserve">ながい </t>
    </r>
    <r>
      <rPr>
        <sz val="11"/>
        <rFont val="Arial"/>
        <family val="0"/>
        <charset val="1"/>
      </rPr>
      <t xml:space="preserve">/ </t>
    </r>
    <r>
      <rPr>
        <sz val="11"/>
        <rFont val="Noto Sans CJK SC"/>
        <family val="2"/>
      </rPr>
      <t xml:space="preserve">ちょう</t>
    </r>
  </si>
  <si>
    <t xml:space="preserve">nagai / chou</t>
  </si>
  <si>
    <t xml:space="preserve">long</t>
  </si>
  <si>
    <t xml:space="preserve">門</t>
  </si>
  <si>
    <r>
      <rPr>
        <sz val="11"/>
        <rFont val="Noto Sans CJK SC"/>
        <family val="2"/>
      </rPr>
      <t xml:space="preserve">もん </t>
    </r>
    <r>
      <rPr>
        <sz val="11"/>
        <rFont val="Arial"/>
        <family val="0"/>
        <charset val="1"/>
      </rPr>
      <t xml:space="preserve">/ </t>
    </r>
    <r>
      <rPr>
        <sz val="11"/>
        <rFont val="Noto Sans CJK SC"/>
        <family val="2"/>
      </rPr>
      <t xml:space="preserve">もんがまえ</t>
    </r>
  </si>
  <si>
    <t xml:space="preserve">mon / mongamae</t>
  </si>
  <si>
    <t xml:space="preserve">gate</t>
  </si>
  <si>
    <t xml:space="preserve">間開関閣門闘閉閥閲闇閑闊</t>
  </si>
  <si>
    <t xml:space="preserve">阜</t>
  </si>
  <si>
    <r>
      <rPr>
        <sz val="11"/>
        <rFont val="Noto Sans CJK SC"/>
        <family val="2"/>
      </rPr>
      <t xml:space="preserve">阝 </t>
    </r>
    <r>
      <rPr>
        <sz val="11"/>
        <rFont val="Arial"/>
        <family val="0"/>
        <charset val="1"/>
      </rPr>
      <t xml:space="preserve">(</t>
    </r>
    <r>
      <rPr>
        <sz val="11"/>
        <rFont val="Noto Sans CJK SC"/>
        <family val="2"/>
      </rPr>
      <t xml:space="preserve">こざとへん</t>
    </r>
    <r>
      <rPr>
        <sz val="11"/>
        <rFont val="Arial"/>
        <family val="0"/>
        <charset val="1"/>
      </rPr>
      <t xml:space="preserve">, left side)</t>
    </r>
  </si>
  <si>
    <r>
      <rPr>
        <sz val="11"/>
        <rFont val="Noto Sans CJK SC"/>
        <family val="2"/>
      </rPr>
      <t xml:space="preserve">おか </t>
    </r>
    <r>
      <rPr>
        <sz val="11"/>
        <rFont val="Arial"/>
        <family val="0"/>
        <charset val="1"/>
      </rPr>
      <t xml:space="preserve">/ </t>
    </r>
    <r>
      <rPr>
        <sz val="11"/>
        <rFont val="Noto Sans CJK SC"/>
        <family val="2"/>
      </rPr>
      <t xml:space="preserve">こざと</t>
    </r>
  </si>
  <si>
    <t xml:space="preserve">oka / kozato</t>
  </si>
  <si>
    <t xml:space="preserve">mound, hill</t>
  </si>
  <si>
    <t xml:space="preserve">院際防限阪階除降隊険陸障陣陽隣隠隆阿陥阻陳隔陰随陛阜隅陶陵陪隈附</t>
  </si>
  <si>
    <t xml:space="preserve">隶</t>
  </si>
  <si>
    <r>
      <rPr>
        <sz val="11"/>
        <rFont val="Noto Sans CJK SC"/>
        <family val="2"/>
      </rPr>
      <t xml:space="preserve">れいづくり </t>
    </r>
    <r>
      <rPr>
        <sz val="11"/>
        <rFont val="Arial"/>
        <family val="0"/>
        <charset val="1"/>
      </rPr>
      <t xml:space="preserve">/ </t>
    </r>
    <r>
      <rPr>
        <sz val="11"/>
        <rFont val="Noto Sans CJK SC"/>
        <family val="2"/>
      </rPr>
      <t xml:space="preserve">たいづくり</t>
    </r>
  </si>
  <si>
    <t xml:space="preserve">reizukuri / taizukuri</t>
  </si>
  <si>
    <t xml:space="preserve">slave, capture</t>
  </si>
  <si>
    <t xml:space="preserve">隷</t>
  </si>
  <si>
    <t xml:space="preserve">隹</t>
  </si>
  <si>
    <t xml:space="preserve">ふるとり</t>
  </si>
  <si>
    <t xml:space="preserve">furutori</t>
  </si>
  <si>
    <t xml:space="preserve">short-tailed bird</t>
  </si>
  <si>
    <t xml:space="preserve">集難離雄雑雇雅隻雀雌雁隼雛</t>
  </si>
  <si>
    <t xml:space="preserve">雨</t>
  </si>
  <si>
    <r>
      <rPr>
        <sz val="11"/>
        <rFont val="Noto Sans CJK SC"/>
        <family val="2"/>
      </rPr>
      <t xml:space="preserve">あめ </t>
    </r>
    <r>
      <rPr>
        <sz val="11"/>
        <rFont val="Arial"/>
        <family val="0"/>
        <charset val="1"/>
      </rPr>
      <t xml:space="preserve">/ </t>
    </r>
    <r>
      <rPr>
        <sz val="11"/>
        <rFont val="Noto Sans CJK SC"/>
        <family val="2"/>
      </rPr>
      <t xml:space="preserve">あめかんむり</t>
    </r>
  </si>
  <si>
    <t xml:space="preserve">ame / amekanmuri</t>
  </si>
  <si>
    <t xml:space="preserve">rain</t>
  </si>
  <si>
    <t xml:space="preserve">電震露需雨雪零雲雰霊雷霞霧霜雫</t>
  </si>
  <si>
    <t xml:space="preserve">青</t>
  </si>
  <si>
    <t xml:space="preserve">靑</t>
  </si>
  <si>
    <t xml:space="preserve">あお</t>
  </si>
  <si>
    <t xml:space="preserve">ao</t>
  </si>
  <si>
    <t xml:space="preserve">blue, green</t>
  </si>
  <si>
    <t xml:space="preserve">青静靖</t>
  </si>
  <si>
    <t xml:space="preserve">非</t>
  </si>
  <si>
    <r>
      <rPr>
        <sz val="11"/>
        <rFont val="Noto Sans CJK SC"/>
        <family val="2"/>
      </rPr>
      <t xml:space="preserve">あらず </t>
    </r>
    <r>
      <rPr>
        <sz val="11"/>
        <rFont val="Arial"/>
        <family val="0"/>
        <charset val="1"/>
      </rPr>
      <t xml:space="preserve">/ </t>
    </r>
    <r>
      <rPr>
        <sz val="11"/>
        <rFont val="Noto Sans CJK SC"/>
        <family val="2"/>
      </rPr>
      <t xml:space="preserve">ひ</t>
    </r>
  </si>
  <si>
    <t xml:space="preserve">arazu / hi</t>
  </si>
  <si>
    <t xml:space="preserve">wrong, not</t>
  </si>
  <si>
    <t xml:space="preserve">面</t>
  </si>
  <si>
    <r>
      <rPr>
        <sz val="11"/>
        <rFont val="Noto Sans CJK SC"/>
        <family val="2"/>
      </rPr>
      <t xml:space="preserve">めん </t>
    </r>
    <r>
      <rPr>
        <sz val="11"/>
        <rFont val="Arial"/>
        <family val="0"/>
        <charset val="1"/>
      </rPr>
      <t xml:space="preserve">/ </t>
    </r>
    <r>
      <rPr>
        <sz val="11"/>
        <rFont val="Noto Sans CJK SC"/>
        <family val="2"/>
      </rPr>
      <t xml:space="preserve">つら</t>
    </r>
  </si>
  <si>
    <t xml:space="preserve">men / tsura</t>
  </si>
  <si>
    <t xml:space="preserve">face</t>
  </si>
  <si>
    <t xml:space="preserve">革</t>
  </si>
  <si>
    <r>
      <rPr>
        <sz val="11"/>
        <rFont val="Noto Sans CJK SC"/>
        <family val="2"/>
      </rPr>
      <t xml:space="preserve">かわ </t>
    </r>
    <r>
      <rPr>
        <sz val="11"/>
        <rFont val="Arial"/>
        <family val="0"/>
        <charset val="1"/>
      </rPr>
      <t xml:space="preserve">/ </t>
    </r>
    <r>
      <rPr>
        <sz val="11"/>
        <rFont val="Noto Sans CJK SC"/>
        <family val="2"/>
      </rPr>
      <t xml:space="preserve">かくのかわ</t>
    </r>
  </si>
  <si>
    <t xml:space="preserve">kawa / kakunokawa</t>
  </si>
  <si>
    <t xml:space="preserve">leather, to change</t>
  </si>
  <si>
    <t xml:space="preserve">革靴鞍</t>
  </si>
  <si>
    <t xml:space="preserve">韋</t>
  </si>
  <si>
    <t xml:space="preserve">なめしがわ</t>
  </si>
  <si>
    <t xml:space="preserve">nameshigawa</t>
  </si>
  <si>
    <t xml:space="preserve">tanned leather</t>
  </si>
  <si>
    <t xml:space="preserve">韓</t>
  </si>
  <si>
    <t xml:space="preserve">韭</t>
  </si>
  <si>
    <t xml:space="preserve">にら</t>
  </si>
  <si>
    <t xml:space="preserve">nira</t>
  </si>
  <si>
    <t xml:space="preserve">leek</t>
  </si>
  <si>
    <t xml:space="preserve">韮</t>
  </si>
  <si>
    <t xml:space="preserve">音</t>
  </si>
  <si>
    <t xml:space="preserve">おと</t>
  </si>
  <si>
    <t xml:space="preserve">oto</t>
  </si>
  <si>
    <t xml:space="preserve">sound</t>
  </si>
  <si>
    <t xml:space="preserve">音響韻</t>
  </si>
  <si>
    <t xml:space="preserve">頁</t>
  </si>
  <si>
    <t xml:space="preserve">おおがい</t>
  </si>
  <si>
    <t xml:space="preserve">oogai</t>
  </si>
  <si>
    <t xml:space="preserve">page, leaf (head)</t>
  </si>
  <si>
    <t xml:space="preserve">題領額頭顔類頼順項願預顧頑須頂顕頻頃頒頬頚</t>
  </si>
  <si>
    <t xml:space="preserve">風</t>
  </si>
  <si>
    <t xml:space="preserve">かぜ</t>
  </si>
  <si>
    <t xml:space="preserve">kaze</t>
  </si>
  <si>
    <t xml:space="preserve">wind</t>
  </si>
  <si>
    <t xml:space="preserve">飛</t>
  </si>
  <si>
    <t xml:space="preserve">とぶ</t>
  </si>
  <si>
    <t xml:space="preserve">tobu</t>
  </si>
  <si>
    <t xml:space="preserve">fly</t>
  </si>
  <si>
    <t xml:space="preserve">食</t>
  </si>
  <si>
    <r>
      <rPr>
        <sz val="11"/>
        <rFont val="Noto Sans CJK SC"/>
        <family val="2"/>
      </rPr>
      <t xml:space="preserve">飠 </t>
    </r>
    <r>
      <rPr>
        <sz val="11"/>
        <rFont val="Arial"/>
        <family val="0"/>
        <charset val="1"/>
      </rPr>
      <t xml:space="preserve">(</t>
    </r>
    <r>
      <rPr>
        <sz val="11"/>
        <rFont val="Noto Sans CJK SC"/>
        <family val="2"/>
      </rPr>
      <t xml:space="preserve">しょくへん</t>
    </r>
    <r>
      <rPr>
        <sz val="11"/>
        <rFont val="Arial"/>
        <family val="0"/>
        <charset val="1"/>
      </rPr>
      <t xml:space="preserve">, left side)</t>
    </r>
  </si>
  <si>
    <r>
      <rPr>
        <sz val="11"/>
        <rFont val="Noto Sans CJK SC"/>
        <family val="2"/>
      </rPr>
      <t xml:space="preserve">しょく </t>
    </r>
    <r>
      <rPr>
        <sz val="11"/>
        <rFont val="Arial"/>
        <family val="0"/>
        <charset val="1"/>
      </rPr>
      <t xml:space="preserve">/ </t>
    </r>
    <r>
      <rPr>
        <sz val="11"/>
        <rFont val="Noto Sans CJK SC"/>
        <family val="2"/>
      </rPr>
      <t xml:space="preserve">しょくへん</t>
    </r>
  </si>
  <si>
    <t xml:space="preserve">shoku / shokuhen</t>
  </si>
  <si>
    <t xml:space="preserve">eat, food</t>
  </si>
  <si>
    <t xml:space="preserve">食館養飲飯飾飼飢餓飽餅餌饗</t>
  </si>
  <si>
    <t xml:space="preserve">首</t>
  </si>
  <si>
    <t xml:space="preserve">くび</t>
  </si>
  <si>
    <t xml:space="preserve">kubi</t>
  </si>
  <si>
    <t xml:space="preserve">head, neck</t>
  </si>
  <si>
    <t xml:space="preserve">香</t>
  </si>
  <si>
    <r>
      <rPr>
        <sz val="11"/>
        <rFont val="Noto Sans CJK SC"/>
        <family val="2"/>
      </rPr>
      <t xml:space="preserve">かおり </t>
    </r>
    <r>
      <rPr>
        <sz val="11"/>
        <rFont val="Arial"/>
        <family val="0"/>
        <charset val="1"/>
      </rPr>
      <t xml:space="preserve">/ </t>
    </r>
    <r>
      <rPr>
        <sz val="11"/>
        <rFont val="Noto Sans CJK SC"/>
        <family val="2"/>
      </rPr>
      <t xml:space="preserve">こう</t>
    </r>
  </si>
  <si>
    <t xml:space="preserve">kaori / kou</t>
  </si>
  <si>
    <t xml:space="preserve">fragrance, incense</t>
  </si>
  <si>
    <t xml:space="preserve">香馨</t>
  </si>
  <si>
    <t xml:space="preserve">馬</t>
  </si>
  <si>
    <r>
      <rPr>
        <sz val="11"/>
        <rFont val="Noto Sans CJK SC"/>
        <family val="2"/>
      </rPr>
      <t xml:space="preserve">うま </t>
    </r>
    <r>
      <rPr>
        <sz val="11"/>
        <rFont val="Arial"/>
        <family val="0"/>
        <charset val="1"/>
      </rPr>
      <t xml:space="preserve">/ </t>
    </r>
    <r>
      <rPr>
        <sz val="11"/>
        <rFont val="Noto Sans CJK SC"/>
        <family val="2"/>
      </rPr>
      <t xml:space="preserve">うまへん</t>
    </r>
  </si>
  <si>
    <t xml:space="preserve">uma / umahen</t>
  </si>
  <si>
    <t xml:space="preserve">horse</t>
  </si>
  <si>
    <t xml:space="preserve">験馬駅駐駆騒驚騰駒駄騎駿</t>
  </si>
  <si>
    <t xml:space="preserve">骨</t>
  </si>
  <si>
    <r>
      <rPr>
        <sz val="11"/>
        <rFont val="Noto Sans CJK SC"/>
        <family val="2"/>
      </rPr>
      <t xml:space="preserve">ほね </t>
    </r>
    <r>
      <rPr>
        <sz val="11"/>
        <rFont val="Arial"/>
        <family val="0"/>
        <charset val="1"/>
      </rPr>
      <t xml:space="preserve">/ </t>
    </r>
    <r>
      <rPr>
        <sz val="11"/>
        <rFont val="Noto Sans CJK SC"/>
        <family val="2"/>
      </rPr>
      <t xml:space="preserve">ほねへん</t>
    </r>
  </si>
  <si>
    <t xml:space="preserve">hone / honehen</t>
  </si>
  <si>
    <t xml:space="preserve">bone</t>
  </si>
  <si>
    <t xml:space="preserve">骨髄</t>
  </si>
  <si>
    <t xml:space="preserve">高</t>
  </si>
  <si>
    <t xml:space="preserve">髙</t>
  </si>
  <si>
    <r>
      <rPr>
        <sz val="11"/>
        <rFont val="Noto Sans CJK SC"/>
        <family val="2"/>
      </rPr>
      <t xml:space="preserve">たかい </t>
    </r>
    <r>
      <rPr>
        <sz val="11"/>
        <rFont val="Arial"/>
        <family val="0"/>
        <charset val="1"/>
      </rPr>
      <t xml:space="preserve">/ </t>
    </r>
    <r>
      <rPr>
        <sz val="11"/>
        <rFont val="Noto Sans CJK SC"/>
        <family val="2"/>
      </rPr>
      <t xml:space="preserve">たかへん</t>
    </r>
  </si>
  <si>
    <t xml:space="preserve">takai / takahen</t>
  </si>
  <si>
    <t xml:space="preserve">tall, high</t>
  </si>
  <si>
    <t xml:space="preserve">髟</t>
  </si>
  <si>
    <r>
      <rPr>
        <sz val="11"/>
        <rFont val="Noto Sans CJK SC"/>
        <family val="2"/>
      </rPr>
      <t xml:space="preserve">かみかんむり </t>
    </r>
    <r>
      <rPr>
        <sz val="11"/>
        <rFont val="Arial"/>
        <family val="0"/>
        <charset val="1"/>
      </rPr>
      <t xml:space="preserve">/ </t>
    </r>
    <r>
      <rPr>
        <sz val="11"/>
        <rFont val="Noto Sans CJK SC"/>
        <family val="2"/>
      </rPr>
      <t xml:space="preserve">かみがしら</t>
    </r>
  </si>
  <si>
    <t xml:space="preserve">kamikanmuri / kamigashira</t>
  </si>
  <si>
    <t xml:space="preserve">long hair</t>
  </si>
  <si>
    <t xml:space="preserve">髪</t>
  </si>
  <si>
    <t xml:space="preserve">鬥</t>
  </si>
  <si>
    <r>
      <rPr>
        <sz val="11"/>
        <rFont val="Noto Sans CJK SC"/>
        <family val="2"/>
      </rPr>
      <t xml:space="preserve">とうがまえ </t>
    </r>
    <r>
      <rPr>
        <sz val="11"/>
        <rFont val="Arial"/>
        <family val="0"/>
        <charset val="1"/>
      </rPr>
      <t xml:space="preserve">/ </t>
    </r>
    <r>
      <rPr>
        <sz val="11"/>
        <rFont val="Noto Sans CJK SC"/>
        <family val="2"/>
      </rPr>
      <t xml:space="preserve">たたかいがまえ</t>
    </r>
  </si>
  <si>
    <t xml:space="preserve">tougamae / tatakaigamae</t>
  </si>
  <si>
    <t xml:space="preserve">fight</t>
  </si>
  <si>
    <t xml:space="preserve">鬯</t>
  </si>
  <si>
    <r>
      <rPr>
        <sz val="11"/>
        <rFont val="Noto Sans CJK SC"/>
        <family val="2"/>
      </rPr>
      <t xml:space="preserve">ちょう </t>
    </r>
    <r>
      <rPr>
        <sz val="11"/>
        <rFont val="Arial"/>
        <family val="0"/>
        <charset val="1"/>
      </rPr>
      <t xml:space="preserve">/ </t>
    </r>
    <r>
      <rPr>
        <sz val="11"/>
        <rFont val="Noto Sans CJK SC"/>
        <family val="2"/>
      </rPr>
      <t xml:space="preserve">においざけ</t>
    </r>
  </si>
  <si>
    <t xml:space="preserve">chou / nioizake</t>
  </si>
  <si>
    <t xml:space="preserve">sacrificial wine</t>
  </si>
  <si>
    <t xml:space="preserve">鬲</t>
  </si>
  <si>
    <r>
      <rPr>
        <sz val="11"/>
        <rFont val="Noto Sans CJK SC"/>
        <family val="2"/>
      </rPr>
      <t xml:space="preserve">かなえ </t>
    </r>
    <r>
      <rPr>
        <sz val="11"/>
        <rFont val="Arial"/>
        <family val="0"/>
        <charset val="1"/>
      </rPr>
      <t xml:space="preserve">/ </t>
    </r>
    <r>
      <rPr>
        <sz val="11"/>
        <rFont val="Noto Sans CJK SC"/>
        <family val="2"/>
      </rPr>
      <t xml:space="preserve">れき</t>
    </r>
  </si>
  <si>
    <t xml:space="preserve">kanae / reki</t>
  </si>
  <si>
    <t xml:space="preserve">cauldron</t>
  </si>
  <si>
    <t xml:space="preserve">鬼</t>
  </si>
  <si>
    <r>
      <rPr>
        <sz val="11"/>
        <rFont val="Noto Sans CJK SC"/>
        <family val="2"/>
      </rPr>
      <t xml:space="preserve">おに </t>
    </r>
    <r>
      <rPr>
        <sz val="11"/>
        <rFont val="Arial"/>
        <family val="0"/>
        <charset val="1"/>
      </rPr>
      <t xml:space="preserve">/ </t>
    </r>
    <r>
      <rPr>
        <sz val="11"/>
        <rFont val="Noto Sans CJK SC"/>
        <family val="2"/>
      </rPr>
      <t xml:space="preserve">きにょう</t>
    </r>
  </si>
  <si>
    <t xml:space="preserve">oni / kinyou</t>
  </si>
  <si>
    <t xml:space="preserve">ghost, demon</t>
  </si>
  <si>
    <t xml:space="preserve">魅魔鬼魂魏魁</t>
  </si>
  <si>
    <t xml:space="preserve">魚</t>
  </si>
  <si>
    <r>
      <rPr>
        <sz val="11"/>
        <rFont val="Noto Sans CJK SC"/>
        <family val="2"/>
      </rPr>
      <t xml:space="preserve">うお </t>
    </r>
    <r>
      <rPr>
        <sz val="11"/>
        <rFont val="Arial"/>
        <family val="0"/>
        <charset val="1"/>
      </rPr>
      <t xml:space="preserve">/ </t>
    </r>
    <r>
      <rPr>
        <sz val="11"/>
        <rFont val="Noto Sans CJK SC"/>
        <family val="2"/>
      </rPr>
      <t xml:space="preserve">さかな </t>
    </r>
    <r>
      <rPr>
        <sz val="11"/>
        <rFont val="Arial"/>
        <family val="0"/>
        <charset val="1"/>
      </rPr>
      <t xml:space="preserve">/ </t>
    </r>
    <r>
      <rPr>
        <sz val="11"/>
        <rFont val="Noto Sans CJK SC"/>
        <family val="2"/>
      </rPr>
      <t xml:space="preserve">うおへん</t>
    </r>
  </si>
  <si>
    <t xml:space="preserve">uo / sakana / uohen</t>
  </si>
  <si>
    <t xml:space="preserve">fish</t>
  </si>
  <si>
    <t xml:space="preserve">鮮魚鯨魯鮎鮫鯉鯛鮭鱒鱗</t>
  </si>
  <si>
    <t xml:space="preserve">鳥</t>
  </si>
  <si>
    <r>
      <rPr>
        <sz val="11"/>
        <rFont val="Noto Sans CJK SC"/>
        <family val="2"/>
      </rPr>
      <t xml:space="preserve">とり </t>
    </r>
    <r>
      <rPr>
        <sz val="11"/>
        <rFont val="Arial"/>
        <family val="0"/>
        <charset val="1"/>
      </rPr>
      <t xml:space="preserve">/ </t>
    </r>
    <r>
      <rPr>
        <sz val="11"/>
        <rFont val="Noto Sans CJK SC"/>
        <family val="2"/>
      </rPr>
      <t xml:space="preserve">とりへん</t>
    </r>
  </si>
  <si>
    <t xml:space="preserve">tori / torihen</t>
  </si>
  <si>
    <t xml:space="preserve">bird</t>
  </si>
  <si>
    <t xml:space="preserve">鳥鳴鶴鳩鷹鵬鴨鶏鷲鴻鵜鴈鳳鷺鴎鵠</t>
  </si>
  <si>
    <t xml:space="preserve">鹵</t>
  </si>
  <si>
    <r>
      <rPr>
        <sz val="11"/>
        <rFont val="Noto Sans CJK SC"/>
        <family val="2"/>
      </rPr>
      <t xml:space="preserve">ろ </t>
    </r>
    <r>
      <rPr>
        <sz val="11"/>
        <rFont val="Arial"/>
        <family val="0"/>
        <charset val="1"/>
      </rPr>
      <t xml:space="preserve">/ </t>
    </r>
    <r>
      <rPr>
        <sz val="11"/>
        <rFont val="Noto Sans CJK SC"/>
        <family val="2"/>
      </rPr>
      <t xml:space="preserve">しお</t>
    </r>
  </si>
  <si>
    <t xml:space="preserve">ro / shio</t>
  </si>
  <si>
    <t xml:space="preserve">salt, rock salt</t>
  </si>
  <si>
    <t xml:space="preserve">鹿</t>
  </si>
  <si>
    <t xml:space="preserve">しか</t>
  </si>
  <si>
    <t xml:space="preserve">shika</t>
  </si>
  <si>
    <t xml:space="preserve">deer</t>
  </si>
  <si>
    <t xml:space="preserve">鹿麗麓</t>
  </si>
  <si>
    <t xml:space="preserve">麥</t>
  </si>
  <si>
    <t xml:space="preserve">麦</t>
  </si>
  <si>
    <r>
      <rPr>
        <sz val="11"/>
        <rFont val="Noto Sans CJK SC"/>
        <family val="2"/>
      </rPr>
      <t xml:space="preserve">むぎ </t>
    </r>
    <r>
      <rPr>
        <sz val="11"/>
        <rFont val="Arial"/>
        <family val="0"/>
        <charset val="1"/>
      </rPr>
      <t xml:space="preserve">/ </t>
    </r>
    <r>
      <rPr>
        <sz val="11"/>
        <rFont val="Noto Sans CJK SC"/>
        <family val="2"/>
      </rPr>
      <t xml:space="preserve">ばくにょう</t>
    </r>
  </si>
  <si>
    <t xml:space="preserve">mugi / bakunyou</t>
  </si>
  <si>
    <t xml:space="preserve">wheat</t>
  </si>
  <si>
    <t xml:space="preserve">麦麹麺</t>
  </si>
  <si>
    <t xml:space="preserve">麻</t>
  </si>
  <si>
    <t xml:space="preserve">あさ</t>
  </si>
  <si>
    <t xml:space="preserve">asa</t>
  </si>
  <si>
    <t xml:space="preserve">hemp</t>
  </si>
  <si>
    <t xml:space="preserve">黃</t>
  </si>
  <si>
    <t xml:space="preserve">黄</t>
  </si>
  <si>
    <r>
      <rPr>
        <sz val="11"/>
        <rFont val="Noto Sans CJK SC"/>
        <family val="2"/>
      </rPr>
      <t xml:space="preserve">き </t>
    </r>
    <r>
      <rPr>
        <sz val="11"/>
        <rFont val="Arial"/>
        <family val="0"/>
        <charset val="1"/>
      </rPr>
      <t xml:space="preserve">/ </t>
    </r>
    <r>
      <rPr>
        <sz val="11"/>
        <rFont val="Noto Sans CJK SC"/>
        <family val="2"/>
      </rPr>
      <t xml:space="preserve">きいろ</t>
    </r>
  </si>
  <si>
    <t xml:space="preserve">ki / kiiro</t>
  </si>
  <si>
    <t xml:space="preserve">yellow</t>
  </si>
  <si>
    <t xml:space="preserve">黍</t>
  </si>
  <si>
    <t xml:space="preserve">きび</t>
  </si>
  <si>
    <t xml:space="preserve">kibi</t>
  </si>
  <si>
    <t xml:space="preserve">millet</t>
  </si>
  <si>
    <t xml:space="preserve">黎</t>
  </si>
  <si>
    <t xml:space="preserve">黑</t>
  </si>
  <si>
    <t xml:space="preserve">黒</t>
  </si>
  <si>
    <t xml:space="preserve">くろ</t>
  </si>
  <si>
    <t xml:space="preserve">kuro</t>
  </si>
  <si>
    <t xml:space="preserve">black</t>
  </si>
  <si>
    <t xml:space="preserve">黒黙黛</t>
  </si>
  <si>
    <t xml:space="preserve">黹</t>
  </si>
  <si>
    <r>
      <rPr>
        <sz val="11"/>
        <rFont val="Noto Sans CJK SC"/>
        <family val="2"/>
      </rPr>
      <t xml:space="preserve">ぬいとり </t>
    </r>
    <r>
      <rPr>
        <sz val="11"/>
        <rFont val="Arial"/>
        <family val="0"/>
        <charset val="1"/>
      </rPr>
      <t xml:space="preserve">/ </t>
    </r>
    <r>
      <rPr>
        <sz val="11"/>
        <rFont val="Noto Sans CJK SC"/>
        <family val="2"/>
      </rPr>
      <t xml:space="preserve">ふつ</t>
    </r>
  </si>
  <si>
    <t xml:space="preserve">nuitori / futsu</t>
  </si>
  <si>
    <t xml:space="preserve">embroidery</t>
  </si>
  <si>
    <t xml:space="preserve">黽</t>
  </si>
  <si>
    <r>
      <rPr>
        <sz val="11"/>
        <rFont val="Noto Sans CJK SC"/>
        <family val="2"/>
      </rPr>
      <t xml:space="preserve">べん </t>
    </r>
    <r>
      <rPr>
        <sz val="11"/>
        <rFont val="Arial"/>
        <family val="0"/>
        <charset val="1"/>
      </rPr>
      <t xml:space="preserve">/ </t>
    </r>
    <r>
      <rPr>
        <sz val="11"/>
        <rFont val="Noto Sans CJK SC"/>
        <family val="2"/>
      </rPr>
      <t xml:space="preserve">かえる</t>
    </r>
  </si>
  <si>
    <t xml:space="preserve">ben / kaeru</t>
  </si>
  <si>
    <t xml:space="preserve">frog</t>
  </si>
  <si>
    <t xml:space="preserve">鼎</t>
  </si>
  <si>
    <r>
      <rPr>
        <sz val="11"/>
        <rFont val="Noto Sans CJK SC"/>
        <family val="2"/>
      </rPr>
      <t xml:space="preserve">かなえ </t>
    </r>
    <r>
      <rPr>
        <sz val="11"/>
        <rFont val="Arial"/>
        <family val="0"/>
        <charset val="1"/>
      </rPr>
      <t xml:space="preserve">/ </t>
    </r>
    <r>
      <rPr>
        <sz val="11"/>
        <rFont val="Noto Sans CJK SC"/>
        <family val="2"/>
      </rPr>
      <t xml:space="preserve">てい</t>
    </r>
  </si>
  <si>
    <t xml:space="preserve">kanae / tei</t>
  </si>
  <si>
    <t xml:space="preserve">tripod cauldron</t>
  </si>
  <si>
    <t xml:space="preserve">鼓</t>
  </si>
  <si>
    <r>
      <rPr>
        <sz val="11"/>
        <rFont val="Noto Sans CJK SC"/>
        <family val="2"/>
      </rPr>
      <t xml:space="preserve">つづみ </t>
    </r>
    <r>
      <rPr>
        <sz val="11"/>
        <rFont val="Arial"/>
        <family val="0"/>
        <charset val="1"/>
      </rPr>
      <t xml:space="preserve">/ </t>
    </r>
    <r>
      <rPr>
        <sz val="11"/>
        <rFont val="Noto Sans CJK SC"/>
        <family val="2"/>
      </rPr>
      <t xml:space="preserve">こ</t>
    </r>
  </si>
  <si>
    <t xml:space="preserve">tsuzumi / ko</t>
  </si>
  <si>
    <t xml:space="preserve">drum</t>
  </si>
  <si>
    <t xml:space="preserve">鼠</t>
  </si>
  <si>
    <t xml:space="preserve">ねずみ</t>
  </si>
  <si>
    <t xml:space="preserve">nezumi</t>
  </si>
  <si>
    <t xml:space="preserve">rat, mouse</t>
  </si>
  <si>
    <t xml:space="preserve">鼻</t>
  </si>
  <si>
    <r>
      <rPr>
        <sz val="11"/>
        <rFont val="Noto Sans CJK SC"/>
        <family val="2"/>
      </rPr>
      <t xml:space="preserve">はな </t>
    </r>
    <r>
      <rPr>
        <sz val="11"/>
        <rFont val="Arial"/>
        <family val="0"/>
        <charset val="1"/>
      </rPr>
      <t xml:space="preserve">/ </t>
    </r>
    <r>
      <rPr>
        <sz val="11"/>
        <rFont val="Noto Sans CJK SC"/>
        <family val="2"/>
      </rPr>
      <t xml:space="preserve">はなへん</t>
    </r>
  </si>
  <si>
    <t xml:space="preserve">hana / hanahen</t>
  </si>
  <si>
    <t xml:space="preserve">nose</t>
  </si>
  <si>
    <t xml:space="preserve">齊</t>
  </si>
  <si>
    <t xml:space="preserve">斉</t>
  </si>
  <si>
    <r>
      <rPr>
        <sz val="11"/>
        <rFont val="Noto Sans CJK SC"/>
        <family val="2"/>
      </rPr>
      <t xml:space="preserve">せい </t>
    </r>
    <r>
      <rPr>
        <sz val="11"/>
        <rFont val="Arial"/>
        <family val="0"/>
        <charset val="1"/>
      </rPr>
      <t xml:space="preserve">/ </t>
    </r>
    <r>
      <rPr>
        <sz val="11"/>
        <rFont val="Noto Sans CJK SC"/>
        <family val="2"/>
      </rPr>
      <t xml:space="preserve">ひとしい</t>
    </r>
  </si>
  <si>
    <t xml:space="preserve">sei / hitoshii</t>
  </si>
  <si>
    <t xml:space="preserve">even, uniform</t>
  </si>
  <si>
    <t xml:space="preserve">齒</t>
  </si>
  <si>
    <t xml:space="preserve">歯</t>
  </si>
  <si>
    <r>
      <rPr>
        <sz val="11"/>
        <rFont val="Noto Sans CJK SC"/>
        <family val="2"/>
      </rPr>
      <t xml:space="preserve">は </t>
    </r>
    <r>
      <rPr>
        <sz val="11"/>
        <rFont val="Arial"/>
        <family val="0"/>
        <charset val="1"/>
      </rPr>
      <t xml:space="preserve">/ </t>
    </r>
    <r>
      <rPr>
        <sz val="11"/>
        <rFont val="Noto Sans CJK SC"/>
        <family val="2"/>
      </rPr>
      <t xml:space="preserve">はへん</t>
    </r>
  </si>
  <si>
    <t xml:space="preserve">ha / hahen</t>
  </si>
  <si>
    <t xml:space="preserve">tooth</t>
  </si>
  <si>
    <t xml:space="preserve">齢</t>
  </si>
  <si>
    <t xml:space="preserve">龍</t>
  </si>
  <si>
    <t xml:space="preserve">竜</t>
  </si>
  <si>
    <r>
      <rPr>
        <sz val="11"/>
        <rFont val="Noto Sans CJK SC"/>
        <family val="2"/>
      </rPr>
      <t xml:space="preserve">りゅう </t>
    </r>
    <r>
      <rPr>
        <sz val="11"/>
        <rFont val="Arial"/>
        <family val="0"/>
        <charset val="1"/>
      </rPr>
      <t xml:space="preserve">/ </t>
    </r>
    <r>
      <rPr>
        <sz val="11"/>
        <rFont val="Noto Sans CJK SC"/>
        <family val="2"/>
      </rPr>
      <t xml:space="preserve">たつ</t>
    </r>
  </si>
  <si>
    <t xml:space="preserve">ryuu / tatsu</t>
  </si>
  <si>
    <t xml:space="preserve">dragon</t>
  </si>
  <si>
    <t xml:space="preserve">龜</t>
  </si>
  <si>
    <t xml:space="preserve">亀</t>
  </si>
  <si>
    <t xml:space="preserve">かめ</t>
  </si>
  <si>
    <t xml:space="preserve">kame</t>
  </si>
  <si>
    <t xml:space="preserve">turtle</t>
  </si>
  <si>
    <t xml:space="preserve">龠</t>
  </si>
  <si>
    <r>
      <rPr>
        <sz val="11"/>
        <rFont val="Noto Sans CJK SC"/>
        <family val="2"/>
      </rPr>
      <t xml:space="preserve">やく </t>
    </r>
    <r>
      <rPr>
        <sz val="11"/>
        <rFont val="Arial"/>
        <family val="0"/>
        <charset val="1"/>
      </rPr>
      <t xml:space="preserve">/ </t>
    </r>
    <r>
      <rPr>
        <sz val="11"/>
        <rFont val="Noto Sans CJK SC"/>
        <family val="2"/>
      </rPr>
      <t xml:space="preserve">ふえ</t>
    </r>
  </si>
  <si>
    <t xml:space="preserve">yaku / fue</t>
  </si>
  <si>
    <t xml:space="preserve">flute</t>
  </si>
  <si>
    <t xml:space="preserve">Total</t>
  </si>
  <si>
    <t xml:space="preserve">Freq rank</t>
  </si>
  <si>
    <t xml:space="preserve">Kanji</t>
  </si>
  <si>
    <t xml:space="preserve">Radical no.</t>
  </si>
  <si>
    <t xml:space="preserve">Radical meaning</t>
  </si>
  <si>
    <t xml:space="preserve">Radical strokes</t>
  </si>
  <si>
    <t xml:space="preserve">Kanji strokes</t>
  </si>
  <si>
    <t xml:space="preserve">国</t>
  </si>
  <si>
    <t xml:space="preserve">会</t>
  </si>
  <si>
    <t xml:space="preserve">年</t>
  </si>
  <si>
    <t xml:space="preserve">本</t>
  </si>
  <si>
    <t xml:space="preserve">中</t>
  </si>
  <si>
    <t xml:space="preserve">出</t>
  </si>
  <si>
    <t xml:space="preserve">三</t>
  </si>
  <si>
    <t xml:space="preserve">同</t>
  </si>
  <si>
    <t xml:space="preserve">時</t>
  </si>
  <si>
    <t xml:space="preserve">政</t>
  </si>
  <si>
    <t xml:space="preserve">事</t>
  </si>
  <si>
    <t xml:space="preserve">社</t>
  </si>
  <si>
    <t xml:space="preserve">分</t>
  </si>
  <si>
    <t xml:space="preserve">議</t>
  </si>
  <si>
    <t xml:space="preserve">後</t>
  </si>
  <si>
    <t xml:space="preserve">前</t>
  </si>
  <si>
    <t xml:space="preserve">民</t>
  </si>
  <si>
    <t xml:space="preserve">連</t>
  </si>
  <si>
    <t xml:space="preserve">五</t>
  </si>
  <si>
    <t xml:space="preserve">発</t>
  </si>
  <si>
    <t xml:space="preserve">間</t>
  </si>
  <si>
    <t xml:space="preserve">対</t>
  </si>
  <si>
    <t xml:space="preserve">上</t>
  </si>
  <si>
    <t xml:space="preserve">部</t>
  </si>
  <si>
    <t xml:space="preserve">東</t>
  </si>
  <si>
    <t xml:space="preserve">者</t>
  </si>
  <si>
    <t xml:space="preserve">党</t>
  </si>
  <si>
    <t xml:space="preserve">地</t>
  </si>
  <si>
    <t xml:space="preserve">合</t>
  </si>
  <si>
    <t xml:space="preserve">市</t>
  </si>
  <si>
    <t xml:space="preserve">業</t>
  </si>
  <si>
    <t xml:space="preserve">内</t>
  </si>
  <si>
    <t xml:space="preserve">相</t>
  </si>
  <si>
    <t xml:space="preserve">四</t>
  </si>
  <si>
    <t xml:space="preserve">定</t>
  </si>
  <si>
    <t xml:space="preserve">今</t>
  </si>
  <si>
    <t xml:space="preserve">回</t>
  </si>
  <si>
    <t xml:space="preserve">新</t>
  </si>
  <si>
    <t xml:space="preserve">場</t>
  </si>
  <si>
    <t xml:space="preserve">員</t>
  </si>
  <si>
    <t xml:space="preserve">九</t>
  </si>
  <si>
    <t xml:space="preserve">選</t>
  </si>
  <si>
    <t xml:space="preserve">開</t>
  </si>
  <si>
    <t xml:space="preserve">学</t>
  </si>
  <si>
    <t xml:space="preserve">問</t>
  </si>
  <si>
    <t xml:space="preserve">代</t>
  </si>
  <si>
    <t xml:space="preserve">明</t>
  </si>
  <si>
    <t xml:space="preserve">実</t>
  </si>
  <si>
    <t xml:space="preserve">円</t>
  </si>
  <si>
    <t xml:space="preserve">関</t>
  </si>
  <si>
    <t xml:space="preserve">決</t>
  </si>
  <si>
    <t xml:space="preserve">動</t>
  </si>
  <si>
    <t xml:space="preserve">京</t>
  </si>
  <si>
    <t xml:space="preserve">全</t>
  </si>
  <si>
    <t xml:space="preserve">表</t>
  </si>
  <si>
    <t xml:space="preserve">戦</t>
  </si>
  <si>
    <t xml:space="preserve">経</t>
  </si>
  <si>
    <t xml:space="preserve">通</t>
  </si>
  <si>
    <t xml:space="preserve">外</t>
  </si>
  <si>
    <t xml:space="preserve">最</t>
  </si>
  <si>
    <t xml:space="preserve">現</t>
  </si>
  <si>
    <t xml:space="preserve">理</t>
  </si>
  <si>
    <t xml:space="preserve">調</t>
  </si>
  <si>
    <t xml:space="preserve">体</t>
  </si>
  <si>
    <t xml:space="preserve">化</t>
  </si>
  <si>
    <t xml:space="preserve">当</t>
  </si>
  <si>
    <t xml:space="preserve">六</t>
  </si>
  <si>
    <t xml:space="preserve">約</t>
  </si>
  <si>
    <t xml:space="preserve">主</t>
  </si>
  <si>
    <t xml:space="preserve">題</t>
  </si>
  <si>
    <t xml:space="preserve">下</t>
  </si>
  <si>
    <t xml:space="preserve">意</t>
  </si>
  <si>
    <t xml:space="preserve">法</t>
  </si>
  <si>
    <t xml:space="preserve">不</t>
  </si>
  <si>
    <t xml:space="preserve">来</t>
  </si>
  <si>
    <t xml:space="preserve">作</t>
  </si>
  <si>
    <t xml:space="preserve">性</t>
  </si>
  <si>
    <t xml:space="preserve">的</t>
  </si>
  <si>
    <t xml:space="preserve">要</t>
  </si>
  <si>
    <t xml:space="preserve">制</t>
  </si>
  <si>
    <t xml:space="preserve">治</t>
  </si>
  <si>
    <t xml:space="preserve">度</t>
  </si>
  <si>
    <t xml:space="preserve">務</t>
  </si>
  <si>
    <t xml:space="preserve">強</t>
  </si>
  <si>
    <t xml:space="preserve">七</t>
  </si>
  <si>
    <t xml:space="preserve">成</t>
  </si>
  <si>
    <t xml:space="preserve">期</t>
  </si>
  <si>
    <t xml:space="preserve">公</t>
  </si>
  <si>
    <t xml:space="preserve">持</t>
  </si>
  <si>
    <t xml:space="preserve">野</t>
  </si>
  <si>
    <t xml:space="preserve">協</t>
  </si>
  <si>
    <t xml:space="preserve">取</t>
  </si>
  <si>
    <t xml:space="preserve">都</t>
  </si>
  <si>
    <t xml:space="preserve">和</t>
  </si>
  <si>
    <t xml:space="preserve">統</t>
  </si>
  <si>
    <t xml:space="preserve">以</t>
  </si>
  <si>
    <t xml:space="preserve">機</t>
  </si>
  <si>
    <t xml:space="preserve">平</t>
  </si>
  <si>
    <t xml:space="preserve">総</t>
  </si>
  <si>
    <t xml:space="preserve">加</t>
  </si>
  <si>
    <t xml:space="preserve">思</t>
  </si>
  <si>
    <t xml:space="preserve">家</t>
  </si>
  <si>
    <t xml:space="preserve">話</t>
  </si>
  <si>
    <t xml:space="preserve">世</t>
  </si>
  <si>
    <t xml:space="preserve">受</t>
  </si>
  <si>
    <t xml:space="preserve">区</t>
  </si>
  <si>
    <t xml:space="preserve">領</t>
  </si>
  <si>
    <t xml:space="preserve">多</t>
  </si>
  <si>
    <t xml:space="preserve">県</t>
  </si>
  <si>
    <t xml:space="preserve">続</t>
  </si>
  <si>
    <t xml:space="preserve">進</t>
  </si>
  <si>
    <t xml:space="preserve">正</t>
  </si>
  <si>
    <t xml:space="preserve">安</t>
  </si>
  <si>
    <t xml:space="preserve">設</t>
  </si>
  <si>
    <t xml:space="preserve">保</t>
  </si>
  <si>
    <t xml:space="preserve">改</t>
  </si>
  <si>
    <t xml:space="preserve">数</t>
  </si>
  <si>
    <t xml:space="preserve">記</t>
  </si>
  <si>
    <t xml:space="preserve">院</t>
  </si>
  <si>
    <t xml:space="preserve">初</t>
  </si>
  <si>
    <t xml:space="preserve">北</t>
  </si>
  <si>
    <t xml:space="preserve">午</t>
  </si>
  <si>
    <t xml:space="preserve">指</t>
  </si>
  <si>
    <t xml:space="preserve">権</t>
  </si>
  <si>
    <t xml:space="preserve">界</t>
  </si>
  <si>
    <t xml:space="preserve">第</t>
  </si>
  <si>
    <t xml:space="preserve">産</t>
  </si>
  <si>
    <t xml:space="preserve">結</t>
  </si>
  <si>
    <t xml:space="preserve">百</t>
  </si>
  <si>
    <t xml:space="preserve">派</t>
  </si>
  <si>
    <t xml:space="preserve">点</t>
  </si>
  <si>
    <t xml:space="preserve">教</t>
  </si>
  <si>
    <t xml:space="preserve">報</t>
  </si>
  <si>
    <t xml:space="preserve">済</t>
  </si>
  <si>
    <t xml:space="preserve">書</t>
  </si>
  <si>
    <t xml:space="preserve">府</t>
  </si>
  <si>
    <t xml:space="preserve">活</t>
  </si>
  <si>
    <t xml:space="preserve">原</t>
  </si>
  <si>
    <t xml:space="preserve">先</t>
  </si>
  <si>
    <t xml:space="preserve">共</t>
  </si>
  <si>
    <t xml:space="preserve">得</t>
  </si>
  <si>
    <t xml:space="preserve">解</t>
  </si>
  <si>
    <t xml:space="preserve">名</t>
  </si>
  <si>
    <t xml:space="preserve">交</t>
  </si>
  <si>
    <t xml:space="preserve">資</t>
  </si>
  <si>
    <t xml:space="preserve">予</t>
  </si>
  <si>
    <t xml:space="preserve">川</t>
  </si>
  <si>
    <t xml:space="preserve">向</t>
  </si>
  <si>
    <t xml:space="preserve">際</t>
  </si>
  <si>
    <t xml:space="preserve">査</t>
  </si>
  <si>
    <t xml:space="preserve">勝</t>
  </si>
  <si>
    <t xml:space="preserve">委</t>
  </si>
  <si>
    <t xml:space="preserve">告</t>
  </si>
  <si>
    <t xml:space="preserve">軍</t>
  </si>
  <si>
    <t xml:space="preserve">反</t>
  </si>
  <si>
    <t xml:space="preserve">元</t>
  </si>
  <si>
    <t xml:space="preserve">重</t>
  </si>
  <si>
    <t xml:space="preserve">近</t>
  </si>
  <si>
    <t xml:space="preserve">千</t>
  </si>
  <si>
    <t xml:space="preserve">考</t>
  </si>
  <si>
    <t xml:space="preserve">判</t>
  </si>
  <si>
    <t xml:space="preserve">認</t>
  </si>
  <si>
    <t xml:space="preserve">画</t>
  </si>
  <si>
    <t xml:space="preserve">海</t>
  </si>
  <si>
    <t xml:space="preserve">参</t>
  </si>
  <si>
    <t xml:space="preserve">売</t>
  </si>
  <si>
    <t xml:space="preserve">利</t>
  </si>
  <si>
    <t xml:space="preserve">組</t>
  </si>
  <si>
    <t xml:space="preserve">知</t>
  </si>
  <si>
    <t xml:space="preserve">案</t>
  </si>
  <si>
    <t xml:space="preserve">道</t>
  </si>
  <si>
    <t xml:space="preserve">信</t>
  </si>
  <si>
    <t xml:space="preserve">策</t>
  </si>
  <si>
    <t xml:space="preserve">集</t>
  </si>
  <si>
    <t xml:space="preserve">在</t>
  </si>
  <si>
    <t xml:space="preserve">件</t>
  </si>
  <si>
    <t xml:space="preserve">団</t>
  </si>
  <si>
    <t xml:space="preserve">別</t>
  </si>
  <si>
    <t xml:space="preserve">物</t>
  </si>
  <si>
    <t xml:space="preserve">側</t>
  </si>
  <si>
    <t xml:space="preserve">任</t>
  </si>
  <si>
    <t xml:space="preserve">引</t>
  </si>
  <si>
    <t xml:space="preserve">使</t>
  </si>
  <si>
    <t xml:space="preserve">求</t>
  </si>
  <si>
    <t xml:space="preserve">所</t>
  </si>
  <si>
    <t xml:space="preserve">次</t>
  </si>
  <si>
    <t xml:space="preserve">半</t>
  </si>
  <si>
    <t xml:space="preserve">品</t>
  </si>
  <si>
    <t xml:space="preserve">昨</t>
  </si>
  <si>
    <t xml:space="preserve">論</t>
  </si>
  <si>
    <t xml:space="preserve">計</t>
  </si>
  <si>
    <t xml:space="preserve">死</t>
  </si>
  <si>
    <t xml:space="preserve">官</t>
  </si>
  <si>
    <t xml:space="preserve">増</t>
  </si>
  <si>
    <t xml:space="preserve">係</t>
  </si>
  <si>
    <t xml:space="preserve">感</t>
  </si>
  <si>
    <t xml:space="preserve">特</t>
  </si>
  <si>
    <t xml:space="preserve">情</t>
  </si>
  <si>
    <t xml:space="preserve">投</t>
  </si>
  <si>
    <t xml:space="preserve">打</t>
  </si>
  <si>
    <t xml:space="preserve">男</t>
  </si>
  <si>
    <t xml:space="preserve">基</t>
  </si>
  <si>
    <t xml:space="preserve">私</t>
  </si>
  <si>
    <t xml:space="preserve">各</t>
  </si>
  <si>
    <t xml:space="preserve">始</t>
  </si>
  <si>
    <t xml:space="preserve">島</t>
  </si>
  <si>
    <t xml:space="preserve">直</t>
  </si>
  <si>
    <t xml:space="preserve">両</t>
  </si>
  <si>
    <t xml:space="preserve">朝</t>
  </si>
  <si>
    <t xml:space="preserve">価</t>
  </si>
  <si>
    <t xml:space="preserve">確</t>
  </si>
  <si>
    <t xml:space="preserve">村</t>
  </si>
  <si>
    <t xml:space="preserve">提</t>
  </si>
  <si>
    <t xml:space="preserve">運</t>
  </si>
  <si>
    <t xml:space="preserve">終</t>
  </si>
  <si>
    <t xml:space="preserve">挙</t>
  </si>
  <si>
    <t xml:space="preserve">果</t>
  </si>
  <si>
    <t xml:space="preserve">西</t>
  </si>
  <si>
    <t xml:space="preserve">勢</t>
  </si>
  <si>
    <t xml:space="preserve">減</t>
  </si>
  <si>
    <t xml:space="preserve">台</t>
  </si>
  <si>
    <t xml:space="preserve">広</t>
  </si>
  <si>
    <t xml:space="preserve">容</t>
  </si>
  <si>
    <t xml:space="preserve">必</t>
  </si>
  <si>
    <t xml:space="preserve">応</t>
  </si>
  <si>
    <t xml:space="preserve">演</t>
  </si>
  <si>
    <t xml:space="preserve">電</t>
  </si>
  <si>
    <t xml:space="preserve">歳</t>
  </si>
  <si>
    <t xml:space="preserve">住</t>
  </si>
  <si>
    <t xml:space="preserve">争</t>
  </si>
  <si>
    <t xml:space="preserve">談</t>
  </si>
  <si>
    <t xml:space="preserve">能</t>
  </si>
  <si>
    <t xml:space="preserve">無</t>
  </si>
  <si>
    <t xml:space="preserve">再</t>
  </si>
  <si>
    <t xml:space="preserve">位</t>
  </si>
  <si>
    <t xml:space="preserve">置</t>
  </si>
  <si>
    <t xml:space="preserve">企</t>
  </si>
  <si>
    <t xml:space="preserve">真</t>
  </si>
  <si>
    <t xml:space="preserve">流</t>
  </si>
  <si>
    <t xml:space="preserve">格</t>
  </si>
  <si>
    <t xml:space="preserve">有</t>
  </si>
  <si>
    <t xml:space="preserve">疑</t>
  </si>
  <si>
    <t xml:space="preserve">過</t>
  </si>
  <si>
    <t xml:space="preserve">局</t>
  </si>
  <si>
    <t xml:space="preserve">少</t>
  </si>
  <si>
    <t xml:space="preserve">放</t>
  </si>
  <si>
    <t xml:space="preserve">税</t>
  </si>
  <si>
    <t xml:space="preserve">検</t>
  </si>
  <si>
    <t xml:space="preserve">藤</t>
  </si>
  <si>
    <t xml:space="preserve">町</t>
  </si>
  <si>
    <t xml:space="preserve">常</t>
  </si>
  <si>
    <t xml:space="preserve">校</t>
  </si>
  <si>
    <t xml:space="preserve">料</t>
  </si>
  <si>
    <t xml:space="preserve">沢</t>
  </si>
  <si>
    <t xml:space="preserve">裁</t>
  </si>
  <si>
    <t xml:space="preserve">状</t>
  </si>
  <si>
    <t xml:space="preserve">建</t>
  </si>
  <si>
    <t xml:space="preserve">語</t>
  </si>
  <si>
    <t xml:space="preserve">球</t>
  </si>
  <si>
    <t xml:space="preserve">営</t>
  </si>
  <si>
    <t xml:space="preserve">空</t>
  </si>
  <si>
    <t xml:space="preserve">職</t>
  </si>
  <si>
    <t xml:space="preserve">証</t>
  </si>
  <si>
    <t xml:space="preserve">与</t>
  </si>
  <si>
    <t xml:space="preserve">急</t>
  </si>
  <si>
    <t xml:space="preserve">送</t>
  </si>
  <si>
    <t xml:space="preserve">援</t>
  </si>
  <si>
    <t xml:space="preserve">供</t>
  </si>
  <si>
    <t xml:space="preserve">可</t>
  </si>
  <si>
    <t xml:space="preserve">役</t>
  </si>
  <si>
    <t xml:space="preserve">構</t>
  </si>
  <si>
    <t xml:space="preserve">割</t>
  </si>
  <si>
    <t xml:space="preserve">聞</t>
  </si>
  <si>
    <t xml:space="preserve">費</t>
  </si>
  <si>
    <t xml:space="preserve">付</t>
  </si>
  <si>
    <t xml:space="preserve">施</t>
  </si>
  <si>
    <t xml:space="preserve">切</t>
  </si>
  <si>
    <t xml:space="preserve">由</t>
  </si>
  <si>
    <t xml:space="preserve">説</t>
  </si>
  <si>
    <t xml:space="preserve">転</t>
  </si>
  <si>
    <t xml:space="preserve">難</t>
  </si>
  <si>
    <t xml:space="preserve">防</t>
  </si>
  <si>
    <t xml:space="preserve">補</t>
  </si>
  <si>
    <t xml:space="preserve">優</t>
  </si>
  <si>
    <t xml:space="preserve">夫</t>
  </si>
  <si>
    <t xml:space="preserve">研</t>
  </si>
  <si>
    <t xml:space="preserve">収</t>
  </si>
  <si>
    <t xml:space="preserve">断</t>
  </si>
  <si>
    <t xml:space="preserve">井</t>
  </si>
  <si>
    <t xml:space="preserve">何</t>
  </si>
  <si>
    <t xml:space="preserve">南</t>
  </si>
  <si>
    <t xml:space="preserve">違</t>
  </si>
  <si>
    <t xml:space="preserve">消</t>
  </si>
  <si>
    <t xml:space="preserve">境</t>
  </si>
  <si>
    <t xml:space="preserve">神</t>
  </si>
  <si>
    <t xml:space="preserve">番</t>
  </si>
  <si>
    <t xml:space="preserve">規</t>
  </si>
  <si>
    <t xml:space="preserve">術</t>
  </si>
  <si>
    <t xml:space="preserve">護</t>
  </si>
  <si>
    <t xml:space="preserve">展</t>
  </si>
  <si>
    <t xml:space="preserve">態</t>
  </si>
  <si>
    <t xml:space="preserve">導</t>
  </si>
  <si>
    <t xml:space="preserve">鮮</t>
  </si>
  <si>
    <t xml:space="preserve">備</t>
  </si>
  <si>
    <t xml:space="preserve">宅</t>
  </si>
  <si>
    <t xml:space="preserve">害</t>
  </si>
  <si>
    <t xml:space="preserve">配</t>
  </si>
  <si>
    <t xml:space="preserve">副</t>
  </si>
  <si>
    <t xml:space="preserve">算</t>
  </si>
  <si>
    <t xml:space="preserve">視</t>
  </si>
  <si>
    <t xml:space="preserve">条</t>
  </si>
  <si>
    <t xml:space="preserve">幹</t>
  </si>
  <si>
    <t xml:space="preserve">独</t>
  </si>
  <si>
    <t xml:space="preserve">警</t>
  </si>
  <si>
    <t xml:space="preserve">宮</t>
  </si>
  <si>
    <t xml:space="preserve">究</t>
  </si>
  <si>
    <t xml:space="preserve">育</t>
  </si>
  <si>
    <t xml:space="preserve">席</t>
  </si>
  <si>
    <t xml:space="preserve">輸</t>
  </si>
  <si>
    <t xml:space="preserve">訪</t>
  </si>
  <si>
    <t xml:space="preserve">楽</t>
  </si>
  <si>
    <t xml:space="preserve">起</t>
  </si>
  <si>
    <t xml:space="preserve">万</t>
  </si>
  <si>
    <t xml:space="preserve">着</t>
  </si>
  <si>
    <t xml:space="preserve">乗</t>
  </si>
  <si>
    <t xml:space="preserve">店</t>
  </si>
  <si>
    <t xml:space="preserve">述</t>
  </si>
  <si>
    <t xml:space="preserve">残</t>
  </si>
  <si>
    <t xml:space="preserve">想</t>
  </si>
  <si>
    <t xml:space="preserve">線</t>
  </si>
  <si>
    <t xml:space="preserve">率</t>
  </si>
  <si>
    <t xml:space="preserve">病</t>
  </si>
  <si>
    <t xml:space="preserve">農</t>
  </si>
  <si>
    <t xml:space="preserve">州</t>
  </si>
  <si>
    <t xml:space="preserve">武</t>
  </si>
  <si>
    <t xml:space="preserve">声</t>
  </si>
  <si>
    <t xml:space="preserve">質</t>
  </si>
  <si>
    <t xml:space="preserve">念</t>
  </si>
  <si>
    <t xml:space="preserve">待</t>
  </si>
  <si>
    <t xml:space="preserve">試</t>
  </si>
  <si>
    <t xml:space="preserve">族</t>
  </si>
  <si>
    <t xml:space="preserve">象</t>
  </si>
  <si>
    <t xml:space="preserve">銀</t>
  </si>
  <si>
    <t xml:space="preserve">域</t>
  </si>
  <si>
    <t xml:space="preserve">助</t>
  </si>
  <si>
    <t xml:space="preserve">労</t>
  </si>
  <si>
    <t xml:space="preserve">例</t>
  </si>
  <si>
    <t xml:space="preserve">衛</t>
  </si>
  <si>
    <t xml:space="preserve">然</t>
  </si>
  <si>
    <t xml:space="preserve">早</t>
  </si>
  <si>
    <t xml:space="preserve">張</t>
  </si>
  <si>
    <t xml:space="preserve">映</t>
  </si>
  <si>
    <t xml:space="preserve">限</t>
  </si>
  <si>
    <t xml:space="preserve">親</t>
  </si>
  <si>
    <t xml:space="preserve">額</t>
  </si>
  <si>
    <t xml:space="preserve">監</t>
  </si>
  <si>
    <t xml:space="preserve">環</t>
  </si>
  <si>
    <t xml:space="preserve">験</t>
  </si>
  <si>
    <t xml:space="preserve">追</t>
  </si>
  <si>
    <t xml:space="preserve">審</t>
  </si>
  <si>
    <t xml:space="preserve">商</t>
  </si>
  <si>
    <t xml:space="preserve">葉</t>
  </si>
  <si>
    <t xml:space="preserve">義</t>
  </si>
  <si>
    <t xml:space="preserve">伝</t>
  </si>
  <si>
    <t xml:space="preserve">働</t>
  </si>
  <si>
    <t xml:space="preserve">形</t>
  </si>
  <si>
    <t xml:space="preserve">景</t>
  </si>
  <si>
    <t xml:space="preserve">落</t>
  </si>
  <si>
    <t xml:space="preserve">欧</t>
  </si>
  <si>
    <t xml:space="preserve">担</t>
  </si>
  <si>
    <t xml:space="preserve">好</t>
  </si>
  <si>
    <t xml:space="preserve">退</t>
  </si>
  <si>
    <t xml:space="preserve">準</t>
  </si>
  <si>
    <t xml:space="preserve">賞</t>
  </si>
  <si>
    <t xml:space="preserve">訴</t>
  </si>
  <si>
    <t xml:space="preserve">辺</t>
  </si>
  <si>
    <t xml:space="preserve">造</t>
  </si>
  <si>
    <t xml:space="preserve">英</t>
  </si>
  <si>
    <t xml:space="preserve">被</t>
  </si>
  <si>
    <t xml:space="preserve">株</t>
  </si>
  <si>
    <t xml:space="preserve">頭</t>
  </si>
  <si>
    <t xml:space="preserve">技</t>
  </si>
  <si>
    <t xml:space="preserve">低</t>
  </si>
  <si>
    <t xml:space="preserve">毎</t>
  </si>
  <si>
    <t xml:space="preserve">医</t>
  </si>
  <si>
    <t xml:space="preserve">復</t>
  </si>
  <si>
    <t xml:space="preserve">仕</t>
  </si>
  <si>
    <t xml:space="preserve">去</t>
  </si>
  <si>
    <t xml:space="preserve">姿</t>
  </si>
  <si>
    <t xml:space="preserve">味</t>
  </si>
  <si>
    <t xml:space="preserve">負</t>
  </si>
  <si>
    <t xml:space="preserve">閣</t>
  </si>
  <si>
    <t xml:space="preserve">渡</t>
  </si>
  <si>
    <t xml:space="preserve">失</t>
  </si>
  <si>
    <t xml:space="preserve">移</t>
  </si>
  <si>
    <t xml:space="preserve">差</t>
  </si>
  <si>
    <t xml:space="preserve">衆</t>
  </si>
  <si>
    <t xml:space="preserve">個</t>
  </si>
  <si>
    <t xml:space="preserve">写</t>
  </si>
  <si>
    <t xml:space="preserve">評</t>
  </si>
  <si>
    <t xml:space="preserve">課</t>
  </si>
  <si>
    <t xml:space="preserve">末</t>
  </si>
  <si>
    <t xml:space="preserve">守</t>
  </si>
  <si>
    <t xml:space="preserve">若</t>
  </si>
  <si>
    <t xml:space="preserve">脳</t>
  </si>
  <si>
    <t xml:space="preserve">極</t>
  </si>
  <si>
    <t xml:space="preserve">種</t>
  </si>
  <si>
    <t xml:space="preserve">美</t>
  </si>
  <si>
    <t xml:space="preserve">岡</t>
  </si>
  <si>
    <t xml:space="preserve">影</t>
  </si>
  <si>
    <t xml:space="preserve">命</t>
  </si>
  <si>
    <t xml:space="preserve">含</t>
  </si>
  <si>
    <t xml:space="preserve">福</t>
  </si>
  <si>
    <t xml:space="preserve">蔵</t>
  </si>
  <si>
    <t xml:space="preserve">量</t>
  </si>
  <si>
    <t xml:space="preserve">望</t>
  </si>
  <si>
    <t xml:space="preserve">松</t>
  </si>
  <si>
    <t xml:space="preserve">撃</t>
  </si>
  <si>
    <t xml:space="preserve">佐</t>
  </si>
  <si>
    <t xml:space="preserve">核</t>
  </si>
  <si>
    <t xml:space="preserve">観</t>
  </si>
  <si>
    <t xml:space="preserve">察</t>
  </si>
  <si>
    <t xml:space="preserve">整</t>
  </si>
  <si>
    <t xml:space="preserve">段</t>
  </si>
  <si>
    <t xml:space="preserve">横</t>
  </si>
  <si>
    <t xml:space="preserve">融</t>
  </si>
  <si>
    <t xml:space="preserve">型</t>
  </si>
  <si>
    <t xml:space="preserve">深</t>
  </si>
  <si>
    <t xml:space="preserve">字</t>
  </si>
  <si>
    <t xml:space="preserve">答</t>
  </si>
  <si>
    <t xml:space="preserve">夜</t>
  </si>
  <si>
    <t xml:space="preserve">製</t>
  </si>
  <si>
    <t xml:space="preserve">票</t>
  </si>
  <si>
    <t xml:space="preserve">況</t>
  </si>
  <si>
    <t xml:space="preserve">申</t>
  </si>
  <si>
    <t xml:space="preserve">様</t>
  </si>
  <si>
    <t xml:space="preserve">財</t>
  </si>
  <si>
    <t xml:space="preserve">港</t>
  </si>
  <si>
    <t xml:space="preserve">識</t>
  </si>
  <si>
    <t xml:space="preserve">注</t>
  </si>
  <si>
    <t xml:space="preserve">呼</t>
  </si>
  <si>
    <t xml:space="preserve">渉</t>
  </si>
  <si>
    <t xml:space="preserve">達</t>
  </si>
  <si>
    <t xml:space="preserve">響</t>
  </si>
  <si>
    <t xml:space="preserve">阪</t>
  </si>
  <si>
    <t xml:space="preserve">帰</t>
  </si>
  <si>
    <t xml:space="preserve">針</t>
  </si>
  <si>
    <t xml:space="preserve">専</t>
  </si>
  <si>
    <t xml:space="preserve">推</t>
  </si>
  <si>
    <t xml:space="preserve">古</t>
  </si>
  <si>
    <t xml:space="preserve">候</t>
  </si>
  <si>
    <t xml:space="preserve">史</t>
  </si>
  <si>
    <t xml:space="preserve">天</t>
  </si>
  <si>
    <t xml:space="preserve">階</t>
  </si>
  <si>
    <t xml:space="preserve">程</t>
  </si>
  <si>
    <t xml:space="preserve">満</t>
  </si>
  <si>
    <t xml:space="preserve">敗</t>
  </si>
  <si>
    <t xml:space="preserve">管</t>
  </si>
  <si>
    <t xml:space="preserve">値</t>
  </si>
  <si>
    <t xml:space="preserve">歌</t>
  </si>
  <si>
    <t xml:space="preserve">買</t>
  </si>
  <si>
    <t xml:space="preserve">突</t>
  </si>
  <si>
    <t xml:space="preserve">兵</t>
  </si>
  <si>
    <t xml:space="preserve">接</t>
  </si>
  <si>
    <t xml:space="preserve">請</t>
  </si>
  <si>
    <t xml:space="preserve">器</t>
  </si>
  <si>
    <t xml:space="preserve">光</t>
  </si>
  <si>
    <t xml:space="preserve">討</t>
  </si>
  <si>
    <t xml:space="preserve">路</t>
  </si>
  <si>
    <t xml:space="preserve">悪</t>
  </si>
  <si>
    <t xml:space="preserve">科</t>
  </si>
  <si>
    <t xml:space="preserve">攻</t>
  </si>
  <si>
    <t xml:space="preserve">崎</t>
  </si>
  <si>
    <t xml:space="preserve">督</t>
  </si>
  <si>
    <t xml:space="preserve">授</t>
  </si>
  <si>
    <t xml:space="preserve">催</t>
  </si>
  <si>
    <t xml:space="preserve">細</t>
  </si>
  <si>
    <t xml:space="preserve">効</t>
  </si>
  <si>
    <t xml:space="preserve">図</t>
  </si>
  <si>
    <t xml:space="preserve">週</t>
  </si>
  <si>
    <t xml:space="preserve">積</t>
  </si>
  <si>
    <t xml:space="preserve">丸</t>
  </si>
  <si>
    <t xml:space="preserve">他</t>
  </si>
  <si>
    <t xml:space="preserve">及</t>
  </si>
  <si>
    <t xml:space="preserve">湾</t>
  </si>
  <si>
    <t xml:space="preserve">録</t>
  </si>
  <si>
    <t xml:space="preserve">処</t>
  </si>
  <si>
    <t xml:space="preserve">省</t>
  </si>
  <si>
    <t xml:space="preserve">旧</t>
  </si>
  <si>
    <t xml:space="preserve">室</t>
  </si>
  <si>
    <t xml:space="preserve">憲</t>
  </si>
  <si>
    <t xml:space="preserve">太</t>
  </si>
  <si>
    <t xml:space="preserve">橋</t>
  </si>
  <si>
    <t xml:space="preserve">歩</t>
  </si>
  <si>
    <t xml:space="preserve">離</t>
  </si>
  <si>
    <t xml:space="preserve">岸</t>
  </si>
  <si>
    <t xml:space="preserve">客</t>
  </si>
  <si>
    <t xml:space="preserve">紙</t>
  </si>
  <si>
    <t xml:space="preserve">激</t>
  </si>
  <si>
    <t xml:space="preserve">否</t>
  </si>
  <si>
    <t xml:space="preserve">周</t>
  </si>
  <si>
    <t xml:space="preserve">師</t>
  </si>
  <si>
    <t xml:space="preserve">摘</t>
  </si>
  <si>
    <t xml:space="preserve">材</t>
  </si>
  <si>
    <t xml:space="preserve">登</t>
  </si>
  <si>
    <t xml:space="preserve">系</t>
  </si>
  <si>
    <t xml:space="preserve">批</t>
  </si>
  <si>
    <t xml:space="preserve">郎</t>
  </si>
  <si>
    <t xml:space="preserve">母</t>
  </si>
  <si>
    <t xml:space="preserve">易</t>
  </si>
  <si>
    <t xml:space="preserve">健</t>
  </si>
  <si>
    <t xml:space="preserve">戸</t>
  </si>
  <si>
    <t xml:space="preserve">速</t>
  </si>
  <si>
    <t xml:space="preserve">存</t>
  </si>
  <si>
    <t xml:space="preserve">花</t>
  </si>
  <si>
    <t xml:space="preserve">春</t>
  </si>
  <si>
    <t xml:space="preserve">殺</t>
  </si>
  <si>
    <t xml:space="preserve">央</t>
  </si>
  <si>
    <t xml:space="preserve">券</t>
  </si>
  <si>
    <t xml:space="preserve">号</t>
  </si>
  <si>
    <t xml:space="preserve">単</t>
  </si>
  <si>
    <t xml:space="preserve">盟</t>
  </si>
  <si>
    <t xml:space="preserve">座</t>
  </si>
  <si>
    <t xml:space="preserve">破</t>
  </si>
  <si>
    <t xml:space="preserve">編</t>
  </si>
  <si>
    <t xml:space="preserve">捜</t>
  </si>
  <si>
    <t xml:space="preserve">除</t>
  </si>
  <si>
    <t xml:space="preserve">完</t>
  </si>
  <si>
    <t xml:space="preserve">降</t>
  </si>
  <si>
    <t xml:space="preserve">超</t>
  </si>
  <si>
    <t xml:space="preserve">責</t>
  </si>
  <si>
    <t xml:space="preserve">並</t>
  </si>
  <si>
    <t xml:space="preserve">療</t>
  </si>
  <si>
    <t xml:space="preserve">従</t>
  </si>
  <si>
    <t xml:space="preserve">右</t>
  </si>
  <si>
    <t xml:space="preserve">修</t>
  </si>
  <si>
    <t xml:space="preserve">捕</t>
  </si>
  <si>
    <t xml:space="preserve">隊</t>
  </si>
  <si>
    <t xml:space="preserve">危</t>
  </si>
  <si>
    <t xml:space="preserve">採</t>
  </si>
  <si>
    <t xml:space="preserve">織</t>
  </si>
  <si>
    <t xml:space="preserve">森</t>
  </si>
  <si>
    <t xml:space="preserve">競</t>
  </si>
  <si>
    <t xml:space="preserve">拡</t>
  </si>
  <si>
    <t xml:space="preserve">故</t>
  </si>
  <si>
    <t xml:space="preserve">館</t>
  </si>
  <si>
    <t xml:space="preserve">振</t>
  </si>
  <si>
    <t xml:space="preserve">給</t>
  </si>
  <si>
    <t xml:space="preserve">屋</t>
  </si>
  <si>
    <t xml:space="preserve">介</t>
  </si>
  <si>
    <t xml:space="preserve">読</t>
  </si>
  <si>
    <t xml:space="preserve">弁</t>
  </si>
  <si>
    <t xml:space="preserve">根</t>
  </si>
  <si>
    <t xml:space="preserve">友</t>
  </si>
  <si>
    <t xml:space="preserve">苦</t>
  </si>
  <si>
    <t xml:space="preserve">迎</t>
  </si>
  <si>
    <t xml:space="preserve">販</t>
  </si>
  <si>
    <t xml:space="preserve">園</t>
  </si>
  <si>
    <t xml:space="preserve">具</t>
  </si>
  <si>
    <t xml:space="preserve">左</t>
  </si>
  <si>
    <t xml:space="preserve">異</t>
  </si>
  <si>
    <t xml:space="preserve">歴</t>
  </si>
  <si>
    <t xml:space="preserve">辞</t>
  </si>
  <si>
    <t xml:space="preserve">将</t>
  </si>
  <si>
    <t xml:space="preserve">秋</t>
  </si>
  <si>
    <t xml:space="preserve">因</t>
  </si>
  <si>
    <t xml:space="preserve">献</t>
  </si>
  <si>
    <t xml:space="preserve">厳</t>
  </si>
  <si>
    <t xml:space="preserve">愛</t>
  </si>
  <si>
    <t xml:space="preserve">幅</t>
  </si>
  <si>
    <t xml:space="preserve">休</t>
  </si>
  <si>
    <t xml:space="preserve">維</t>
  </si>
  <si>
    <t xml:space="preserve">富</t>
  </si>
  <si>
    <t xml:space="preserve">浜</t>
  </si>
  <si>
    <t xml:space="preserve">遺</t>
  </si>
  <si>
    <t xml:space="preserve">彼</t>
  </si>
  <si>
    <t xml:space="preserve">般</t>
  </si>
  <si>
    <t xml:space="preserve">未</t>
  </si>
  <si>
    <t xml:space="preserve">塁</t>
  </si>
  <si>
    <t xml:space="preserve">貿</t>
  </si>
  <si>
    <t xml:space="preserve">講</t>
  </si>
  <si>
    <t xml:space="preserve">邦</t>
  </si>
  <si>
    <t xml:space="preserve">舞</t>
  </si>
  <si>
    <t xml:space="preserve">林</t>
  </si>
  <si>
    <t xml:space="preserve">装</t>
  </si>
  <si>
    <t xml:space="preserve">諸</t>
  </si>
  <si>
    <t xml:space="preserve">素</t>
  </si>
  <si>
    <t xml:space="preserve">亡</t>
  </si>
  <si>
    <t xml:space="preserve">劇</t>
  </si>
  <si>
    <t xml:space="preserve">河</t>
  </si>
  <si>
    <t xml:space="preserve">遣</t>
  </si>
  <si>
    <t xml:space="preserve">航</t>
  </si>
  <si>
    <t xml:space="preserve">抗</t>
  </si>
  <si>
    <t xml:space="preserve">冷</t>
  </si>
  <si>
    <t xml:space="preserve">模</t>
  </si>
  <si>
    <t xml:space="preserve">雄</t>
  </si>
  <si>
    <t xml:space="preserve">適</t>
  </si>
  <si>
    <t xml:space="preserve">婦</t>
  </si>
  <si>
    <t xml:space="preserve">鉄</t>
  </si>
  <si>
    <t xml:space="preserve">寄</t>
  </si>
  <si>
    <t xml:space="preserve">益</t>
  </si>
  <si>
    <t xml:space="preserve">込</t>
  </si>
  <si>
    <t xml:space="preserve">顔</t>
  </si>
  <si>
    <t xml:space="preserve">緊</t>
  </si>
  <si>
    <t xml:space="preserve">類</t>
  </si>
  <si>
    <t xml:space="preserve">児</t>
  </si>
  <si>
    <t xml:space="preserve">余</t>
  </si>
  <si>
    <t xml:space="preserve">禁</t>
  </si>
  <si>
    <t xml:space="preserve">印</t>
  </si>
  <si>
    <t xml:space="preserve">逆</t>
  </si>
  <si>
    <t xml:space="preserve">王</t>
  </si>
  <si>
    <t xml:space="preserve">返</t>
  </si>
  <si>
    <t xml:space="preserve">標</t>
  </si>
  <si>
    <t xml:space="preserve">換</t>
  </si>
  <si>
    <t xml:space="preserve">久</t>
  </si>
  <si>
    <t xml:space="preserve">短</t>
  </si>
  <si>
    <t xml:space="preserve">油</t>
  </si>
  <si>
    <t xml:space="preserve">妻</t>
  </si>
  <si>
    <t xml:space="preserve">暴</t>
  </si>
  <si>
    <t xml:space="preserve">輪</t>
  </si>
  <si>
    <t xml:space="preserve">宣</t>
  </si>
  <si>
    <t xml:space="preserve">背</t>
  </si>
  <si>
    <t xml:space="preserve">昭</t>
  </si>
  <si>
    <t xml:space="preserve">廃</t>
  </si>
  <si>
    <t xml:space="preserve">植</t>
  </si>
  <si>
    <t xml:space="preserve">熱</t>
  </si>
  <si>
    <t xml:space="preserve">宿</t>
  </si>
  <si>
    <t xml:space="preserve">薬</t>
  </si>
  <si>
    <t xml:space="preserve">伊</t>
  </si>
  <si>
    <t xml:space="preserve">江</t>
  </si>
  <si>
    <t xml:space="preserve">清</t>
  </si>
  <si>
    <t xml:space="preserve">習</t>
  </si>
  <si>
    <t xml:space="preserve">険</t>
  </si>
  <si>
    <t xml:space="preserve">頼</t>
  </si>
  <si>
    <t xml:space="preserve">僚</t>
  </si>
  <si>
    <t xml:space="preserve">覚</t>
  </si>
  <si>
    <t xml:space="preserve">吉</t>
  </si>
  <si>
    <t xml:space="preserve">盛</t>
  </si>
  <si>
    <t xml:space="preserve">船</t>
  </si>
  <si>
    <t xml:space="preserve">倍</t>
  </si>
  <si>
    <t xml:space="preserve">均</t>
  </si>
  <si>
    <t xml:space="preserve">億</t>
  </si>
  <si>
    <t xml:space="preserve">途</t>
  </si>
  <si>
    <t xml:space="preserve">圧</t>
  </si>
  <si>
    <t xml:space="preserve">芸</t>
  </si>
  <si>
    <t xml:space="preserve">許</t>
  </si>
  <si>
    <t xml:space="preserve">皇</t>
  </si>
  <si>
    <t xml:space="preserve">臨</t>
  </si>
  <si>
    <t xml:space="preserve">踏</t>
  </si>
  <si>
    <t xml:space="preserve">駅</t>
  </si>
  <si>
    <t xml:space="preserve">署</t>
  </si>
  <si>
    <t xml:space="preserve">抜</t>
  </si>
  <si>
    <t xml:space="preserve">壊</t>
  </si>
  <si>
    <t xml:space="preserve">債</t>
  </si>
  <si>
    <t xml:space="preserve">便</t>
  </si>
  <si>
    <t xml:space="preserve">伸</t>
  </si>
  <si>
    <t xml:space="preserve">留</t>
  </si>
  <si>
    <t xml:space="preserve">罪</t>
  </si>
  <si>
    <t xml:space="preserve">停</t>
  </si>
  <si>
    <t xml:space="preserve">興</t>
  </si>
  <si>
    <t xml:space="preserve">爆</t>
  </si>
  <si>
    <t xml:space="preserve">陸</t>
  </si>
  <si>
    <t xml:space="preserve">源</t>
  </si>
  <si>
    <t xml:space="preserve">儀</t>
  </si>
  <si>
    <t xml:space="preserve">波</t>
  </si>
  <si>
    <t xml:space="preserve">創</t>
  </si>
  <si>
    <t xml:space="preserve">障</t>
  </si>
  <si>
    <t xml:space="preserve">継</t>
  </si>
  <si>
    <t xml:space="preserve">筋</t>
  </si>
  <si>
    <t xml:space="preserve">狙</t>
  </si>
  <si>
    <t xml:space="preserve">帯</t>
  </si>
  <si>
    <t xml:space="preserve">延</t>
  </si>
  <si>
    <t xml:space="preserve">努</t>
  </si>
  <si>
    <t xml:space="preserve">固</t>
  </si>
  <si>
    <t xml:space="preserve">闘</t>
  </si>
  <si>
    <t xml:space="preserve">精</t>
  </si>
  <si>
    <t xml:space="preserve">則</t>
  </si>
  <si>
    <t xml:space="preserve">葬</t>
  </si>
  <si>
    <t xml:space="preserve">乱</t>
  </si>
  <si>
    <t xml:space="preserve">避</t>
  </si>
  <si>
    <t xml:space="preserve">普</t>
  </si>
  <si>
    <t xml:space="preserve">散</t>
  </si>
  <si>
    <t xml:space="preserve">司</t>
  </si>
  <si>
    <t xml:space="preserve">康</t>
  </si>
  <si>
    <t xml:space="preserve">測</t>
  </si>
  <si>
    <t xml:space="preserve">豊</t>
  </si>
  <si>
    <t xml:space="preserve">洋</t>
  </si>
  <si>
    <t xml:space="preserve">静</t>
  </si>
  <si>
    <t xml:space="preserve">善</t>
  </si>
  <si>
    <t xml:space="preserve">逮</t>
  </si>
  <si>
    <t xml:space="preserve">婚</t>
  </si>
  <si>
    <t xml:space="preserve">厚</t>
  </si>
  <si>
    <t xml:space="preserve">喜</t>
  </si>
  <si>
    <t xml:space="preserve">囲</t>
  </si>
  <si>
    <t xml:space="preserve">卒</t>
  </si>
  <si>
    <t xml:space="preserve">迫</t>
  </si>
  <si>
    <t xml:space="preserve">略</t>
  </si>
  <si>
    <t xml:space="preserve">承</t>
  </si>
  <si>
    <t xml:space="preserve">浮</t>
  </si>
  <si>
    <t xml:space="preserve">惑</t>
  </si>
  <si>
    <t xml:space="preserve">崩</t>
  </si>
  <si>
    <t xml:space="preserve">順</t>
  </si>
  <si>
    <t xml:space="preserve">紀</t>
  </si>
  <si>
    <t xml:space="preserve">聴</t>
  </si>
  <si>
    <t xml:space="preserve">脱</t>
  </si>
  <si>
    <t xml:space="preserve">旅</t>
  </si>
  <si>
    <t xml:space="preserve">絶</t>
  </si>
  <si>
    <t xml:space="preserve">級</t>
  </si>
  <si>
    <t xml:space="preserve">幸</t>
  </si>
  <si>
    <t xml:space="preserve">岩</t>
  </si>
  <si>
    <t xml:space="preserve">練</t>
  </si>
  <si>
    <t xml:space="preserve">押</t>
  </si>
  <si>
    <t xml:space="preserve">軽</t>
  </si>
  <si>
    <t xml:space="preserve">倒</t>
  </si>
  <si>
    <t xml:space="preserve">了</t>
  </si>
  <si>
    <t xml:space="preserve">庁</t>
  </si>
  <si>
    <t xml:space="preserve">博</t>
  </si>
  <si>
    <t xml:space="preserve">城</t>
  </si>
  <si>
    <t xml:space="preserve">患</t>
  </si>
  <si>
    <t xml:space="preserve">締</t>
  </si>
  <si>
    <t xml:space="preserve">等</t>
  </si>
  <si>
    <t xml:space="preserve">救</t>
  </si>
  <si>
    <t xml:space="preserve">執</t>
  </si>
  <si>
    <t xml:space="preserve">層</t>
  </si>
  <si>
    <t xml:space="preserve">版</t>
  </si>
  <si>
    <t xml:space="preserve">令</t>
  </si>
  <si>
    <t xml:space="preserve">絡</t>
  </si>
  <si>
    <t xml:space="preserve">損</t>
  </si>
  <si>
    <t xml:space="preserve">房</t>
  </si>
  <si>
    <t xml:space="preserve">募</t>
  </si>
  <si>
    <t xml:space="preserve">曲</t>
  </si>
  <si>
    <t xml:space="preserve">撤</t>
  </si>
  <si>
    <t xml:space="preserve">裏</t>
  </si>
  <si>
    <t xml:space="preserve">払</t>
  </si>
  <si>
    <t xml:space="preserve">削</t>
  </si>
  <si>
    <t xml:space="preserve">密</t>
  </si>
  <si>
    <t xml:space="preserve">庭</t>
  </si>
  <si>
    <t xml:space="preserve">徒</t>
  </si>
  <si>
    <t xml:space="preserve">措</t>
  </si>
  <si>
    <t xml:space="preserve">仏</t>
  </si>
  <si>
    <t xml:space="preserve">績</t>
  </si>
  <si>
    <t xml:space="preserve">築</t>
  </si>
  <si>
    <t xml:space="preserve">貨</t>
  </si>
  <si>
    <t xml:space="preserve">志</t>
  </si>
  <si>
    <t xml:space="preserve">混</t>
  </si>
  <si>
    <t xml:space="preserve">載</t>
  </si>
  <si>
    <t xml:space="preserve">昇</t>
  </si>
  <si>
    <t xml:space="preserve">池</t>
  </si>
  <si>
    <t xml:space="preserve">陣</t>
  </si>
  <si>
    <t xml:space="preserve">我</t>
  </si>
  <si>
    <t xml:space="preserve">勤</t>
  </si>
  <si>
    <t xml:space="preserve">為</t>
  </si>
  <si>
    <t xml:space="preserve">遅</t>
  </si>
  <si>
    <t xml:space="preserve">抑</t>
  </si>
  <si>
    <t xml:space="preserve">幕</t>
  </si>
  <si>
    <t xml:space="preserve">居</t>
  </si>
  <si>
    <t xml:space="preserve">染</t>
  </si>
  <si>
    <t xml:space="preserve">温</t>
  </si>
  <si>
    <t xml:space="preserve">雑</t>
  </si>
  <si>
    <t xml:space="preserve">招</t>
  </si>
  <si>
    <t xml:space="preserve">奈</t>
  </si>
  <si>
    <t xml:space="preserve">季</t>
  </si>
  <si>
    <t xml:space="preserve">困</t>
  </si>
  <si>
    <t xml:space="preserve">星</t>
  </si>
  <si>
    <t xml:space="preserve">傷</t>
  </si>
  <si>
    <t xml:space="preserve">永</t>
  </si>
  <si>
    <t xml:space="preserve">択</t>
  </si>
  <si>
    <t xml:space="preserve">秀</t>
  </si>
  <si>
    <t xml:space="preserve">著</t>
  </si>
  <si>
    <t xml:space="preserve">徴</t>
  </si>
  <si>
    <t xml:space="preserve">誌</t>
  </si>
  <si>
    <t xml:space="preserve">庫</t>
  </si>
  <si>
    <t xml:space="preserve">弾</t>
  </si>
  <si>
    <t xml:space="preserve">償</t>
  </si>
  <si>
    <t xml:space="preserve">刊</t>
  </si>
  <si>
    <t xml:space="preserve">像</t>
  </si>
  <si>
    <t xml:space="preserve">功</t>
  </si>
  <si>
    <t xml:space="preserve">拠</t>
  </si>
  <si>
    <t xml:space="preserve">更</t>
  </si>
  <si>
    <t xml:space="preserve">秘</t>
  </si>
  <si>
    <t xml:space="preserve">拒</t>
  </si>
  <si>
    <t xml:space="preserve">刑</t>
  </si>
  <si>
    <t xml:space="preserve">坂</t>
  </si>
  <si>
    <t xml:space="preserve">刻</t>
  </si>
  <si>
    <t xml:space="preserve">底</t>
  </si>
  <si>
    <t xml:space="preserve">賛</t>
  </si>
  <si>
    <t xml:space="preserve">塚</t>
  </si>
  <si>
    <t xml:space="preserve">致</t>
  </si>
  <si>
    <t xml:space="preserve">抱</t>
  </si>
  <si>
    <t xml:space="preserve">繰</t>
  </si>
  <si>
    <t xml:space="preserve">服</t>
  </si>
  <si>
    <t xml:space="preserve">犯</t>
  </si>
  <si>
    <t xml:space="preserve">尾</t>
  </si>
  <si>
    <t xml:space="preserve">描</t>
  </si>
  <si>
    <t xml:space="preserve">布</t>
  </si>
  <si>
    <t xml:space="preserve">恐</t>
  </si>
  <si>
    <t xml:space="preserve">寺</t>
  </si>
  <si>
    <t xml:space="preserve">鈴</t>
  </si>
  <si>
    <t xml:space="preserve">盤</t>
  </si>
  <si>
    <t xml:space="preserve">息</t>
  </si>
  <si>
    <t xml:space="preserve">宇</t>
  </si>
  <si>
    <t xml:space="preserve">項</t>
  </si>
  <si>
    <t xml:space="preserve">喪</t>
  </si>
  <si>
    <t xml:space="preserve">伴</t>
  </si>
  <si>
    <t xml:space="preserve">遠</t>
  </si>
  <si>
    <t xml:space="preserve">養</t>
  </si>
  <si>
    <t xml:space="preserve">懸</t>
  </si>
  <si>
    <t xml:space="preserve">戻</t>
  </si>
  <si>
    <t xml:space="preserve">街</t>
  </si>
  <si>
    <t xml:space="preserve">巨</t>
  </si>
  <si>
    <t xml:space="preserve">震</t>
  </si>
  <si>
    <t xml:space="preserve">願</t>
  </si>
  <si>
    <t xml:space="preserve">絵</t>
  </si>
  <si>
    <t xml:space="preserve">希</t>
  </si>
  <si>
    <t xml:space="preserve">越</t>
  </si>
  <si>
    <t xml:space="preserve">契</t>
  </si>
  <si>
    <t xml:space="preserve">掲</t>
  </si>
  <si>
    <t xml:space="preserve">躍</t>
  </si>
  <si>
    <t xml:space="preserve">棄</t>
  </si>
  <si>
    <t xml:space="preserve">欲</t>
  </si>
  <si>
    <t xml:space="preserve">痛</t>
  </si>
  <si>
    <t xml:space="preserve">触</t>
  </si>
  <si>
    <t xml:space="preserve">邸</t>
  </si>
  <si>
    <t xml:space="preserve">依</t>
  </si>
  <si>
    <t xml:space="preserve">籍</t>
  </si>
  <si>
    <t xml:space="preserve">汚</t>
  </si>
  <si>
    <t xml:space="preserve">縮</t>
  </si>
  <si>
    <t xml:space="preserve">還</t>
  </si>
  <si>
    <t xml:space="preserve">枚</t>
  </si>
  <si>
    <t xml:space="preserve">属</t>
  </si>
  <si>
    <t xml:space="preserve">笑</t>
  </si>
  <si>
    <t xml:space="preserve">互</t>
  </si>
  <si>
    <t xml:space="preserve">複</t>
  </si>
  <si>
    <t xml:space="preserve">慮</t>
  </si>
  <si>
    <t xml:space="preserve">郵</t>
  </si>
  <si>
    <t xml:space="preserve">束</t>
  </si>
  <si>
    <t xml:space="preserve">仲</t>
  </si>
  <si>
    <t xml:space="preserve">栄</t>
  </si>
  <si>
    <t xml:space="preserve">札</t>
  </si>
  <si>
    <t xml:space="preserve">枠</t>
  </si>
  <si>
    <t xml:space="preserve">似</t>
  </si>
  <si>
    <t xml:space="preserve">恵</t>
  </si>
  <si>
    <t xml:space="preserve">板</t>
  </si>
  <si>
    <t xml:space="preserve">列</t>
  </si>
  <si>
    <t xml:space="preserve">露</t>
  </si>
  <si>
    <t xml:space="preserve">沖</t>
  </si>
  <si>
    <t xml:space="preserve">探</t>
  </si>
  <si>
    <t xml:space="preserve">逃</t>
  </si>
  <si>
    <t xml:space="preserve">借</t>
  </si>
  <si>
    <t xml:space="preserve">緩</t>
  </si>
  <si>
    <t xml:space="preserve">節</t>
  </si>
  <si>
    <t xml:space="preserve">需</t>
  </si>
  <si>
    <t xml:space="preserve">射</t>
  </si>
  <si>
    <t xml:space="preserve">傾</t>
  </si>
  <si>
    <t xml:space="preserve">届</t>
  </si>
  <si>
    <t xml:space="preserve">曜</t>
  </si>
  <si>
    <t xml:space="preserve">遊</t>
  </si>
  <si>
    <t xml:space="preserve">迷</t>
  </si>
  <si>
    <t xml:space="preserve">夢</t>
  </si>
  <si>
    <t xml:space="preserve">巻</t>
  </si>
  <si>
    <t xml:space="preserve">購</t>
  </si>
  <si>
    <t xml:space="preserve">揮</t>
  </si>
  <si>
    <t xml:space="preserve">君</t>
  </si>
  <si>
    <t xml:space="preserve">燃</t>
  </si>
  <si>
    <t xml:space="preserve">充</t>
  </si>
  <si>
    <t xml:space="preserve">閉</t>
  </si>
  <si>
    <t xml:space="preserve">緒</t>
  </si>
  <si>
    <t xml:space="preserve">跡</t>
  </si>
  <si>
    <t xml:space="preserve">包</t>
  </si>
  <si>
    <t xml:space="preserve">駐</t>
  </si>
  <si>
    <t xml:space="preserve">貢</t>
  </si>
  <si>
    <t xml:space="preserve">弱</t>
  </si>
  <si>
    <t xml:space="preserve">却</t>
  </si>
  <si>
    <t xml:space="preserve">端</t>
  </si>
  <si>
    <t xml:space="preserve">賃</t>
  </si>
  <si>
    <t xml:space="preserve">折</t>
  </si>
  <si>
    <t xml:space="preserve">紹</t>
  </si>
  <si>
    <t xml:space="preserve">獲</t>
  </si>
  <si>
    <t xml:space="preserve">郡</t>
  </si>
  <si>
    <t xml:space="preserve">併</t>
  </si>
  <si>
    <t xml:space="preserve">草</t>
  </si>
  <si>
    <t xml:space="preserve">徹</t>
  </si>
  <si>
    <t xml:space="preserve">飲</t>
  </si>
  <si>
    <t xml:space="preserve">貴</t>
  </si>
  <si>
    <t xml:space="preserve">埼</t>
  </si>
  <si>
    <t xml:space="preserve">衝</t>
  </si>
  <si>
    <t xml:space="preserve">焦</t>
  </si>
  <si>
    <t xml:space="preserve">奪</t>
  </si>
  <si>
    <t xml:space="preserve">雇</t>
  </si>
  <si>
    <t xml:space="preserve">災</t>
  </si>
  <si>
    <t xml:space="preserve">浦</t>
  </si>
  <si>
    <t xml:space="preserve">暮</t>
  </si>
  <si>
    <t xml:space="preserve">替</t>
  </si>
  <si>
    <t xml:space="preserve">析</t>
  </si>
  <si>
    <t xml:space="preserve">預</t>
  </si>
  <si>
    <t xml:space="preserve">焼</t>
  </si>
  <si>
    <t xml:space="preserve">簡</t>
  </si>
  <si>
    <t xml:space="preserve">譲</t>
  </si>
  <si>
    <t xml:space="preserve">称</t>
  </si>
  <si>
    <t xml:space="preserve">納</t>
  </si>
  <si>
    <t xml:space="preserve">樹</t>
  </si>
  <si>
    <t xml:space="preserve">挑</t>
  </si>
  <si>
    <t xml:space="preserve">章</t>
  </si>
  <si>
    <t xml:space="preserve">臓</t>
  </si>
  <si>
    <t xml:space="preserve">律</t>
  </si>
  <si>
    <t xml:space="preserve">誘</t>
  </si>
  <si>
    <t xml:space="preserve">紛</t>
  </si>
  <si>
    <t xml:space="preserve">貸</t>
  </si>
  <si>
    <t xml:space="preserve">宗</t>
  </si>
  <si>
    <t xml:space="preserve">促</t>
  </si>
  <si>
    <t xml:space="preserve">慎</t>
  </si>
  <si>
    <t xml:space="preserve">控</t>
  </si>
  <si>
    <t xml:space="preserve">贈</t>
  </si>
  <si>
    <t xml:space="preserve">智</t>
  </si>
  <si>
    <t xml:space="preserve">握</t>
  </si>
  <si>
    <t xml:space="preserve">照</t>
  </si>
  <si>
    <t xml:space="preserve">宙</t>
  </si>
  <si>
    <t xml:space="preserve">酒</t>
  </si>
  <si>
    <t xml:space="preserve">俊</t>
  </si>
  <si>
    <t xml:space="preserve">銭</t>
  </si>
  <si>
    <t xml:space="preserve">薄</t>
  </si>
  <si>
    <t xml:space="preserve">堂</t>
  </si>
  <si>
    <t xml:space="preserve">渋</t>
  </si>
  <si>
    <t xml:space="preserve">群</t>
  </si>
  <si>
    <t xml:space="preserve">銃</t>
  </si>
  <si>
    <t xml:space="preserve">悲</t>
  </si>
  <si>
    <t xml:space="preserve">秒</t>
  </si>
  <si>
    <t xml:space="preserve">操</t>
  </si>
  <si>
    <t xml:space="preserve">携</t>
  </si>
  <si>
    <t xml:space="preserve">奥</t>
  </si>
  <si>
    <t xml:space="preserve">診</t>
  </si>
  <si>
    <t xml:space="preserve">詰</t>
  </si>
  <si>
    <t xml:space="preserve">託</t>
  </si>
  <si>
    <t xml:space="preserve">晴</t>
  </si>
  <si>
    <t xml:space="preserve">撮</t>
  </si>
  <si>
    <t xml:space="preserve">誕</t>
  </si>
  <si>
    <t xml:space="preserve">侵</t>
  </si>
  <si>
    <t xml:space="preserve">括</t>
  </si>
  <si>
    <t xml:space="preserve">掛</t>
  </si>
  <si>
    <t xml:space="preserve">謝</t>
  </si>
  <si>
    <t xml:space="preserve">双</t>
  </si>
  <si>
    <t xml:space="preserve">孝</t>
  </si>
  <si>
    <t xml:space="preserve">刺</t>
  </si>
  <si>
    <t xml:space="preserve">到</t>
  </si>
  <si>
    <t xml:space="preserve">駆</t>
  </si>
  <si>
    <t xml:space="preserve">寝</t>
  </si>
  <si>
    <t xml:space="preserve">透</t>
  </si>
  <si>
    <t xml:space="preserve">津</t>
  </si>
  <si>
    <t xml:space="preserve">壁</t>
  </si>
  <si>
    <t xml:space="preserve">稲</t>
  </si>
  <si>
    <t xml:space="preserve">仮</t>
  </si>
  <si>
    <t xml:space="preserve">暗</t>
  </si>
  <si>
    <t xml:space="preserve">裂</t>
  </si>
  <si>
    <t xml:space="preserve">敏</t>
  </si>
  <si>
    <t xml:space="preserve">純</t>
  </si>
  <si>
    <t xml:space="preserve">是</t>
  </si>
  <si>
    <t xml:space="preserve">飯</t>
  </si>
  <si>
    <t xml:space="preserve">排</t>
  </si>
  <si>
    <t xml:space="preserve">裕</t>
  </si>
  <si>
    <t xml:space="preserve">堅</t>
  </si>
  <si>
    <t xml:space="preserve">訳</t>
  </si>
  <si>
    <t xml:space="preserve">盗</t>
  </si>
  <si>
    <t xml:space="preserve">芝</t>
  </si>
  <si>
    <t xml:space="preserve">綱</t>
  </si>
  <si>
    <t xml:space="preserve">吸</t>
  </si>
  <si>
    <t xml:space="preserve">典</t>
  </si>
  <si>
    <t xml:space="preserve">賀</t>
  </si>
  <si>
    <t xml:space="preserve">扱</t>
  </si>
  <si>
    <t xml:space="preserve">顧</t>
  </si>
  <si>
    <t xml:space="preserve">弘</t>
  </si>
  <si>
    <t xml:space="preserve">看</t>
  </si>
  <si>
    <t xml:space="preserve">訟</t>
  </si>
  <si>
    <t xml:space="preserve">戒</t>
  </si>
  <si>
    <t xml:space="preserve">祉</t>
  </si>
  <si>
    <t xml:space="preserve">誉</t>
  </si>
  <si>
    <t xml:space="preserve">歓</t>
  </si>
  <si>
    <t xml:space="preserve">勉</t>
  </si>
  <si>
    <t xml:space="preserve">奏</t>
  </si>
  <si>
    <t xml:space="preserve">勧</t>
  </si>
  <si>
    <t xml:space="preserve">騒</t>
  </si>
  <si>
    <t xml:space="preserve">翌</t>
  </si>
  <si>
    <t xml:space="preserve">陽</t>
  </si>
  <si>
    <t xml:space="preserve">閥</t>
  </si>
  <si>
    <t xml:space="preserve">甲</t>
  </si>
  <si>
    <t xml:space="preserve">快</t>
  </si>
  <si>
    <t xml:space="preserve">縄</t>
  </si>
  <si>
    <t xml:space="preserve">郷</t>
  </si>
  <si>
    <t xml:space="preserve">敬</t>
  </si>
  <si>
    <t xml:space="preserve">揺</t>
  </si>
  <si>
    <t xml:space="preserve">免</t>
  </si>
  <si>
    <t xml:space="preserve">薦</t>
  </si>
  <si>
    <t xml:space="preserve">隣</t>
  </si>
  <si>
    <t xml:space="preserve">悩</t>
  </si>
  <si>
    <t xml:space="preserve">華</t>
  </si>
  <si>
    <t xml:space="preserve">泉</t>
  </si>
  <si>
    <t xml:space="preserve">御</t>
  </si>
  <si>
    <t xml:space="preserve">範</t>
  </si>
  <si>
    <t xml:space="preserve">隠</t>
  </si>
  <si>
    <t xml:space="preserve">冬</t>
  </si>
  <si>
    <t xml:space="preserve">徳</t>
  </si>
  <si>
    <t xml:space="preserve">哲</t>
  </si>
  <si>
    <t xml:space="preserve">漁</t>
  </si>
  <si>
    <t xml:space="preserve">杉</t>
  </si>
  <si>
    <t xml:space="preserve">荒</t>
  </si>
  <si>
    <t xml:space="preserve">貯</t>
  </si>
  <si>
    <t xml:space="preserve">硬</t>
  </si>
  <si>
    <t xml:space="preserve">妥</t>
  </si>
  <si>
    <t xml:space="preserve">威</t>
  </si>
  <si>
    <t xml:space="preserve">豪</t>
  </si>
  <si>
    <t xml:space="preserve">熊</t>
  </si>
  <si>
    <t xml:space="preserve">滞</t>
  </si>
  <si>
    <t xml:space="preserve">微</t>
  </si>
  <si>
    <t xml:space="preserve">隆</t>
  </si>
  <si>
    <t xml:space="preserve">埋</t>
  </si>
  <si>
    <t xml:space="preserve">症</t>
  </si>
  <si>
    <t xml:space="preserve">暫</t>
  </si>
  <si>
    <t xml:space="preserve">忠</t>
  </si>
  <si>
    <t xml:space="preserve">倉</t>
  </si>
  <si>
    <t xml:space="preserve">昼</t>
  </si>
  <si>
    <t xml:space="preserve">茶</t>
  </si>
  <si>
    <t xml:space="preserve">彦</t>
  </si>
  <si>
    <t xml:space="preserve">肝</t>
  </si>
  <si>
    <t xml:space="preserve">柱</t>
  </si>
  <si>
    <t xml:space="preserve">喚</t>
  </si>
  <si>
    <t xml:space="preserve">沿</t>
  </si>
  <si>
    <t xml:space="preserve">妙</t>
  </si>
  <si>
    <t xml:space="preserve">唱</t>
  </si>
  <si>
    <t xml:space="preserve">祭</t>
  </si>
  <si>
    <t xml:space="preserve">袋</t>
  </si>
  <si>
    <t xml:space="preserve">阿</t>
  </si>
  <si>
    <t xml:space="preserve">索</t>
  </si>
  <si>
    <t xml:space="preserve">誠</t>
  </si>
  <si>
    <t xml:space="preserve">忘</t>
  </si>
  <si>
    <t xml:space="preserve">襲</t>
  </si>
  <si>
    <t xml:space="preserve">雪</t>
  </si>
  <si>
    <t xml:space="preserve">筆</t>
  </si>
  <si>
    <t xml:space="preserve">吹</t>
  </si>
  <si>
    <t xml:space="preserve">訓</t>
  </si>
  <si>
    <t xml:space="preserve">懇</t>
  </si>
  <si>
    <t xml:space="preserve">浴</t>
  </si>
  <si>
    <t xml:space="preserve">俳</t>
  </si>
  <si>
    <t xml:space="preserve">童</t>
  </si>
  <si>
    <t xml:space="preserve">宝</t>
  </si>
  <si>
    <t xml:space="preserve">柄</t>
  </si>
  <si>
    <t xml:space="preserve">驚</t>
  </si>
  <si>
    <t xml:space="preserve">封</t>
  </si>
  <si>
    <t xml:space="preserve">胸</t>
  </si>
  <si>
    <t xml:space="preserve">娘</t>
  </si>
  <si>
    <t xml:space="preserve">砂</t>
  </si>
  <si>
    <t xml:space="preserve">李</t>
  </si>
  <si>
    <t xml:space="preserve">塩</t>
  </si>
  <si>
    <t xml:space="preserve">浩</t>
  </si>
  <si>
    <t xml:space="preserve">誤</t>
  </si>
  <si>
    <t xml:space="preserve">剤</t>
  </si>
  <si>
    <t xml:space="preserve">瀬</t>
  </si>
  <si>
    <t xml:space="preserve">趣</t>
  </si>
  <si>
    <t xml:space="preserve">陥</t>
  </si>
  <si>
    <t xml:space="preserve">斎</t>
  </si>
  <si>
    <t xml:space="preserve">貫</t>
  </si>
  <si>
    <t xml:space="preserve">仙</t>
  </si>
  <si>
    <t xml:space="preserve">慰</t>
  </si>
  <si>
    <t xml:space="preserve">賢</t>
  </si>
  <si>
    <t xml:space="preserve">序</t>
  </si>
  <si>
    <t xml:space="preserve">弟</t>
  </si>
  <si>
    <t xml:space="preserve">旬</t>
  </si>
  <si>
    <t xml:space="preserve">腕</t>
  </si>
  <si>
    <t xml:space="preserve">兼</t>
  </si>
  <si>
    <t xml:space="preserve">聖</t>
  </si>
  <si>
    <t xml:space="preserve">旨</t>
  </si>
  <si>
    <t xml:space="preserve">即</t>
  </si>
  <si>
    <t xml:space="preserve">洗</t>
  </si>
  <si>
    <t xml:space="preserve">柳</t>
  </si>
  <si>
    <t xml:space="preserve">舎</t>
  </si>
  <si>
    <t xml:space="preserve">偽</t>
  </si>
  <si>
    <t xml:space="preserve">較</t>
  </si>
  <si>
    <t xml:space="preserve">覇</t>
  </si>
  <si>
    <t xml:space="preserve">兆</t>
  </si>
  <si>
    <t xml:space="preserve">床</t>
  </si>
  <si>
    <t xml:space="preserve">畑</t>
  </si>
  <si>
    <t xml:space="preserve">慣</t>
  </si>
  <si>
    <t xml:space="preserve">詳</t>
  </si>
  <si>
    <t xml:space="preserve">緑</t>
  </si>
  <si>
    <t xml:space="preserve">尊</t>
  </si>
  <si>
    <t xml:space="preserve">抵</t>
  </si>
  <si>
    <t xml:space="preserve">脅</t>
  </si>
  <si>
    <t xml:space="preserve">祝</t>
  </si>
  <si>
    <t xml:space="preserve">礼</t>
  </si>
  <si>
    <t xml:space="preserve">窓</t>
  </si>
  <si>
    <t xml:space="preserve">柔</t>
  </si>
  <si>
    <t xml:space="preserve">茂</t>
  </si>
  <si>
    <t xml:space="preserve">犠</t>
  </si>
  <si>
    <t xml:space="preserve">旗</t>
  </si>
  <si>
    <t xml:space="preserve">距</t>
  </si>
  <si>
    <t xml:space="preserve">雅</t>
  </si>
  <si>
    <t xml:space="preserve">飾</t>
  </si>
  <si>
    <t xml:space="preserve">網</t>
  </si>
  <si>
    <t xml:space="preserve">詩</t>
  </si>
  <si>
    <t xml:space="preserve">昔</t>
  </si>
  <si>
    <t xml:space="preserve">繁</t>
  </si>
  <si>
    <t xml:space="preserve">殿</t>
  </si>
  <si>
    <t xml:space="preserve">濃</t>
  </si>
  <si>
    <t xml:space="preserve">翼</t>
  </si>
  <si>
    <t xml:space="preserve">茨</t>
  </si>
  <si>
    <t xml:space="preserve">潟</t>
  </si>
  <si>
    <t xml:space="preserve">敵</t>
  </si>
  <si>
    <t xml:space="preserve">魅</t>
  </si>
  <si>
    <t xml:space="preserve">嫌</t>
  </si>
  <si>
    <t xml:space="preserve">液</t>
  </si>
  <si>
    <t xml:space="preserve">貧</t>
  </si>
  <si>
    <t xml:space="preserve">敷</t>
  </si>
  <si>
    <t xml:space="preserve">擁</t>
  </si>
  <si>
    <t xml:space="preserve">肩</t>
  </si>
  <si>
    <t xml:space="preserve">圏</t>
  </si>
  <si>
    <t xml:space="preserve">零</t>
  </si>
  <si>
    <t xml:space="preserve">酸</t>
  </si>
  <si>
    <t xml:space="preserve">兄</t>
  </si>
  <si>
    <t xml:space="preserve">罰</t>
  </si>
  <si>
    <t xml:space="preserve">怒</t>
  </si>
  <si>
    <t xml:space="preserve">滅</t>
  </si>
  <si>
    <t xml:space="preserve">泳</t>
  </si>
  <si>
    <t xml:space="preserve">礎</t>
  </si>
  <si>
    <t xml:space="preserve">腐</t>
  </si>
  <si>
    <t xml:space="preserve">祖</t>
  </si>
  <si>
    <t xml:space="preserve">幼</t>
  </si>
  <si>
    <t xml:space="preserve">脚</t>
  </si>
  <si>
    <t xml:space="preserve">菱</t>
  </si>
  <si>
    <t xml:space="preserve">荷</t>
  </si>
  <si>
    <t xml:space="preserve">潮</t>
  </si>
  <si>
    <t xml:space="preserve">梅</t>
  </si>
  <si>
    <t xml:space="preserve">泊</t>
  </si>
  <si>
    <t xml:space="preserve">尽</t>
  </si>
  <si>
    <t xml:space="preserve">杯</t>
  </si>
  <si>
    <t xml:space="preserve">僕</t>
  </si>
  <si>
    <t xml:space="preserve">桜</t>
  </si>
  <si>
    <t xml:space="preserve">滑</t>
  </si>
  <si>
    <t xml:space="preserve">孤</t>
  </si>
  <si>
    <t xml:space="preserve">煕</t>
  </si>
  <si>
    <t xml:space="preserve">炎</t>
  </si>
  <si>
    <t xml:space="preserve">賠</t>
  </si>
  <si>
    <t xml:space="preserve">句</t>
  </si>
  <si>
    <t xml:space="preserve">寿</t>
  </si>
  <si>
    <t xml:space="preserve">鋼</t>
  </si>
  <si>
    <t xml:space="preserve">頑</t>
  </si>
  <si>
    <t xml:space="preserve">鎖</t>
  </si>
  <si>
    <t xml:space="preserve">彩</t>
  </si>
  <si>
    <t xml:space="preserve">摩</t>
  </si>
  <si>
    <t xml:space="preserve">浅</t>
  </si>
  <si>
    <t xml:space="preserve">励</t>
  </si>
  <si>
    <t xml:space="preserve">掃</t>
  </si>
  <si>
    <t xml:space="preserve">雲</t>
  </si>
  <si>
    <t xml:space="preserve">掘</t>
  </si>
  <si>
    <t xml:space="preserve">縦</t>
  </si>
  <si>
    <t xml:space="preserve">輝</t>
  </si>
  <si>
    <t xml:space="preserve">蓄</t>
  </si>
  <si>
    <t xml:space="preserve">軸</t>
  </si>
  <si>
    <t xml:space="preserve">巡</t>
  </si>
  <si>
    <t xml:space="preserve">疲</t>
  </si>
  <si>
    <t xml:space="preserve">稼</t>
  </si>
  <si>
    <t xml:space="preserve">瞬</t>
  </si>
  <si>
    <t xml:space="preserve">捨</t>
  </si>
  <si>
    <t xml:space="preserve">皆</t>
  </si>
  <si>
    <t xml:space="preserve">砲</t>
  </si>
  <si>
    <t xml:space="preserve">軟</t>
  </si>
  <si>
    <t xml:space="preserve">噴</t>
  </si>
  <si>
    <t xml:space="preserve">沈</t>
  </si>
  <si>
    <t xml:space="preserve">誇</t>
  </si>
  <si>
    <t xml:space="preserve">祥</t>
  </si>
  <si>
    <t xml:space="preserve">牲</t>
  </si>
  <si>
    <t xml:space="preserve">秩</t>
  </si>
  <si>
    <t xml:space="preserve">帝</t>
  </si>
  <si>
    <t xml:space="preserve">宏</t>
  </si>
  <si>
    <t xml:space="preserve">唆</t>
  </si>
  <si>
    <t xml:space="preserve">鳴</t>
  </si>
  <si>
    <t xml:space="preserve">阻</t>
  </si>
  <si>
    <t xml:space="preserve">泰</t>
  </si>
  <si>
    <t xml:space="preserve">賄</t>
  </si>
  <si>
    <t xml:space="preserve">撲</t>
  </si>
  <si>
    <t xml:space="preserve">凍</t>
  </si>
  <si>
    <t xml:space="preserve">堀</t>
  </si>
  <si>
    <t xml:space="preserve">腹</t>
  </si>
  <si>
    <t xml:space="preserve">菊</t>
  </si>
  <si>
    <t xml:space="preserve">絞</t>
  </si>
  <si>
    <t xml:space="preserve">乳</t>
  </si>
  <si>
    <t xml:space="preserve">煙</t>
  </si>
  <si>
    <t xml:space="preserve">縁</t>
  </si>
  <si>
    <t xml:space="preserve">唯</t>
  </si>
  <si>
    <t xml:space="preserve">膨</t>
  </si>
  <si>
    <t xml:space="preserve">恋</t>
  </si>
  <si>
    <t xml:space="preserve">塾</t>
  </si>
  <si>
    <t xml:space="preserve">漏</t>
  </si>
  <si>
    <t xml:space="preserve">紅</t>
  </si>
  <si>
    <t xml:space="preserve">慶</t>
  </si>
  <si>
    <t xml:space="preserve">猛</t>
  </si>
  <si>
    <t xml:space="preserve">芳</t>
  </si>
  <si>
    <t xml:space="preserve">懲</t>
  </si>
  <si>
    <t xml:space="preserve">郊</t>
  </si>
  <si>
    <t xml:space="preserve">剣</t>
  </si>
  <si>
    <t xml:space="preserve">腰</t>
  </si>
  <si>
    <t xml:space="preserve">炭</t>
  </si>
  <si>
    <t xml:space="preserve">踊</t>
  </si>
  <si>
    <t xml:space="preserve">幌</t>
  </si>
  <si>
    <t xml:space="preserve">彰</t>
  </si>
  <si>
    <t xml:space="preserve">棋</t>
  </si>
  <si>
    <t xml:space="preserve">丁</t>
  </si>
  <si>
    <t xml:space="preserve">冊</t>
  </si>
  <si>
    <t xml:space="preserve">恒</t>
  </si>
  <si>
    <t xml:space="preserve">眠</t>
  </si>
  <si>
    <t xml:space="preserve">揚</t>
  </si>
  <si>
    <t xml:space="preserve">冒</t>
  </si>
  <si>
    <t xml:space="preserve">之</t>
  </si>
  <si>
    <t xml:space="preserve">勇</t>
  </si>
  <si>
    <t xml:space="preserve">曽</t>
  </si>
  <si>
    <t xml:space="preserve">械</t>
  </si>
  <si>
    <t xml:space="preserve">倫</t>
  </si>
  <si>
    <t xml:space="preserve">陳</t>
  </si>
  <si>
    <t xml:space="preserve">憶</t>
  </si>
  <si>
    <t xml:space="preserve">怖</t>
  </si>
  <si>
    <t xml:space="preserve">菜</t>
  </si>
  <si>
    <t xml:space="preserve">潜</t>
  </si>
  <si>
    <t xml:space="preserve">珍</t>
  </si>
  <si>
    <t xml:space="preserve">梨</t>
  </si>
  <si>
    <t xml:space="preserve">仁</t>
  </si>
  <si>
    <t xml:space="preserve">克</t>
  </si>
  <si>
    <t xml:space="preserve">岳</t>
  </si>
  <si>
    <t xml:space="preserve">概</t>
  </si>
  <si>
    <t xml:space="preserve">拘</t>
  </si>
  <si>
    <t xml:space="preserve">墓</t>
  </si>
  <si>
    <t xml:space="preserve">黙</t>
  </si>
  <si>
    <t xml:space="preserve">須</t>
  </si>
  <si>
    <t xml:space="preserve">偏</t>
  </si>
  <si>
    <t xml:space="preserve">雰</t>
  </si>
  <si>
    <t xml:space="preserve">卵</t>
  </si>
  <si>
    <t xml:space="preserve">遇</t>
  </si>
  <si>
    <t xml:space="preserve">湖</t>
  </si>
  <si>
    <t xml:space="preserve">諮</t>
  </si>
  <si>
    <t xml:space="preserve">狭</t>
  </si>
  <si>
    <t xml:space="preserve">喫</t>
  </si>
  <si>
    <t xml:space="preserve">卓</t>
  </si>
  <si>
    <t xml:space="preserve">頂</t>
  </si>
  <si>
    <t xml:space="preserve">刷</t>
  </si>
  <si>
    <t xml:space="preserve">糧</t>
  </si>
  <si>
    <t xml:space="preserve">梶</t>
  </si>
  <si>
    <t xml:space="preserve">湯</t>
  </si>
  <si>
    <t xml:space="preserve">箱</t>
  </si>
  <si>
    <t xml:space="preserve">簿</t>
  </si>
  <si>
    <t xml:space="preserve">炉</t>
  </si>
  <si>
    <t xml:space="preserve">牧</t>
  </si>
  <si>
    <t xml:space="preserve">殊</t>
  </si>
  <si>
    <t xml:space="preserve">殖</t>
  </si>
  <si>
    <t xml:space="preserve">艦</t>
  </si>
  <si>
    <t xml:space="preserve">溶</t>
  </si>
  <si>
    <t xml:space="preserve">輩</t>
  </si>
  <si>
    <t xml:space="preserve">奇</t>
  </si>
  <si>
    <t xml:space="preserve">慢</t>
  </si>
  <si>
    <t xml:space="preserve">鶴</t>
  </si>
  <si>
    <t xml:space="preserve">謀</t>
  </si>
  <si>
    <t xml:space="preserve">暖</t>
  </si>
  <si>
    <t xml:space="preserve">昌</t>
  </si>
  <si>
    <t xml:space="preserve">拍</t>
  </si>
  <si>
    <t xml:space="preserve">朗</t>
  </si>
  <si>
    <t xml:space="preserve">丈</t>
  </si>
  <si>
    <t xml:space="preserve">鉱</t>
  </si>
  <si>
    <t xml:space="preserve">寛</t>
  </si>
  <si>
    <t xml:space="preserve">覆</t>
  </si>
  <si>
    <t xml:space="preserve">胞</t>
  </si>
  <si>
    <t xml:space="preserve">泣</t>
  </si>
  <si>
    <t xml:space="preserve">涙</t>
  </si>
  <si>
    <t xml:space="preserve">隔</t>
  </si>
  <si>
    <t xml:space="preserve">浄</t>
  </si>
  <si>
    <t xml:space="preserve">匹</t>
  </si>
  <si>
    <t xml:space="preserve">没</t>
  </si>
  <si>
    <t xml:space="preserve">暇</t>
  </si>
  <si>
    <t xml:space="preserve">肺</t>
  </si>
  <si>
    <t xml:space="preserve">孫</t>
  </si>
  <si>
    <t xml:space="preserve">貞</t>
  </si>
  <si>
    <t xml:space="preserve">靖</t>
  </si>
  <si>
    <t xml:space="preserve">鑑</t>
  </si>
  <si>
    <t xml:space="preserve">飼</t>
  </si>
  <si>
    <t xml:space="preserve">陰</t>
  </si>
  <si>
    <t xml:space="preserve">銘</t>
  </si>
  <si>
    <t xml:space="preserve">鋭</t>
  </si>
  <si>
    <t xml:space="preserve">随</t>
  </si>
  <si>
    <t xml:space="preserve">烈</t>
  </si>
  <si>
    <t xml:space="preserve">尋</t>
  </si>
  <si>
    <t xml:space="preserve">渕</t>
  </si>
  <si>
    <t xml:space="preserve">稿</t>
  </si>
  <si>
    <t xml:space="preserve">枝</t>
  </si>
  <si>
    <t xml:space="preserve">丹</t>
  </si>
  <si>
    <t xml:space="preserve">啓</t>
  </si>
  <si>
    <t xml:space="preserve">也</t>
  </si>
  <si>
    <t xml:space="preserve">丘</t>
  </si>
  <si>
    <t xml:space="preserve">棟</t>
  </si>
  <si>
    <t xml:space="preserve">壌</t>
  </si>
  <si>
    <t xml:space="preserve">漫</t>
  </si>
  <si>
    <t xml:space="preserve">粘</t>
  </si>
  <si>
    <t xml:space="preserve">悟</t>
  </si>
  <si>
    <t xml:space="preserve">舗</t>
  </si>
  <si>
    <t xml:space="preserve">妊</t>
  </si>
  <si>
    <t xml:space="preserve">塗</t>
  </si>
  <si>
    <t xml:space="preserve">熟</t>
  </si>
  <si>
    <t xml:space="preserve">軒</t>
  </si>
  <si>
    <t xml:space="preserve">旭</t>
  </si>
  <si>
    <t xml:space="preserve">恩</t>
  </si>
  <si>
    <t xml:space="preserve">毒</t>
  </si>
  <si>
    <t xml:space="preserve">騰</t>
  </si>
  <si>
    <t xml:space="preserve">往</t>
  </si>
  <si>
    <t xml:space="preserve">遂</t>
  </si>
  <si>
    <t xml:space="preserve">晩</t>
  </si>
  <si>
    <t xml:space="preserve">狂</t>
  </si>
  <si>
    <t xml:space="preserve">叫</t>
  </si>
  <si>
    <t xml:space="preserve">栃</t>
  </si>
  <si>
    <t xml:space="preserve">岐</t>
  </si>
  <si>
    <t xml:space="preserve">陛</t>
  </si>
  <si>
    <t xml:space="preserve">緯</t>
  </si>
  <si>
    <t xml:space="preserve">培</t>
  </si>
  <si>
    <t xml:space="preserve">衰</t>
  </si>
  <si>
    <t xml:space="preserve">艇</t>
  </si>
  <si>
    <t xml:space="preserve">屈</t>
  </si>
  <si>
    <t xml:space="preserve">径</t>
  </si>
  <si>
    <t xml:space="preserve">淡</t>
  </si>
  <si>
    <t xml:space="preserve">抽</t>
  </si>
  <si>
    <t xml:space="preserve">披</t>
  </si>
  <si>
    <t xml:space="preserve">廷</t>
  </si>
  <si>
    <t xml:space="preserve">錦</t>
  </si>
  <si>
    <t xml:space="preserve">准</t>
  </si>
  <si>
    <t xml:space="preserve">暑</t>
  </si>
  <si>
    <t xml:space="preserve">拝</t>
  </si>
  <si>
    <t xml:space="preserve">磯</t>
  </si>
  <si>
    <t xml:space="preserve">奨</t>
  </si>
  <si>
    <t xml:space="preserve">妹</t>
  </si>
  <si>
    <t xml:space="preserve">浸</t>
  </si>
  <si>
    <t xml:space="preserve">剰</t>
  </si>
  <si>
    <t xml:space="preserve">胆</t>
  </si>
  <si>
    <t xml:space="preserve">氷</t>
  </si>
  <si>
    <t xml:space="preserve">繊</t>
  </si>
  <si>
    <t xml:space="preserve">駒</t>
  </si>
  <si>
    <t xml:space="preserve">乾</t>
  </si>
  <si>
    <t xml:space="preserve">虚</t>
  </si>
  <si>
    <t xml:space="preserve">棒</t>
  </si>
  <si>
    <t xml:space="preserve">寒</t>
  </si>
  <si>
    <t xml:space="preserve">孜</t>
  </si>
  <si>
    <t xml:space="preserve">霊</t>
  </si>
  <si>
    <t xml:space="preserve">帳</t>
  </si>
  <si>
    <t xml:space="preserve">悔</t>
  </si>
  <si>
    <t xml:space="preserve">諭</t>
  </si>
  <si>
    <t xml:space="preserve">祈</t>
  </si>
  <si>
    <t xml:space="preserve">惨</t>
  </si>
  <si>
    <t xml:space="preserve">虐</t>
  </si>
  <si>
    <t xml:space="preserve">翻</t>
  </si>
  <si>
    <t xml:space="preserve">墜</t>
  </si>
  <si>
    <t xml:space="preserve">沼</t>
  </si>
  <si>
    <t xml:space="preserve">据</t>
  </si>
  <si>
    <t xml:space="preserve">肥</t>
  </si>
  <si>
    <t xml:space="preserve">徐</t>
  </si>
  <si>
    <t xml:space="preserve">糖</t>
  </si>
  <si>
    <t xml:space="preserve">搭</t>
  </si>
  <si>
    <t xml:space="preserve">姉</t>
  </si>
  <si>
    <t xml:space="preserve">忙</t>
  </si>
  <si>
    <t xml:space="preserve">盾</t>
  </si>
  <si>
    <t xml:space="preserve">脈</t>
  </si>
  <si>
    <t xml:space="preserve">滝</t>
  </si>
  <si>
    <t xml:space="preserve">拾</t>
  </si>
  <si>
    <t xml:space="preserve">軌</t>
  </si>
  <si>
    <t xml:space="preserve">俵</t>
  </si>
  <si>
    <t xml:space="preserve">妨</t>
  </si>
  <si>
    <t xml:space="preserve">盧</t>
  </si>
  <si>
    <t xml:space="preserve">粉</t>
  </si>
  <si>
    <t xml:space="preserve">擦</t>
  </si>
  <si>
    <t xml:space="preserve">鯨</t>
  </si>
  <si>
    <t xml:space="preserve">漢</t>
  </si>
  <si>
    <t xml:space="preserve">荘</t>
  </si>
  <si>
    <t xml:space="preserve">諾</t>
  </si>
  <si>
    <t xml:space="preserve">雷</t>
  </si>
  <si>
    <t xml:space="preserve">漂</t>
  </si>
  <si>
    <t xml:space="preserve">懐</t>
  </si>
  <si>
    <t xml:space="preserve">勘</t>
  </si>
  <si>
    <t xml:space="preserve">綿</t>
  </si>
  <si>
    <t xml:space="preserve">栽</t>
  </si>
  <si>
    <t xml:space="preserve">才</t>
  </si>
  <si>
    <t xml:space="preserve">拐</t>
  </si>
  <si>
    <t xml:space="preserve">笠</t>
  </si>
  <si>
    <t xml:space="preserve">駄</t>
  </si>
  <si>
    <t xml:space="preserve">添</t>
  </si>
  <si>
    <t xml:space="preserve">汗</t>
  </si>
  <si>
    <t xml:space="preserve">冠</t>
  </si>
  <si>
    <t xml:space="preserve">斜</t>
  </si>
  <si>
    <t xml:space="preserve">銅</t>
  </si>
  <si>
    <t xml:space="preserve">鏡</t>
  </si>
  <si>
    <t xml:space="preserve">聡</t>
  </si>
  <si>
    <t xml:space="preserve">浪</t>
  </si>
  <si>
    <t xml:space="preserve">亜</t>
  </si>
  <si>
    <t xml:space="preserve">覧</t>
  </si>
  <si>
    <t xml:space="preserve">詐</t>
  </si>
  <si>
    <t xml:space="preserve">壇</t>
  </si>
  <si>
    <t xml:space="preserve">勲</t>
  </si>
  <si>
    <t xml:space="preserve">魔</t>
  </si>
  <si>
    <t xml:space="preserve">酬</t>
  </si>
  <si>
    <t xml:space="preserve">紫</t>
  </si>
  <si>
    <t xml:space="preserve">湿</t>
  </si>
  <si>
    <t xml:space="preserve">曙</t>
  </si>
  <si>
    <t xml:space="preserve">紋</t>
  </si>
  <si>
    <t xml:space="preserve">卸</t>
  </si>
  <si>
    <t xml:space="preserve">奮</t>
  </si>
  <si>
    <t xml:space="preserve">趙</t>
  </si>
  <si>
    <t xml:space="preserve">欄</t>
  </si>
  <si>
    <t xml:space="preserve">逸</t>
  </si>
  <si>
    <t xml:space="preserve">涯</t>
  </si>
  <si>
    <t xml:space="preserve">拓</t>
  </si>
  <si>
    <t xml:space="preserve">眼</t>
  </si>
  <si>
    <t xml:space="preserve">瓶</t>
  </si>
  <si>
    <t xml:space="preserve">獄</t>
  </si>
  <si>
    <t xml:space="preserve">筑</t>
  </si>
  <si>
    <t xml:space="preserve">尚</t>
  </si>
  <si>
    <t xml:space="preserve">彫</t>
  </si>
  <si>
    <t xml:space="preserve">咲</t>
  </si>
  <si>
    <t xml:space="preserve">穏</t>
  </si>
  <si>
    <t xml:space="preserve">顕</t>
  </si>
  <si>
    <t xml:space="preserve">巧</t>
  </si>
  <si>
    <t xml:space="preserve">垣</t>
  </si>
  <si>
    <t xml:space="preserve">召</t>
  </si>
  <si>
    <t xml:space="preserve">欺</t>
  </si>
  <si>
    <t xml:space="preserve">釣</t>
  </si>
  <si>
    <t xml:space="preserve">萩</t>
  </si>
  <si>
    <t xml:space="preserve">粧</t>
  </si>
  <si>
    <t xml:space="preserve">隻</t>
  </si>
  <si>
    <t xml:space="preserve">葛</t>
  </si>
  <si>
    <t xml:space="preserve">脂</t>
  </si>
  <si>
    <t xml:space="preserve">粛</t>
  </si>
  <si>
    <t xml:space="preserve">栗</t>
  </si>
  <si>
    <t xml:space="preserve">愚</t>
  </si>
  <si>
    <t xml:space="preserve">蒸</t>
  </si>
  <si>
    <t xml:space="preserve">嘉</t>
  </si>
  <si>
    <t xml:space="preserve">遭</t>
  </si>
  <si>
    <t xml:space="preserve">架</t>
  </si>
  <si>
    <t xml:space="preserve">篠</t>
  </si>
  <si>
    <t xml:space="preserve">庶</t>
  </si>
  <si>
    <t xml:space="preserve">肌</t>
  </si>
  <si>
    <t xml:space="preserve">稚</t>
  </si>
  <si>
    <t xml:space="preserve">靴</t>
  </si>
  <si>
    <t xml:space="preserve">菅</t>
  </si>
  <si>
    <t xml:space="preserve">滋</t>
  </si>
  <si>
    <t xml:space="preserve">幻</t>
  </si>
  <si>
    <t xml:space="preserve">煮</t>
  </si>
  <si>
    <t xml:space="preserve">姫</t>
  </si>
  <si>
    <t xml:space="preserve">誓</t>
  </si>
  <si>
    <t xml:space="preserve">把</t>
  </si>
  <si>
    <t xml:space="preserve">践</t>
  </si>
  <si>
    <t xml:space="preserve">呈</t>
  </si>
  <si>
    <t xml:space="preserve">疎</t>
  </si>
  <si>
    <t xml:space="preserve">仰</t>
  </si>
  <si>
    <t xml:space="preserve">鈍</t>
  </si>
  <si>
    <t xml:space="preserve">恥</t>
  </si>
  <si>
    <t xml:space="preserve">剛</t>
  </si>
  <si>
    <t xml:space="preserve">疾</t>
  </si>
  <si>
    <t xml:space="preserve">征</t>
  </si>
  <si>
    <t xml:space="preserve">砕</t>
  </si>
  <si>
    <t xml:space="preserve">謡</t>
  </si>
  <si>
    <t xml:space="preserve">嫁</t>
  </si>
  <si>
    <t xml:space="preserve">謙</t>
  </si>
  <si>
    <t xml:space="preserve">后</t>
  </si>
  <si>
    <t xml:space="preserve">嘆</t>
  </si>
  <si>
    <t xml:space="preserve">俣</t>
  </si>
  <si>
    <t xml:space="preserve">菌</t>
  </si>
  <si>
    <t xml:space="preserve">鎌</t>
  </si>
  <si>
    <t xml:space="preserve">巣</t>
  </si>
  <si>
    <t xml:space="preserve">泥</t>
  </si>
  <si>
    <t xml:space="preserve">頻</t>
  </si>
  <si>
    <t xml:space="preserve">琴</t>
  </si>
  <si>
    <t xml:space="preserve">班</t>
  </si>
  <si>
    <t xml:space="preserve">淵</t>
  </si>
  <si>
    <t xml:space="preserve">棚</t>
  </si>
  <si>
    <t xml:space="preserve">潔</t>
  </si>
  <si>
    <t xml:space="preserve">酷</t>
  </si>
  <si>
    <t xml:space="preserve">宰</t>
  </si>
  <si>
    <t xml:space="preserve">廊</t>
  </si>
  <si>
    <t xml:space="preserve">寂</t>
  </si>
  <si>
    <t xml:space="preserve">隅</t>
  </si>
  <si>
    <t xml:space="preserve">偶</t>
  </si>
  <si>
    <t xml:space="preserve">霞</t>
  </si>
  <si>
    <t xml:space="preserve">伏</t>
  </si>
  <si>
    <t xml:space="preserve">灯</t>
  </si>
  <si>
    <t xml:space="preserve">柏</t>
  </si>
  <si>
    <t xml:space="preserve">磨</t>
  </si>
  <si>
    <t xml:space="preserve">碁</t>
  </si>
  <si>
    <t xml:space="preserve">俗</t>
  </si>
  <si>
    <t xml:space="preserve">漠</t>
  </si>
  <si>
    <t xml:space="preserve">邪</t>
  </si>
  <si>
    <t xml:space="preserve">晶</t>
  </si>
  <si>
    <t xml:space="preserve">辻</t>
  </si>
  <si>
    <t xml:space="preserve">墨</t>
  </si>
  <si>
    <t xml:space="preserve">鎮</t>
  </si>
  <si>
    <t xml:space="preserve">洞</t>
  </si>
  <si>
    <t xml:space="preserve">履</t>
  </si>
  <si>
    <t xml:space="preserve">劣</t>
  </si>
  <si>
    <t xml:space="preserve">那</t>
  </si>
  <si>
    <t xml:space="preserve">殴</t>
  </si>
  <si>
    <t xml:space="preserve">娠</t>
  </si>
  <si>
    <t xml:space="preserve">奉</t>
  </si>
  <si>
    <t xml:space="preserve">憂</t>
  </si>
  <si>
    <t xml:space="preserve">朴</t>
  </si>
  <si>
    <t xml:space="preserve">亭</t>
  </si>
  <si>
    <t xml:space="preserve">姓</t>
  </si>
  <si>
    <t xml:space="preserve">淳</t>
  </si>
  <si>
    <t xml:space="preserve">荻</t>
  </si>
  <si>
    <t xml:space="preserve">筒</t>
  </si>
  <si>
    <t xml:space="preserve">嶋</t>
  </si>
  <si>
    <t xml:space="preserve">怪</t>
  </si>
  <si>
    <t xml:space="preserve">粒</t>
  </si>
  <si>
    <t xml:space="preserve">詞</t>
  </si>
  <si>
    <t xml:space="preserve">鳩</t>
  </si>
  <si>
    <t xml:space="preserve">柴</t>
  </si>
  <si>
    <t xml:space="preserve">偉</t>
  </si>
  <si>
    <t xml:space="preserve">酔</t>
  </si>
  <si>
    <t xml:space="preserve">惜</t>
  </si>
  <si>
    <t xml:space="preserve">穫</t>
  </si>
  <si>
    <t xml:space="preserve">佳</t>
  </si>
  <si>
    <t xml:space="preserve">潤</t>
  </si>
  <si>
    <t xml:space="preserve">悼</t>
  </si>
  <si>
    <t xml:space="preserve">乏</t>
  </si>
  <si>
    <t xml:space="preserve">胃</t>
  </si>
  <si>
    <t xml:space="preserve">該</t>
  </si>
  <si>
    <t xml:space="preserve">赴</t>
  </si>
  <si>
    <t xml:space="preserve">桑</t>
  </si>
  <si>
    <t xml:space="preserve">桂</t>
  </si>
  <si>
    <t xml:space="preserve">髄</t>
  </si>
  <si>
    <t xml:space="preserve">虎</t>
  </si>
  <si>
    <t xml:space="preserve">盆</t>
  </si>
  <si>
    <t xml:space="preserve">晋</t>
  </si>
  <si>
    <t xml:space="preserve">穂</t>
  </si>
  <si>
    <t xml:space="preserve">壮</t>
  </si>
  <si>
    <t xml:space="preserve">堤</t>
  </si>
  <si>
    <t xml:space="preserve">飢</t>
  </si>
  <si>
    <t xml:space="preserve">傍</t>
  </si>
  <si>
    <t xml:space="preserve">疫</t>
  </si>
  <si>
    <t xml:space="preserve">累</t>
  </si>
  <si>
    <t xml:space="preserve">痴</t>
  </si>
  <si>
    <t xml:space="preserve">搬</t>
  </si>
  <si>
    <t xml:space="preserve">畳</t>
  </si>
  <si>
    <t xml:space="preserve">晃</t>
  </si>
  <si>
    <t xml:space="preserve">癒</t>
  </si>
  <si>
    <t xml:space="preserve">桐</t>
  </si>
  <si>
    <t xml:space="preserve">郭</t>
  </si>
  <si>
    <t xml:space="preserve">机</t>
  </si>
  <si>
    <t xml:space="preserve">尿</t>
  </si>
  <si>
    <t xml:space="preserve">凶</t>
  </si>
  <si>
    <t xml:space="preserve">吐</t>
  </si>
  <si>
    <t xml:space="preserve">宴</t>
  </si>
  <si>
    <t xml:space="preserve">鷹</t>
  </si>
  <si>
    <t xml:space="preserve">賓</t>
  </si>
  <si>
    <t xml:space="preserve">虜</t>
  </si>
  <si>
    <t xml:space="preserve">膚</t>
  </si>
  <si>
    <t xml:space="preserve">陶</t>
  </si>
  <si>
    <t xml:space="preserve">鐘</t>
  </si>
  <si>
    <t xml:space="preserve">憾</t>
  </si>
  <si>
    <t xml:space="preserve">畿</t>
  </si>
  <si>
    <t xml:space="preserve">猪</t>
  </si>
  <si>
    <t xml:space="preserve">紘</t>
  </si>
  <si>
    <t xml:space="preserve">磁</t>
  </si>
  <si>
    <t xml:space="preserve">弥</t>
  </si>
  <si>
    <t xml:space="preserve">昆</t>
  </si>
  <si>
    <t xml:space="preserve">粗</t>
  </si>
  <si>
    <t xml:space="preserve">訂</t>
  </si>
  <si>
    <t xml:space="preserve">芽</t>
  </si>
  <si>
    <t xml:space="preserve">尻</t>
  </si>
  <si>
    <t xml:space="preserve">庄</t>
  </si>
  <si>
    <t xml:space="preserve">傘</t>
  </si>
  <si>
    <t xml:space="preserve">敦</t>
  </si>
  <si>
    <t xml:space="preserve">騎</t>
  </si>
  <si>
    <t xml:space="preserve">寧</t>
  </si>
  <si>
    <t xml:space="preserve">濯</t>
  </si>
  <si>
    <t xml:space="preserve">循</t>
  </si>
  <si>
    <t xml:space="preserve">忍</t>
  </si>
  <si>
    <t xml:space="preserve">磐</t>
  </si>
  <si>
    <t xml:space="preserve">猫</t>
  </si>
  <si>
    <t xml:space="preserve">怠</t>
  </si>
  <si>
    <t xml:space="preserve">如</t>
  </si>
  <si>
    <t xml:space="preserve">寮</t>
  </si>
  <si>
    <t xml:space="preserve">祐</t>
  </si>
  <si>
    <t xml:space="preserve">鵬</t>
  </si>
  <si>
    <t xml:space="preserve">塔</t>
  </si>
  <si>
    <t xml:space="preserve">沸</t>
  </si>
  <si>
    <t xml:space="preserve">鉛</t>
  </si>
  <si>
    <t xml:space="preserve">珠</t>
  </si>
  <si>
    <t xml:space="preserve">凝</t>
  </si>
  <si>
    <t xml:space="preserve">苗</t>
  </si>
  <si>
    <t xml:space="preserve">獣</t>
  </si>
  <si>
    <t xml:space="preserve">哀</t>
  </si>
  <si>
    <t xml:space="preserve">跳</t>
  </si>
  <si>
    <t xml:space="preserve">灰</t>
  </si>
  <si>
    <t xml:space="preserve">匠</t>
  </si>
  <si>
    <t xml:space="preserve">菓</t>
  </si>
  <si>
    <t xml:space="preserve">垂</t>
  </si>
  <si>
    <t xml:space="preserve">蛇</t>
  </si>
  <si>
    <t xml:space="preserve">澄</t>
  </si>
  <si>
    <t xml:space="preserve">縫</t>
  </si>
  <si>
    <t xml:space="preserve">僧</t>
  </si>
  <si>
    <t xml:space="preserve">幾</t>
  </si>
  <si>
    <t xml:space="preserve">眺</t>
  </si>
  <si>
    <t xml:space="preserve">唐</t>
  </si>
  <si>
    <t xml:space="preserve">亘</t>
  </si>
  <si>
    <t xml:space="preserve">呉</t>
  </si>
  <si>
    <t xml:space="preserve">凡</t>
  </si>
  <si>
    <t xml:space="preserve">憩</t>
  </si>
  <si>
    <t xml:space="preserve">鄭</t>
  </si>
  <si>
    <t xml:space="preserve">芦</t>
  </si>
  <si>
    <t xml:space="preserve">媛</t>
  </si>
  <si>
    <t xml:space="preserve">溝</t>
  </si>
  <si>
    <t xml:space="preserve">恭</t>
  </si>
  <si>
    <t xml:space="preserve">刈</t>
  </si>
  <si>
    <t xml:space="preserve">睡</t>
  </si>
  <si>
    <t xml:space="preserve">錯</t>
  </si>
  <si>
    <t xml:space="preserve">伯</t>
  </si>
  <si>
    <t xml:space="preserve">帽</t>
  </si>
  <si>
    <t xml:space="preserve">笹</t>
  </si>
  <si>
    <t xml:space="preserve">穀</t>
  </si>
  <si>
    <t xml:space="preserve">柿</t>
  </si>
  <si>
    <t xml:space="preserve">陵</t>
  </si>
  <si>
    <t xml:space="preserve">霧</t>
  </si>
  <si>
    <t xml:space="preserve">魂</t>
  </si>
  <si>
    <t xml:space="preserve">枯</t>
  </si>
  <si>
    <t xml:space="preserve">弊</t>
  </si>
  <si>
    <t xml:space="preserve">釧</t>
  </si>
  <si>
    <t xml:space="preserve">妃</t>
  </si>
  <si>
    <t xml:space="preserve">舶</t>
  </si>
  <si>
    <t xml:space="preserve">餓</t>
  </si>
  <si>
    <t xml:space="preserve">腎</t>
  </si>
  <si>
    <t xml:space="preserve">窮</t>
  </si>
  <si>
    <t xml:space="preserve">掌</t>
  </si>
  <si>
    <t xml:space="preserve">麗</t>
  </si>
  <si>
    <t xml:space="preserve">綾</t>
  </si>
  <si>
    <t xml:space="preserve">臭</t>
  </si>
  <si>
    <t xml:space="preserve">釜</t>
  </si>
  <si>
    <t xml:space="preserve">悦</t>
  </si>
  <si>
    <t xml:space="preserve">刃</t>
  </si>
  <si>
    <t xml:space="preserve">縛</t>
  </si>
  <si>
    <t xml:space="preserve">暦</t>
  </si>
  <si>
    <t xml:space="preserve">宜</t>
  </si>
  <si>
    <t xml:space="preserve">盲</t>
  </si>
  <si>
    <t xml:space="preserve">粋</t>
  </si>
  <si>
    <t xml:space="preserve">辱</t>
  </si>
  <si>
    <t xml:space="preserve">毅</t>
  </si>
  <si>
    <t xml:space="preserve">轄</t>
  </si>
  <si>
    <t xml:space="preserve">猿</t>
  </si>
  <si>
    <t xml:space="preserve">弦</t>
  </si>
  <si>
    <t xml:space="preserve">嶌</t>
  </si>
  <si>
    <t xml:space="preserve">稔</t>
  </si>
  <si>
    <t xml:space="preserve">窒</t>
  </si>
  <si>
    <t xml:space="preserve">炊</t>
  </si>
  <si>
    <t xml:space="preserve">洪</t>
  </si>
  <si>
    <t xml:space="preserve">摂</t>
  </si>
  <si>
    <t xml:space="preserve">飽</t>
  </si>
  <si>
    <t xml:space="preserve">函</t>
  </si>
  <si>
    <t xml:space="preserve">冗</t>
  </si>
  <si>
    <t xml:space="preserve">涼</t>
  </si>
  <si>
    <t xml:space="preserve">桃</t>
  </si>
  <si>
    <t xml:space="preserve">狩</t>
  </si>
  <si>
    <t xml:space="preserve">朱</t>
  </si>
  <si>
    <t xml:space="preserve">渦</t>
  </si>
  <si>
    <t xml:space="preserve">紳</t>
  </si>
  <si>
    <t xml:space="preserve">枢</t>
  </si>
  <si>
    <t xml:space="preserve">碑</t>
  </si>
  <si>
    <t xml:space="preserve">鍛</t>
  </si>
  <si>
    <t xml:space="preserve">裸</t>
  </si>
  <si>
    <t xml:space="preserve">鴨</t>
  </si>
  <si>
    <t xml:space="preserve">符</t>
  </si>
  <si>
    <t xml:space="preserve">猶</t>
  </si>
  <si>
    <t xml:space="preserve">塊</t>
  </si>
  <si>
    <t xml:space="preserve">旋</t>
  </si>
  <si>
    <t xml:space="preserve">幣</t>
  </si>
  <si>
    <t xml:space="preserve">膜</t>
  </si>
  <si>
    <t xml:space="preserve">扇</t>
  </si>
  <si>
    <t xml:space="preserve">脇</t>
  </si>
  <si>
    <t xml:space="preserve">腸</t>
  </si>
  <si>
    <t xml:space="preserve">憎</t>
  </si>
  <si>
    <t xml:space="preserve">槽</t>
  </si>
  <si>
    <t xml:space="preserve">鍋</t>
  </si>
  <si>
    <t xml:space="preserve">慈</t>
  </si>
  <si>
    <t xml:space="preserve">肯</t>
  </si>
  <si>
    <t xml:space="preserve">樋</t>
  </si>
  <si>
    <t xml:space="preserve">楊</t>
  </si>
  <si>
    <t xml:space="preserve">伐</t>
  </si>
  <si>
    <t xml:space="preserve">駿</t>
  </si>
  <si>
    <t xml:space="preserve">漬</t>
  </si>
  <si>
    <t xml:space="preserve">燥</t>
  </si>
  <si>
    <t xml:space="preserve">糾</t>
  </si>
  <si>
    <t xml:space="preserve">亮</t>
  </si>
  <si>
    <t xml:space="preserve">墳</t>
  </si>
  <si>
    <t xml:space="preserve">坪</t>
  </si>
  <si>
    <t xml:space="preserve">畜</t>
  </si>
  <si>
    <t xml:space="preserve">紺</t>
  </si>
  <si>
    <t xml:space="preserve">慌</t>
  </si>
  <si>
    <t xml:space="preserve">娯</t>
  </si>
  <si>
    <t xml:space="preserve">吾</t>
  </si>
  <si>
    <t xml:space="preserve">椿</t>
  </si>
  <si>
    <t xml:space="preserve">羅</t>
  </si>
  <si>
    <t xml:space="preserve">坊</t>
  </si>
  <si>
    <t xml:space="preserve">峡</t>
  </si>
  <si>
    <t xml:space="preserve">俸</t>
  </si>
  <si>
    <t xml:space="preserve">厘</t>
  </si>
  <si>
    <t xml:space="preserve">峰</t>
  </si>
  <si>
    <t xml:space="preserve">圭</t>
  </si>
  <si>
    <t xml:space="preserve">醸</t>
  </si>
  <si>
    <t xml:space="preserve">蓮</t>
  </si>
  <si>
    <t xml:space="preserve">弔</t>
  </si>
  <si>
    <t xml:space="preserve">倶</t>
  </si>
  <si>
    <t xml:space="preserve">汁</t>
  </si>
  <si>
    <t xml:space="preserve">尼</t>
  </si>
  <si>
    <t xml:space="preserve">遍</t>
  </si>
  <si>
    <t xml:space="preserve">堺</t>
  </si>
  <si>
    <t xml:space="preserve">衡</t>
  </si>
  <si>
    <t xml:space="preserve">呆</t>
  </si>
  <si>
    <t xml:space="preserve">薫</t>
  </si>
  <si>
    <t xml:space="preserve">猟</t>
  </si>
  <si>
    <t xml:space="preserve">窪</t>
  </si>
  <si>
    <t xml:space="preserve">款</t>
  </si>
  <si>
    <t xml:space="preserve">閲</t>
  </si>
  <si>
    <t xml:space="preserve">雀</t>
  </si>
  <si>
    <t xml:space="preserve">偵</t>
  </si>
  <si>
    <t xml:space="preserve">喝</t>
  </si>
  <si>
    <t xml:space="preserve">敢</t>
  </si>
  <si>
    <t xml:space="preserve">畠</t>
  </si>
  <si>
    <t xml:space="preserve">胎</t>
  </si>
  <si>
    <t xml:space="preserve">酵</t>
  </si>
  <si>
    <t xml:space="preserve">憤</t>
  </si>
  <si>
    <t xml:space="preserve">豚</t>
  </si>
  <si>
    <t xml:space="preserve">遮</t>
  </si>
  <si>
    <t xml:space="preserve">扉</t>
  </si>
  <si>
    <t xml:space="preserve">硫</t>
  </si>
  <si>
    <t xml:space="preserve">赦</t>
  </si>
  <si>
    <t xml:space="preserve">挫</t>
  </si>
  <si>
    <t xml:space="preserve">挟</t>
  </si>
  <si>
    <t xml:space="preserve">窃</t>
  </si>
  <si>
    <t xml:space="preserve">泡</t>
  </si>
  <si>
    <t xml:space="preserve">瑞</t>
  </si>
  <si>
    <t xml:space="preserve">慨</t>
  </si>
  <si>
    <t xml:space="preserve">紡</t>
  </si>
  <si>
    <t xml:space="preserve">恨</t>
  </si>
  <si>
    <t xml:space="preserve">肪</t>
  </si>
  <si>
    <t xml:space="preserve">扶</t>
  </si>
  <si>
    <t xml:space="preserve">戯</t>
  </si>
  <si>
    <t xml:space="preserve">伍</t>
  </si>
  <si>
    <t xml:space="preserve">忌</t>
  </si>
  <si>
    <t xml:space="preserve">濁</t>
  </si>
  <si>
    <t xml:space="preserve">奔</t>
  </si>
  <si>
    <t xml:space="preserve">蘭</t>
  </si>
  <si>
    <t xml:space="preserve">蒲</t>
  </si>
  <si>
    <t xml:space="preserve">迅</t>
  </si>
  <si>
    <t xml:space="preserve">肖</t>
  </si>
  <si>
    <t xml:space="preserve">鉢</t>
  </si>
  <si>
    <t xml:space="preserve">朽</t>
  </si>
  <si>
    <t xml:space="preserve">殻</t>
  </si>
  <si>
    <t xml:space="preserve">享</t>
  </si>
  <si>
    <t xml:space="preserve">秦</t>
  </si>
  <si>
    <t xml:space="preserve">茅</t>
  </si>
  <si>
    <t xml:space="preserve">藩</t>
  </si>
  <si>
    <t xml:space="preserve">沙</t>
  </si>
  <si>
    <t xml:space="preserve">輔</t>
  </si>
  <si>
    <t xml:space="preserve">曇</t>
  </si>
  <si>
    <t xml:space="preserve">媒</t>
  </si>
  <si>
    <t xml:space="preserve">鶏</t>
  </si>
  <si>
    <t xml:space="preserve">禅</t>
  </si>
  <si>
    <t xml:space="preserve">嘱</t>
  </si>
  <si>
    <t xml:space="preserve">胴</t>
  </si>
  <si>
    <t xml:space="preserve">粕</t>
  </si>
  <si>
    <t xml:space="preserve">冨</t>
  </si>
  <si>
    <t xml:space="preserve">迭</t>
  </si>
  <si>
    <t xml:space="preserve">挿</t>
  </si>
  <si>
    <t xml:space="preserve">湘</t>
  </si>
  <si>
    <t xml:space="preserve">嵐</t>
  </si>
  <si>
    <t xml:space="preserve">椎</t>
  </si>
  <si>
    <t xml:space="preserve">灘</t>
  </si>
  <si>
    <t xml:space="preserve">堰</t>
  </si>
  <si>
    <t xml:space="preserve">獅</t>
  </si>
  <si>
    <t xml:space="preserve">姜</t>
  </si>
  <si>
    <t xml:space="preserve">絹</t>
  </si>
  <si>
    <t xml:space="preserve">陪</t>
  </si>
  <si>
    <t xml:space="preserve">剖</t>
  </si>
  <si>
    <t xml:space="preserve">譜</t>
  </si>
  <si>
    <t xml:space="preserve">郁</t>
  </si>
  <si>
    <t xml:space="preserve">悠</t>
  </si>
  <si>
    <t xml:space="preserve">淑</t>
  </si>
  <si>
    <t xml:space="preserve">帆</t>
  </si>
  <si>
    <t xml:space="preserve">暁</t>
  </si>
  <si>
    <t xml:space="preserve">鷲</t>
  </si>
  <si>
    <t xml:space="preserve">傑</t>
  </si>
  <si>
    <t xml:space="preserve">楠</t>
  </si>
  <si>
    <t xml:space="preserve">笛</t>
  </si>
  <si>
    <t xml:space="preserve">芥</t>
  </si>
  <si>
    <t xml:space="preserve">其</t>
  </si>
  <si>
    <t xml:space="preserve">玲</t>
  </si>
  <si>
    <t xml:space="preserve">奴</t>
  </si>
  <si>
    <t xml:space="preserve">誰</t>
  </si>
  <si>
    <t xml:space="preserve">錠</t>
  </si>
  <si>
    <t xml:space="preserve">拳</t>
  </si>
  <si>
    <t xml:space="preserve">翔</t>
  </si>
  <si>
    <t xml:space="preserve">遷</t>
  </si>
  <si>
    <t xml:space="preserve">拙</t>
  </si>
  <si>
    <t xml:space="preserve">侍</t>
  </si>
  <si>
    <t xml:space="preserve">尺</t>
  </si>
  <si>
    <t xml:space="preserve">峠</t>
  </si>
  <si>
    <t xml:space="preserve">篤</t>
  </si>
  <si>
    <t xml:space="preserve">肇</t>
  </si>
  <si>
    <t xml:space="preserve">渇</t>
  </si>
  <si>
    <t xml:space="preserve">榎</t>
  </si>
  <si>
    <t xml:space="preserve">俺</t>
  </si>
  <si>
    <t xml:space="preserve">劉</t>
  </si>
  <si>
    <t xml:space="preserve">幡</t>
  </si>
  <si>
    <t xml:space="preserve">諏</t>
  </si>
  <si>
    <t xml:space="preserve">叔</t>
  </si>
  <si>
    <t xml:space="preserve">雌</t>
  </si>
  <si>
    <t xml:space="preserve">亨</t>
  </si>
  <si>
    <t xml:space="preserve">堪</t>
  </si>
  <si>
    <t xml:space="preserve">叙</t>
  </si>
  <si>
    <t xml:space="preserve">酢</t>
  </si>
  <si>
    <t xml:space="preserve">吟</t>
  </si>
  <si>
    <t xml:space="preserve">逓</t>
  </si>
  <si>
    <t xml:space="preserve">痕</t>
  </si>
  <si>
    <t xml:space="preserve">嶺</t>
  </si>
  <si>
    <t xml:space="preserve">袖</t>
  </si>
  <si>
    <t xml:space="preserve">甚</t>
  </si>
  <si>
    <t xml:space="preserve">喬</t>
  </si>
  <si>
    <t xml:space="preserve">崔</t>
  </si>
  <si>
    <t xml:space="preserve">妖</t>
  </si>
  <si>
    <t xml:space="preserve">琵</t>
  </si>
  <si>
    <t xml:space="preserve">琶</t>
  </si>
  <si>
    <t xml:space="preserve">聯</t>
  </si>
  <si>
    <t xml:space="preserve">蘇</t>
  </si>
  <si>
    <t xml:space="preserve">闇</t>
  </si>
  <si>
    <t xml:space="preserve">崇</t>
  </si>
  <si>
    <t xml:space="preserve">漆</t>
  </si>
  <si>
    <t xml:space="preserve">岬</t>
  </si>
  <si>
    <t xml:space="preserve">癖</t>
  </si>
  <si>
    <t xml:space="preserve">愉</t>
  </si>
  <si>
    <t xml:space="preserve">寅</t>
  </si>
  <si>
    <t xml:space="preserve">捉</t>
  </si>
  <si>
    <t xml:space="preserve">礁</t>
  </si>
  <si>
    <t xml:space="preserve">乃</t>
  </si>
  <si>
    <t xml:space="preserve">洲</t>
  </si>
  <si>
    <t xml:space="preserve">樽</t>
  </si>
  <si>
    <t xml:space="preserve">樺</t>
  </si>
  <si>
    <t xml:space="preserve">槙</t>
  </si>
  <si>
    <t xml:space="preserve">薩</t>
  </si>
  <si>
    <t xml:space="preserve">姻</t>
  </si>
  <si>
    <t xml:space="preserve">巌</t>
  </si>
  <si>
    <t xml:space="preserve">淀</t>
  </si>
  <si>
    <t xml:space="preserve">麹</t>
  </si>
  <si>
    <t xml:space="preserve">賭</t>
  </si>
  <si>
    <t xml:space="preserve">擬</t>
  </si>
  <si>
    <t xml:space="preserve">塀</t>
  </si>
  <si>
    <t xml:space="preserve">唇</t>
  </si>
  <si>
    <t xml:space="preserve">睦</t>
  </si>
  <si>
    <t xml:space="preserve">閑</t>
  </si>
  <si>
    <t xml:space="preserve">胡</t>
  </si>
  <si>
    <t xml:space="preserve">幽</t>
  </si>
  <si>
    <t xml:space="preserve">峻</t>
  </si>
  <si>
    <t xml:space="preserve">曹</t>
  </si>
  <si>
    <t xml:space="preserve">哨</t>
  </si>
  <si>
    <t xml:space="preserve">詠</t>
  </si>
  <si>
    <t xml:space="preserve">炒</t>
  </si>
  <si>
    <t xml:space="preserve">屏</t>
  </si>
  <si>
    <t xml:space="preserve">卑</t>
  </si>
  <si>
    <t xml:space="preserve">侮</t>
  </si>
  <si>
    <t xml:space="preserve">鋳</t>
  </si>
  <si>
    <t xml:space="preserve">抹</t>
  </si>
  <si>
    <t xml:space="preserve">尉</t>
  </si>
  <si>
    <t xml:space="preserve">槻</t>
  </si>
  <si>
    <t xml:space="preserve">禍</t>
  </si>
  <si>
    <t xml:space="preserve">蝶</t>
  </si>
  <si>
    <t xml:space="preserve">酪</t>
  </si>
  <si>
    <t xml:space="preserve">茎</t>
  </si>
  <si>
    <t xml:space="preserve">汎</t>
  </si>
  <si>
    <t xml:space="preserve">頃</t>
  </si>
  <si>
    <t xml:space="preserve">帥</t>
  </si>
  <si>
    <t xml:space="preserve">梁</t>
  </si>
  <si>
    <t xml:space="preserve">逝</t>
  </si>
  <si>
    <t xml:space="preserve">滴</t>
  </si>
  <si>
    <t xml:space="preserve">汽</t>
  </si>
  <si>
    <t xml:space="preserve">謎</t>
  </si>
  <si>
    <t xml:space="preserve">琢</t>
  </si>
  <si>
    <t xml:space="preserve">箕</t>
  </si>
  <si>
    <t xml:space="preserve">匿</t>
  </si>
  <si>
    <t xml:space="preserve">芭</t>
  </si>
  <si>
    <t xml:space="preserve">逗</t>
  </si>
  <si>
    <t xml:space="preserve">苫</t>
  </si>
  <si>
    <t xml:space="preserve">鍵</t>
  </si>
  <si>
    <t xml:space="preserve">襟</t>
  </si>
  <si>
    <t xml:space="preserve">蛍</t>
  </si>
  <si>
    <t xml:space="preserve">楢</t>
  </si>
  <si>
    <t xml:space="preserve">蕉</t>
  </si>
  <si>
    <t xml:space="preserve">兜</t>
  </si>
  <si>
    <t xml:space="preserve">寡</t>
  </si>
  <si>
    <t xml:space="preserve">琉</t>
  </si>
  <si>
    <t xml:space="preserve">痢</t>
  </si>
  <si>
    <t xml:space="preserve">庸</t>
  </si>
  <si>
    <t xml:space="preserve">朋</t>
  </si>
  <si>
    <t xml:space="preserve">坑</t>
  </si>
  <si>
    <t xml:space="preserve">姑</t>
  </si>
  <si>
    <t xml:space="preserve">烏</t>
  </si>
  <si>
    <t xml:space="preserve">藍</t>
  </si>
  <si>
    <t xml:space="preserve">僑</t>
  </si>
  <si>
    <t xml:space="preserve">賊</t>
  </si>
  <si>
    <t xml:space="preserve">搾</t>
  </si>
  <si>
    <t xml:space="preserve">奄</t>
  </si>
  <si>
    <t xml:space="preserve">畔</t>
  </si>
  <si>
    <t xml:space="preserve">遼</t>
  </si>
  <si>
    <t xml:space="preserve">唄</t>
  </si>
  <si>
    <t xml:space="preserve">孔</t>
  </si>
  <si>
    <t xml:space="preserve">橘</t>
  </si>
  <si>
    <t xml:space="preserve">漱</t>
  </si>
  <si>
    <t xml:space="preserve">呂</t>
  </si>
  <si>
    <t xml:space="preserve">桧</t>
  </si>
  <si>
    <t xml:space="preserve">拷</t>
  </si>
  <si>
    <t xml:space="preserve">宋</t>
  </si>
  <si>
    <t xml:space="preserve">嬢</t>
  </si>
  <si>
    <t xml:space="preserve">苑</t>
  </si>
  <si>
    <t xml:space="preserve">巽</t>
  </si>
  <si>
    <t xml:space="preserve">杜</t>
  </si>
  <si>
    <t xml:space="preserve">渓</t>
  </si>
  <si>
    <t xml:space="preserve">翁</t>
  </si>
  <si>
    <t xml:space="preserve">藝</t>
  </si>
  <si>
    <t xml:space="preserve">廉</t>
  </si>
  <si>
    <t xml:space="preserve">謹</t>
  </si>
  <si>
    <t xml:space="preserve">瞳</t>
  </si>
  <si>
    <t xml:space="preserve">湧</t>
  </si>
  <si>
    <t xml:space="preserve">欣</t>
  </si>
  <si>
    <t xml:space="preserve">窯</t>
  </si>
  <si>
    <t xml:space="preserve">褒</t>
  </si>
  <si>
    <t xml:space="preserve">醜</t>
  </si>
  <si>
    <t xml:space="preserve">魏</t>
  </si>
  <si>
    <t xml:space="preserve">篇</t>
  </si>
  <si>
    <t xml:space="preserve">升</t>
  </si>
  <si>
    <t xml:space="preserve">此</t>
  </si>
  <si>
    <t xml:space="preserve">峯</t>
  </si>
  <si>
    <t xml:space="preserve">殉</t>
  </si>
  <si>
    <t xml:space="preserve">煩</t>
  </si>
  <si>
    <t xml:space="preserve">巴</t>
  </si>
  <si>
    <t xml:space="preserve">禎</t>
  </si>
  <si>
    <t xml:space="preserve">枕</t>
  </si>
  <si>
    <t xml:space="preserve">劾</t>
  </si>
  <si>
    <t xml:space="preserve">菩</t>
  </si>
  <si>
    <t xml:space="preserve">堕</t>
  </si>
  <si>
    <t xml:space="preserve">丼</t>
  </si>
  <si>
    <t xml:space="preserve">租</t>
  </si>
  <si>
    <t xml:space="preserve">檜</t>
  </si>
  <si>
    <t xml:space="preserve">稜</t>
  </si>
  <si>
    <t xml:space="preserve">牟</t>
  </si>
  <si>
    <t xml:space="preserve">桟</t>
  </si>
  <si>
    <t xml:space="preserve">榊</t>
  </si>
  <si>
    <t xml:space="preserve">錫</t>
  </si>
  <si>
    <t xml:space="preserve">荏</t>
  </si>
  <si>
    <t xml:space="preserve">惧</t>
  </si>
  <si>
    <t xml:space="preserve">倭</t>
  </si>
  <si>
    <t xml:space="preserve">婿</t>
  </si>
  <si>
    <t xml:space="preserve">慕</t>
  </si>
  <si>
    <t xml:space="preserve">廟</t>
  </si>
  <si>
    <t xml:space="preserve">銚</t>
  </si>
  <si>
    <t xml:space="preserve">斐</t>
  </si>
  <si>
    <t xml:space="preserve">罷</t>
  </si>
  <si>
    <t xml:space="preserve">矯</t>
  </si>
  <si>
    <t xml:space="preserve">某</t>
  </si>
  <si>
    <t xml:space="preserve">囚</t>
  </si>
  <si>
    <t xml:space="preserve">魁</t>
  </si>
  <si>
    <t xml:space="preserve">薮</t>
  </si>
  <si>
    <t xml:space="preserve">虹</t>
  </si>
  <si>
    <t xml:space="preserve">鴻</t>
  </si>
  <si>
    <t xml:space="preserve">泌</t>
  </si>
  <si>
    <t xml:space="preserve">於</t>
  </si>
  <si>
    <t xml:space="preserve">赳</t>
  </si>
  <si>
    <t xml:space="preserve">漸</t>
  </si>
  <si>
    <t xml:space="preserve">逢</t>
  </si>
  <si>
    <t xml:space="preserve">凧</t>
  </si>
  <si>
    <t xml:space="preserve">鵜</t>
  </si>
  <si>
    <t xml:space="preserve">庵</t>
  </si>
  <si>
    <t xml:space="preserve">膳</t>
  </si>
  <si>
    <t xml:space="preserve">蚊</t>
  </si>
  <si>
    <t xml:space="preserve">葵</t>
  </si>
  <si>
    <t xml:space="preserve">厄</t>
  </si>
  <si>
    <t xml:space="preserve">藻</t>
  </si>
  <si>
    <t xml:space="preserve">萬</t>
  </si>
  <si>
    <t xml:space="preserve">禄</t>
  </si>
  <si>
    <t xml:space="preserve">孟</t>
  </si>
  <si>
    <t xml:space="preserve">鴈</t>
  </si>
  <si>
    <t xml:space="preserve">狼</t>
  </si>
  <si>
    <t xml:space="preserve">嫡</t>
  </si>
  <si>
    <t xml:space="preserve">呪</t>
  </si>
  <si>
    <t xml:space="preserve">斬</t>
  </si>
  <si>
    <t xml:space="preserve">尖</t>
  </si>
  <si>
    <t xml:space="preserve">翫</t>
  </si>
  <si>
    <t xml:space="preserve">嶽</t>
  </si>
  <si>
    <t xml:space="preserve">尭</t>
  </si>
  <si>
    <t xml:space="preserve">怨</t>
  </si>
  <si>
    <t xml:space="preserve">卿</t>
  </si>
  <si>
    <t xml:space="preserve">串</t>
  </si>
  <si>
    <t xml:space="preserve">已</t>
  </si>
  <si>
    <t xml:space="preserve">嚇</t>
  </si>
  <si>
    <t xml:space="preserve">巳</t>
  </si>
  <si>
    <t xml:space="preserve">凸</t>
  </si>
  <si>
    <t xml:space="preserve">暢</t>
  </si>
  <si>
    <t xml:space="preserve">腫</t>
  </si>
  <si>
    <t xml:space="preserve">粟</t>
  </si>
  <si>
    <t xml:space="preserve">燕</t>
  </si>
  <si>
    <t xml:space="preserve">韻</t>
  </si>
  <si>
    <t xml:space="preserve">綴</t>
  </si>
  <si>
    <t xml:space="preserve">埴</t>
  </si>
  <si>
    <t xml:space="preserve">霜</t>
  </si>
  <si>
    <t xml:space="preserve">餅</t>
  </si>
  <si>
    <t xml:space="preserve">魯</t>
  </si>
  <si>
    <t xml:space="preserve">硝</t>
  </si>
  <si>
    <t xml:space="preserve">牡</t>
  </si>
  <si>
    <t xml:space="preserve">箸</t>
  </si>
  <si>
    <t xml:space="preserve">勅</t>
  </si>
  <si>
    <t xml:space="preserve">芹</t>
  </si>
  <si>
    <t xml:space="preserve">杏</t>
  </si>
  <si>
    <t xml:space="preserve">迦</t>
  </si>
  <si>
    <t xml:space="preserve">棺</t>
  </si>
  <si>
    <t xml:space="preserve">儒</t>
  </si>
  <si>
    <t xml:space="preserve">鳳</t>
  </si>
  <si>
    <t xml:space="preserve">馨</t>
  </si>
  <si>
    <t xml:space="preserve">斑</t>
  </si>
  <si>
    <t xml:space="preserve">蔭</t>
  </si>
  <si>
    <t xml:space="preserve">焉</t>
  </si>
  <si>
    <t xml:space="preserve">慧</t>
  </si>
  <si>
    <t xml:space="preserve">祇</t>
  </si>
  <si>
    <t xml:space="preserve">摯</t>
  </si>
  <si>
    <t xml:space="preserve">愁</t>
  </si>
  <si>
    <t xml:space="preserve">鷺</t>
  </si>
  <si>
    <t xml:space="preserve">楼</t>
  </si>
  <si>
    <t xml:space="preserve">彬</t>
  </si>
  <si>
    <t xml:space="preserve">袴</t>
  </si>
  <si>
    <t xml:space="preserve">匡</t>
  </si>
  <si>
    <t xml:space="preserve">眉</t>
  </si>
  <si>
    <t xml:space="preserve">苅</t>
  </si>
  <si>
    <t xml:space="preserve">讃</t>
  </si>
  <si>
    <t xml:space="preserve">尹</t>
  </si>
  <si>
    <t xml:space="preserve">欽</t>
  </si>
  <si>
    <t xml:space="preserve">薪</t>
  </si>
  <si>
    <t xml:space="preserve">湛</t>
  </si>
  <si>
    <t xml:space="preserve">堆</t>
  </si>
  <si>
    <t xml:space="preserve">狐</t>
  </si>
  <si>
    <t xml:space="preserve">褐</t>
  </si>
  <si>
    <t xml:space="preserve">鴎</t>
  </si>
  <si>
    <t xml:space="preserve">瀋</t>
  </si>
  <si>
    <t xml:space="preserve">挺</t>
  </si>
  <si>
    <t xml:space="preserve">賜</t>
  </si>
  <si>
    <t xml:space="preserve">嵯</t>
  </si>
  <si>
    <t xml:space="preserve">雁</t>
  </si>
  <si>
    <t xml:space="preserve">佃</t>
  </si>
  <si>
    <t xml:space="preserve">綜</t>
  </si>
  <si>
    <t xml:space="preserve">繕</t>
  </si>
  <si>
    <t xml:space="preserve">狛</t>
  </si>
  <si>
    <t xml:space="preserve">壷</t>
  </si>
  <si>
    <t xml:space="preserve">橿</t>
  </si>
  <si>
    <t xml:space="preserve">栓</t>
  </si>
  <si>
    <t xml:space="preserve">翠</t>
  </si>
  <si>
    <t xml:space="preserve">鮎</t>
  </si>
  <si>
    <t xml:space="preserve">芯</t>
  </si>
  <si>
    <t xml:space="preserve">蜜</t>
  </si>
  <si>
    <t xml:space="preserve">播</t>
  </si>
  <si>
    <t xml:space="preserve">榛</t>
  </si>
  <si>
    <t xml:space="preserve">凹</t>
  </si>
  <si>
    <t xml:space="preserve">艶</t>
  </si>
  <si>
    <t xml:space="preserve">帖</t>
  </si>
  <si>
    <t xml:space="preserve">伺</t>
  </si>
  <si>
    <t xml:space="preserve">桶</t>
  </si>
  <si>
    <t xml:space="preserve">惣</t>
  </si>
  <si>
    <t xml:space="preserve">股</t>
  </si>
  <si>
    <t xml:space="preserve">匂</t>
  </si>
  <si>
    <t xml:space="preserve">鞍</t>
  </si>
  <si>
    <t xml:space="preserve">蔦</t>
  </si>
  <si>
    <t xml:space="preserve">玩</t>
  </si>
  <si>
    <t xml:space="preserve">萱</t>
  </si>
  <si>
    <t xml:space="preserve">梯</t>
  </si>
  <si>
    <t xml:space="preserve">雫</t>
  </si>
  <si>
    <t xml:space="preserve">絆</t>
  </si>
  <si>
    <t xml:space="preserve">錬</t>
  </si>
  <si>
    <t xml:space="preserve">湊</t>
  </si>
  <si>
    <t xml:space="preserve">蜂</t>
  </si>
  <si>
    <t xml:space="preserve">隼</t>
  </si>
  <si>
    <t xml:space="preserve">舵</t>
  </si>
  <si>
    <t xml:space="preserve">渚</t>
  </si>
  <si>
    <t xml:space="preserve">珂</t>
  </si>
  <si>
    <t xml:space="preserve">煥</t>
  </si>
  <si>
    <t xml:space="preserve">衷</t>
  </si>
  <si>
    <t xml:space="preserve">逐</t>
  </si>
  <si>
    <t xml:space="preserve">斥</t>
  </si>
  <si>
    <t xml:space="preserve">稀</t>
  </si>
  <si>
    <t xml:space="preserve">癌</t>
  </si>
  <si>
    <t xml:space="preserve">峨</t>
  </si>
  <si>
    <t xml:space="preserve">嘘</t>
  </si>
  <si>
    <t xml:space="preserve">旛</t>
  </si>
  <si>
    <t xml:space="preserve">篭</t>
  </si>
  <si>
    <t xml:space="preserve">芙</t>
  </si>
  <si>
    <t xml:space="preserve">詔</t>
  </si>
  <si>
    <t xml:space="preserve">皐</t>
  </si>
  <si>
    <t xml:space="preserve">雛</t>
  </si>
  <si>
    <t xml:space="preserve">娼</t>
  </si>
  <si>
    <t xml:space="preserve">篆</t>
  </si>
  <si>
    <t xml:space="preserve">鮫</t>
  </si>
  <si>
    <t xml:space="preserve">椅</t>
  </si>
  <si>
    <t xml:space="preserve">惟</t>
  </si>
  <si>
    <t xml:space="preserve">牌</t>
  </si>
  <si>
    <t xml:space="preserve">宕</t>
  </si>
  <si>
    <t xml:space="preserve">喧</t>
  </si>
  <si>
    <t xml:space="preserve">佑</t>
  </si>
  <si>
    <t xml:space="preserve">蒋</t>
  </si>
  <si>
    <t xml:space="preserve">樟</t>
  </si>
  <si>
    <t xml:space="preserve">耀</t>
  </si>
  <si>
    <t xml:space="preserve">黛</t>
  </si>
  <si>
    <t xml:space="preserve">叱</t>
  </si>
  <si>
    <t xml:space="preserve">櫛</t>
  </si>
  <si>
    <t xml:space="preserve">渥</t>
  </si>
  <si>
    <t xml:space="preserve">挨</t>
  </si>
  <si>
    <t xml:space="preserve">憧</t>
  </si>
  <si>
    <t xml:space="preserve">濡</t>
  </si>
  <si>
    <t xml:space="preserve">槍</t>
  </si>
  <si>
    <t xml:space="preserve">宵</t>
  </si>
  <si>
    <t xml:space="preserve">襄</t>
  </si>
  <si>
    <t xml:space="preserve">妄</t>
  </si>
  <si>
    <t xml:space="preserve">惇</t>
  </si>
  <si>
    <t xml:space="preserve">蛋</t>
  </si>
  <si>
    <t xml:space="preserve">脩</t>
  </si>
  <si>
    <t xml:space="preserve">笘</t>
  </si>
  <si>
    <t xml:space="preserve">宍</t>
  </si>
  <si>
    <t xml:space="preserve">甫</t>
  </si>
  <si>
    <t xml:space="preserve">酌</t>
  </si>
  <si>
    <t xml:space="preserve">蚕</t>
  </si>
  <si>
    <t xml:space="preserve">壕</t>
  </si>
  <si>
    <t xml:space="preserve">嬉</t>
  </si>
  <si>
    <t xml:space="preserve">囃</t>
  </si>
  <si>
    <t xml:space="preserve">蒼</t>
  </si>
  <si>
    <t xml:space="preserve">餌</t>
  </si>
  <si>
    <t xml:space="preserve">簗</t>
  </si>
  <si>
    <t xml:space="preserve">峙</t>
  </si>
  <si>
    <t xml:space="preserve">粥</t>
  </si>
  <si>
    <t xml:space="preserve">舘</t>
  </si>
  <si>
    <t xml:space="preserve">銕</t>
  </si>
  <si>
    <t xml:space="preserve">鄒</t>
  </si>
  <si>
    <t xml:space="preserve">蜷</t>
  </si>
  <si>
    <t xml:space="preserve">暉</t>
  </si>
  <si>
    <t xml:space="preserve">捧</t>
  </si>
  <si>
    <t xml:space="preserve">頒</t>
  </si>
  <si>
    <t xml:space="preserve">只</t>
  </si>
  <si>
    <t xml:space="preserve">肢</t>
  </si>
  <si>
    <t xml:space="preserve">箏</t>
  </si>
  <si>
    <t xml:space="preserve">檀</t>
  </si>
  <si>
    <t xml:space="preserve">鵠</t>
  </si>
  <si>
    <t xml:space="preserve">凱</t>
  </si>
  <si>
    <t xml:space="preserve">彗</t>
  </si>
  <si>
    <t xml:space="preserve">謄</t>
  </si>
  <si>
    <t xml:space="preserve">諌</t>
  </si>
  <si>
    <t xml:space="preserve">樫</t>
  </si>
  <si>
    <t xml:space="preserve">噂</t>
  </si>
  <si>
    <t xml:space="preserve">脊</t>
  </si>
  <si>
    <t xml:space="preserve">牝</t>
  </si>
  <si>
    <t xml:space="preserve">梓</t>
  </si>
  <si>
    <t xml:space="preserve">洛</t>
  </si>
  <si>
    <t xml:space="preserve">醍</t>
  </si>
  <si>
    <t xml:space="preserve">砦</t>
  </si>
  <si>
    <t xml:space="preserve">丑</t>
  </si>
  <si>
    <t xml:space="preserve">笏</t>
  </si>
  <si>
    <t xml:space="preserve">蕨</t>
  </si>
  <si>
    <t xml:space="preserve">噺</t>
  </si>
  <si>
    <t xml:space="preserve">抒</t>
  </si>
  <si>
    <t xml:space="preserve">嗣</t>
  </si>
  <si>
    <t xml:space="preserve">隈</t>
  </si>
  <si>
    <t xml:space="preserve">叶</t>
  </si>
  <si>
    <t xml:space="preserve">凄</t>
  </si>
  <si>
    <t xml:space="preserve">汐</t>
  </si>
  <si>
    <t xml:space="preserve">絢</t>
  </si>
  <si>
    <t xml:space="preserve">叩</t>
  </si>
  <si>
    <t xml:space="preserve">嫉</t>
  </si>
  <si>
    <t xml:space="preserve">朔</t>
  </si>
  <si>
    <t xml:space="preserve">蔡</t>
  </si>
  <si>
    <t xml:space="preserve">膝</t>
  </si>
  <si>
    <t xml:space="preserve">鍾</t>
  </si>
  <si>
    <t xml:space="preserve">仇</t>
  </si>
  <si>
    <t xml:space="preserve">伽</t>
  </si>
  <si>
    <t xml:space="preserve">夷</t>
  </si>
  <si>
    <t xml:space="preserve">恣</t>
  </si>
  <si>
    <t xml:space="preserve">瞑</t>
  </si>
  <si>
    <t xml:space="preserve">畝</t>
  </si>
  <si>
    <t xml:space="preserve">抄</t>
  </si>
  <si>
    <t xml:space="preserve">杭</t>
  </si>
  <si>
    <t xml:space="preserve">寓</t>
  </si>
  <si>
    <t xml:space="preserve">麺</t>
  </si>
  <si>
    <t xml:space="preserve">戴</t>
  </si>
  <si>
    <t xml:space="preserve">裾</t>
  </si>
  <si>
    <t xml:space="preserve">惰</t>
  </si>
  <si>
    <t xml:space="preserve">坐</t>
  </si>
  <si>
    <t xml:space="preserve">鍼</t>
  </si>
  <si>
    <t xml:space="preserve">蛮</t>
  </si>
  <si>
    <t xml:space="preserve">塙</t>
  </si>
  <si>
    <t xml:space="preserve">冴</t>
  </si>
  <si>
    <t xml:space="preserve">旺</t>
  </si>
  <si>
    <t xml:space="preserve">葦</t>
  </si>
  <si>
    <t xml:space="preserve">礒</t>
  </si>
  <si>
    <t xml:space="preserve">咸</t>
  </si>
  <si>
    <t xml:space="preserve">萌</t>
  </si>
  <si>
    <t xml:space="preserve">饗</t>
  </si>
  <si>
    <t xml:space="preserve">歪</t>
  </si>
  <si>
    <t xml:space="preserve">冥</t>
  </si>
  <si>
    <t xml:space="preserve">偲</t>
  </si>
  <si>
    <t xml:space="preserve">壱</t>
  </si>
  <si>
    <t xml:space="preserve">瑠</t>
  </si>
  <si>
    <t xml:space="preserve">漕</t>
  </si>
  <si>
    <t xml:space="preserve">杵</t>
  </si>
  <si>
    <t xml:space="preserve">薔</t>
  </si>
  <si>
    <t xml:space="preserve">膠</t>
  </si>
  <si>
    <t xml:space="preserve">允</t>
  </si>
  <si>
    <t xml:space="preserve">眞</t>
  </si>
  <si>
    <t xml:space="preserve">蒙</t>
  </si>
  <si>
    <t xml:space="preserve">蕃</t>
  </si>
  <si>
    <t xml:space="preserve">呑</t>
  </si>
  <si>
    <t xml:space="preserve">侯</t>
  </si>
  <si>
    <t xml:space="preserve">碓</t>
  </si>
  <si>
    <t xml:space="preserve">茗</t>
  </si>
  <si>
    <t xml:space="preserve">麓</t>
  </si>
  <si>
    <t xml:space="preserve">瀕</t>
  </si>
  <si>
    <t xml:space="preserve">蒔</t>
  </si>
  <si>
    <t xml:space="preserve">鯉</t>
  </si>
  <si>
    <t xml:space="preserve">竪</t>
  </si>
  <si>
    <t xml:space="preserve">弧</t>
  </si>
  <si>
    <t xml:space="preserve">稽</t>
  </si>
  <si>
    <t xml:space="preserve">瘤</t>
  </si>
  <si>
    <t xml:space="preserve">澤</t>
  </si>
  <si>
    <t xml:space="preserve">溥</t>
  </si>
  <si>
    <t xml:space="preserve">遥</t>
  </si>
  <si>
    <t xml:space="preserve">蹴</t>
  </si>
  <si>
    <t xml:space="preserve">或</t>
  </si>
  <si>
    <t xml:space="preserve">訃</t>
  </si>
  <si>
    <t xml:space="preserve">矩</t>
  </si>
  <si>
    <t xml:space="preserve">厦</t>
  </si>
  <si>
    <t xml:space="preserve">冤</t>
  </si>
  <si>
    <t xml:space="preserve">剥</t>
  </si>
  <si>
    <t xml:space="preserve">舜</t>
  </si>
  <si>
    <t xml:space="preserve">侠</t>
  </si>
  <si>
    <t xml:space="preserve">贅</t>
  </si>
  <si>
    <t xml:space="preserve">杖</t>
  </si>
  <si>
    <t xml:space="preserve">蓋</t>
  </si>
  <si>
    <t xml:space="preserve">畏</t>
  </si>
  <si>
    <t xml:space="preserve">喉</t>
  </si>
  <si>
    <t xml:space="preserve">汪</t>
  </si>
  <si>
    <t xml:space="preserve">猷</t>
  </si>
  <si>
    <t xml:space="preserve">瑛</t>
  </si>
  <si>
    <t xml:space="preserve">搜</t>
  </si>
  <si>
    <t xml:space="preserve">曼</t>
  </si>
  <si>
    <t xml:space="preserve">附</t>
  </si>
  <si>
    <t xml:space="preserve">彪</t>
  </si>
  <si>
    <t xml:space="preserve">撚</t>
  </si>
  <si>
    <t xml:space="preserve">噛</t>
  </si>
  <si>
    <t xml:space="preserve">卯</t>
  </si>
  <si>
    <t xml:space="preserve">桝</t>
  </si>
  <si>
    <t xml:space="preserve">撫</t>
  </si>
  <si>
    <t xml:space="preserve">喋</t>
  </si>
  <si>
    <t xml:space="preserve">但</t>
  </si>
  <si>
    <t xml:space="preserve">溢</t>
  </si>
  <si>
    <t xml:space="preserve">闊</t>
  </si>
  <si>
    <t xml:space="preserve">藏</t>
  </si>
  <si>
    <t xml:space="preserve">浙</t>
  </si>
  <si>
    <t xml:space="preserve">彭</t>
  </si>
  <si>
    <t xml:space="preserve">淘</t>
  </si>
  <si>
    <t xml:space="preserve">剃</t>
  </si>
  <si>
    <t xml:space="preserve">揃</t>
  </si>
  <si>
    <t xml:space="preserve">綺</t>
  </si>
  <si>
    <t xml:space="preserve">徘</t>
  </si>
  <si>
    <t xml:space="preserve">巷</t>
  </si>
  <si>
    <t xml:space="preserve">竿</t>
  </si>
  <si>
    <t xml:space="preserve">蟹</t>
  </si>
  <si>
    <t xml:space="preserve">芋</t>
  </si>
  <si>
    <t xml:space="preserve">袁</t>
  </si>
  <si>
    <t xml:space="preserve">舩</t>
  </si>
  <si>
    <t xml:space="preserve">拭</t>
  </si>
  <si>
    <t xml:space="preserve">茜</t>
  </si>
  <si>
    <t xml:space="preserve">凌</t>
  </si>
  <si>
    <t xml:space="preserve">頬</t>
  </si>
  <si>
    <t xml:space="preserve">厨</t>
  </si>
  <si>
    <t xml:space="preserve">犀</t>
  </si>
  <si>
    <t xml:space="preserve">簑</t>
  </si>
  <si>
    <t xml:space="preserve">皓</t>
  </si>
  <si>
    <t xml:space="preserve">甦</t>
  </si>
  <si>
    <t xml:space="preserve">洸</t>
  </si>
  <si>
    <t xml:space="preserve">毬</t>
  </si>
  <si>
    <t xml:space="preserve">檄</t>
  </si>
  <si>
    <t xml:space="preserve">姚</t>
  </si>
  <si>
    <t xml:space="preserve">蛭</t>
  </si>
  <si>
    <t xml:space="preserve">婆</t>
  </si>
  <si>
    <t xml:space="preserve">叢</t>
  </si>
  <si>
    <t xml:space="preserve">椙</t>
  </si>
  <si>
    <t xml:space="preserve">轟</t>
  </si>
  <si>
    <t xml:space="preserve">贋</t>
  </si>
  <si>
    <t xml:space="preserve">洒</t>
  </si>
  <si>
    <t xml:space="preserve">貰</t>
  </si>
  <si>
    <t xml:space="preserve">儲</t>
  </si>
  <si>
    <t xml:space="preserve">緋</t>
  </si>
  <si>
    <t xml:space="preserve">貼</t>
  </si>
  <si>
    <t xml:space="preserve">諜</t>
  </si>
  <si>
    <t xml:space="preserve">鯛</t>
  </si>
  <si>
    <t xml:space="preserve">蓼</t>
  </si>
  <si>
    <t xml:space="preserve">甕</t>
  </si>
  <si>
    <t xml:space="preserve">喘</t>
  </si>
  <si>
    <t xml:space="preserve">怜</t>
  </si>
  <si>
    <t xml:space="preserve">溜</t>
  </si>
  <si>
    <t xml:space="preserve">鉾</t>
  </si>
  <si>
    <t xml:space="preserve">倣</t>
  </si>
  <si>
    <t xml:space="preserve">碧</t>
  </si>
  <si>
    <t xml:space="preserve">燈</t>
  </si>
  <si>
    <t xml:space="preserve">諦</t>
  </si>
  <si>
    <t xml:space="preserve">煎</t>
  </si>
  <si>
    <t xml:space="preserve">緻</t>
  </si>
  <si>
    <t xml:space="preserve">哺</t>
  </si>
  <si>
    <t xml:space="preserve">槌</t>
  </si>
  <si>
    <t xml:space="preserve">啄</t>
  </si>
  <si>
    <t xml:space="preserve">穣</t>
  </si>
  <si>
    <t xml:space="preserve">嗜</t>
  </si>
  <si>
    <t xml:space="preserve">偕</t>
  </si>
  <si>
    <t xml:space="preserve">罵</t>
  </si>
  <si>
    <t xml:space="preserve">蹄</t>
  </si>
  <si>
    <t xml:space="preserve">頚</t>
  </si>
  <si>
    <t xml:space="preserve">胚</t>
  </si>
  <si>
    <t xml:space="preserve">牢</t>
  </si>
  <si>
    <t xml:space="preserve">糞</t>
  </si>
  <si>
    <t xml:space="preserve">悌</t>
  </si>
  <si>
    <t xml:space="preserve">吊</t>
  </si>
  <si>
    <t xml:space="preserve">楕</t>
  </si>
  <si>
    <t xml:space="preserve">鮭</t>
  </si>
  <si>
    <t xml:space="preserve">乞</t>
  </si>
  <si>
    <t xml:space="preserve">倹</t>
  </si>
  <si>
    <t xml:space="preserve">嗅</t>
  </si>
  <si>
    <t xml:space="preserve">詫</t>
  </si>
  <si>
    <t xml:space="preserve">鱒</t>
  </si>
  <si>
    <t xml:space="preserve">蔑</t>
  </si>
  <si>
    <t xml:space="preserve">轍</t>
  </si>
  <si>
    <t xml:space="preserve">醤</t>
  </si>
  <si>
    <t xml:space="preserve">惚</t>
  </si>
  <si>
    <t xml:space="preserve">廣</t>
  </si>
  <si>
    <t xml:space="preserve">藁</t>
  </si>
  <si>
    <t xml:space="preserve">柚</t>
  </si>
  <si>
    <t xml:space="preserve">縞</t>
  </si>
  <si>
    <t xml:space="preserve">謳</t>
  </si>
  <si>
    <t xml:space="preserve">杞</t>
  </si>
  <si>
    <t xml:space="preserve">鱗</t>
  </si>
  <si>
    <t xml:space="preserve">繭</t>
  </si>
  <si>
    <t xml:space="preserve">釘</t>
  </si>
  <si>
    <t xml:space="preserve">弛</t>
  </si>
  <si>
    <t xml:space="preserve">狸</t>
  </si>
  <si>
    <t xml:space="preserve">壬</t>
  </si>
  <si>
    <t xml:space="preserve">硯</t>
  </si>
  <si>
    <t xml:space="preserve">蝦</t>
  </si>
  <si>
    <t xml:space="preserve">About this workbook</t>
  </si>
  <si>
    <t xml:space="preserve">Kanji set: the 2,501 kanji in Kimtaro's gist 'kanji_by_frequency.txt' (ordered by KANJIDIC2 frequency rank). Source: https://gist.github.com/Kimtaro/50da080ff3cf6202f55a</t>
  </si>
  <si>
    <t xml:space="preserve">Radical assignment: the classical (Kangxi) radical number recorded in KANJIDIC2 for each kanji (via the jamdict-data package, compiled 2021). Each kanji is assigned exactly one radical.</t>
  </si>
  <si>
    <r>
      <rPr>
        <sz val="11"/>
        <rFont val="Arial"/>
        <family val="0"/>
        <charset val="1"/>
      </rPr>
      <t xml:space="preserve">Radicals: all 214 Kangxi radicals, ordered by number, which is also stroke-count order. Variant forms (e.g. </t>
    </r>
    <r>
      <rPr>
        <sz val="11"/>
        <rFont val="Noto Sans CJK SC"/>
        <family val="2"/>
      </rPr>
      <t xml:space="preserve">亻 </t>
    </r>
    <r>
      <rPr>
        <sz val="11"/>
        <rFont val="Arial"/>
        <family val="0"/>
        <charset val="1"/>
      </rPr>
      <t xml:space="preserve">for </t>
    </r>
    <r>
      <rPr>
        <sz val="11"/>
        <rFont val="Noto Sans CJK SC"/>
        <family val="2"/>
      </rPr>
      <t xml:space="preserve">人</t>
    </r>
    <r>
      <rPr>
        <sz val="11"/>
        <rFont val="Arial"/>
        <family val="0"/>
        <charset val="1"/>
      </rPr>
      <t xml:space="preserve">, </t>
    </r>
    <r>
      <rPr>
        <sz val="11"/>
        <rFont val="Noto Sans CJK SC"/>
        <family val="2"/>
      </rPr>
      <t xml:space="preserve">氵 </t>
    </r>
    <r>
      <rPr>
        <sz val="11"/>
        <rFont val="Arial"/>
        <family val="0"/>
        <charset val="1"/>
      </rPr>
      <t xml:space="preserve">for </t>
    </r>
    <r>
      <rPr>
        <sz val="11"/>
        <rFont val="Noto Sans CJK SC"/>
        <family val="2"/>
      </rPr>
      <t xml:space="preserve">水</t>
    </r>
    <r>
      <rPr>
        <sz val="11"/>
        <rFont val="Arial"/>
        <family val="0"/>
        <charset val="1"/>
      </rPr>
      <t xml:space="preserve">) are listed in the 'Variant forms' column and counted under the parent radical.</t>
    </r>
  </si>
  <si>
    <t xml:space="preserve">Names, meanings and thematic groups: compiled from standard Kangxi radical references. Groups are my own thematic grouping to cluster similar-meaning radicals, so they are a study aid rather than an official classification.</t>
  </si>
  <si>
    <t xml:space="preserve">Some radicals have 0 kanji because no kanji in this 2,501 list is classified under them in KANJIDIC2.</t>
  </si>
  <si>
    <t xml:space="preserve">Kanji counts and the radical columns on the Kanji sheet are formulas. The kanji lists on the Radicals sheet are static text generated from the same data.</t>
  </si>
  <si>
    <r>
      <rPr>
        <sz val="11"/>
        <rFont val="Arial"/>
        <family val="0"/>
        <charset val="1"/>
      </rPr>
      <t xml:space="preserve">Note: </t>
    </r>
    <r>
      <rPr>
        <sz val="11"/>
        <rFont val="Noto Sans CJK SC"/>
        <family val="2"/>
      </rPr>
      <t xml:space="preserve">𠆢 </t>
    </r>
    <r>
      <rPr>
        <sz val="11"/>
        <rFont val="Arial"/>
        <family val="0"/>
        <charset val="1"/>
      </rPr>
      <t xml:space="preserve">and </t>
    </r>
    <r>
      <rPr>
        <sz val="11"/>
        <rFont val="Noto Sans CJK SC"/>
        <family val="2"/>
      </rPr>
      <t xml:space="preserve">⺅ </t>
    </r>
    <r>
      <rPr>
        <sz val="11"/>
        <rFont val="Arial"/>
        <family val="0"/>
        <charset val="1"/>
      </rPr>
      <t xml:space="preserve">are component forms of </t>
    </r>
    <r>
      <rPr>
        <sz val="11"/>
        <rFont val="Noto Sans CJK SC"/>
        <family val="2"/>
      </rPr>
      <t xml:space="preserve">人</t>
    </r>
    <r>
      <rPr>
        <sz val="11"/>
        <rFont val="Arial"/>
        <family val="0"/>
        <charset val="1"/>
      </rPr>
      <t xml:space="preserve">, not separate Kangxi radicals. </t>
    </r>
    <r>
      <rPr>
        <sz val="11"/>
        <rFont val="Noto Sans CJK SC"/>
        <family val="2"/>
      </rPr>
      <t xml:space="preserve">入 </t>
    </r>
    <r>
      <rPr>
        <sz val="11"/>
        <rFont val="Arial"/>
        <family val="0"/>
        <charset val="1"/>
      </rPr>
      <t xml:space="preserve">(enter) looks like </t>
    </r>
    <r>
      <rPr>
        <sz val="11"/>
        <rFont val="Noto Sans CJK SC"/>
        <family val="2"/>
      </rPr>
      <t xml:space="preserve">人 </t>
    </r>
    <r>
      <rPr>
        <sz val="11"/>
        <rFont val="Arial"/>
        <family val="0"/>
        <charset val="1"/>
      </rPr>
      <t xml:space="preserve">but is its own radical (No. 11).</t>
    </r>
  </si>
</sst>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1"/>
      <name val="Arial"/>
      <family val="0"/>
      <charset val="1"/>
    </font>
    <font>
      <sz val="16"/>
      <name val="Noto Sans CJK SC"/>
      <family val="2"/>
    </font>
    <font>
      <sz val="11"/>
      <name val="Noto Sans CJK SC"/>
      <family val="2"/>
    </font>
    <font>
      <b val="true"/>
      <sz val="11"/>
      <name val="Arial"/>
      <family val="0"/>
      <charset val="1"/>
    </font>
    <font>
      <sz val="14"/>
      <name val="Noto Sans CJK SC"/>
      <family val="2"/>
    </font>
    <font>
      <b val="true"/>
      <sz val="12"/>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
    <col collapsed="false" customWidth="true" hidden="false" outlineLevel="0" max="3" min="3" style="0" width="30"/>
    <col collapsed="false" customWidth="true" hidden="false" outlineLevel="0" max="4" min="4" style="0" width="8"/>
    <col collapsed="false" customWidth="true" hidden="false" outlineLevel="0" max="6" min="5" style="0" width="24"/>
    <col collapsed="false" customWidth="true" hidden="false" outlineLevel="0" max="8" min="7" style="0" width="28"/>
    <col collapsed="false" customWidth="true" hidden="false" outlineLevel="0" max="9" min="9" style="0" width="12"/>
    <col collapsed="false" customWidth="true" hidden="false" outlineLevel="0" max="10" min="10" style="0" width="70"/>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row>
    <row r="2" customFormat="false" ht="23.85" hidden="false" customHeight="false" outlineLevel="0" collapsed="false">
      <c r="A2" s="2" t="n">
        <v>1</v>
      </c>
      <c r="B2" s="3" t="s">
        <v>10</v>
      </c>
      <c r="C2" s="4"/>
      <c r="D2" s="2" t="n">
        <v>1</v>
      </c>
      <c r="E2" s="5" t="s">
        <v>11</v>
      </c>
      <c r="F2" s="4" t="s">
        <v>12</v>
      </c>
      <c r="G2" s="4" t="s">
        <v>13</v>
      </c>
      <c r="H2" s="4" t="s">
        <v>14</v>
      </c>
      <c r="I2" s="2" t="n">
        <f aca="false">COUNTIF(Kanji!$C$2:$C$2502,A2)</f>
        <v>15</v>
      </c>
      <c r="J2" s="5" t="s">
        <v>15</v>
      </c>
    </row>
    <row r="3" customFormat="false" ht="23.85" hidden="false" customHeight="false" outlineLevel="0" collapsed="false">
      <c r="A3" s="2" t="n">
        <v>2</v>
      </c>
      <c r="B3" s="3" t="s">
        <v>16</v>
      </c>
      <c r="C3" s="4"/>
      <c r="D3" s="2" t="n">
        <v>1</v>
      </c>
      <c r="E3" s="5" t="s">
        <v>17</v>
      </c>
      <c r="F3" s="4" t="s">
        <v>18</v>
      </c>
      <c r="G3" s="4" t="s">
        <v>19</v>
      </c>
      <c r="H3" s="4" t="s">
        <v>14</v>
      </c>
      <c r="I3" s="2" t="n">
        <f aca="false">COUNTIF(Kanji!$C$2:$C$2502,A3)</f>
        <v>2</v>
      </c>
      <c r="J3" s="5" t="s">
        <v>20</v>
      </c>
    </row>
    <row r="4" customFormat="false" ht="23.85" hidden="false" customHeight="false" outlineLevel="0" collapsed="false">
      <c r="A4" s="2" t="n">
        <v>3</v>
      </c>
      <c r="B4" s="3" t="s">
        <v>21</v>
      </c>
      <c r="C4" s="4"/>
      <c r="D4" s="2" t="n">
        <v>1</v>
      </c>
      <c r="E4" s="5" t="s">
        <v>22</v>
      </c>
      <c r="F4" s="4" t="s">
        <v>23</v>
      </c>
      <c r="G4" s="4" t="s">
        <v>24</v>
      </c>
      <c r="H4" s="4" t="s">
        <v>14</v>
      </c>
      <c r="I4" s="2" t="n">
        <f aca="false">COUNTIF(Kanji!$C$2:$C$2502,A4)</f>
        <v>4</v>
      </c>
      <c r="J4" s="5" t="s">
        <v>25</v>
      </c>
    </row>
    <row r="5" customFormat="false" ht="23.85" hidden="false" customHeight="false" outlineLevel="0" collapsed="false">
      <c r="A5" s="2" t="n">
        <v>4</v>
      </c>
      <c r="B5" s="3" t="s">
        <v>26</v>
      </c>
      <c r="C5" s="4"/>
      <c r="D5" s="2" t="n">
        <v>1</v>
      </c>
      <c r="E5" s="5" t="s">
        <v>27</v>
      </c>
      <c r="F5" s="4" t="s">
        <v>28</v>
      </c>
      <c r="G5" s="4" t="s">
        <v>29</v>
      </c>
      <c r="H5" s="4" t="s">
        <v>14</v>
      </c>
      <c r="I5" s="2" t="n">
        <f aca="false">COUNTIF(Kanji!$C$2:$C$2502,A5)</f>
        <v>5</v>
      </c>
      <c r="J5" s="5" t="s">
        <v>30</v>
      </c>
    </row>
    <row r="6" customFormat="false" ht="23.85" hidden="false" customHeight="false" outlineLevel="0" collapsed="false">
      <c r="A6" s="2" t="n">
        <v>5</v>
      </c>
      <c r="B6" s="3" t="s">
        <v>31</v>
      </c>
      <c r="C6" s="5" t="s">
        <v>32</v>
      </c>
      <c r="D6" s="2" t="n">
        <v>1</v>
      </c>
      <c r="E6" s="5" t="s">
        <v>33</v>
      </c>
      <c r="F6" s="4" t="s">
        <v>34</v>
      </c>
      <c r="G6" s="4" t="s">
        <v>35</v>
      </c>
      <c r="H6" s="4" t="s">
        <v>14</v>
      </c>
      <c r="I6" s="2" t="n">
        <f aca="false">COUNTIF(Kanji!$C$2:$C$2502,A6)</f>
        <v>8</v>
      </c>
      <c r="J6" s="5" t="s">
        <v>36</v>
      </c>
    </row>
    <row r="7" customFormat="false" ht="23.85" hidden="false" customHeight="false" outlineLevel="0" collapsed="false">
      <c r="A7" s="2" t="n">
        <v>6</v>
      </c>
      <c r="B7" s="3" t="s">
        <v>37</v>
      </c>
      <c r="C7" s="4"/>
      <c r="D7" s="2" t="n">
        <v>1</v>
      </c>
      <c r="E7" s="5" t="s">
        <v>38</v>
      </c>
      <c r="F7" s="4" t="s">
        <v>39</v>
      </c>
      <c r="G7" s="4" t="s">
        <v>40</v>
      </c>
      <c r="H7" s="4" t="s">
        <v>14</v>
      </c>
      <c r="I7" s="2" t="n">
        <f aca="false">COUNTIF(Kanji!$C$2:$C$2502,A7)</f>
        <v>4</v>
      </c>
      <c r="J7" s="5" t="s">
        <v>41</v>
      </c>
    </row>
    <row r="8" customFormat="false" ht="23.85" hidden="false" customHeight="false" outlineLevel="0" collapsed="false">
      <c r="A8" s="2" t="n">
        <v>7</v>
      </c>
      <c r="B8" s="3" t="s">
        <v>42</v>
      </c>
      <c r="C8" s="4"/>
      <c r="D8" s="2" t="n">
        <v>2</v>
      </c>
      <c r="E8" s="5" t="s">
        <v>43</v>
      </c>
      <c r="F8" s="4" t="s">
        <v>44</v>
      </c>
      <c r="G8" s="4" t="s">
        <v>45</v>
      </c>
      <c r="H8" s="4" t="s">
        <v>14</v>
      </c>
      <c r="I8" s="2" t="n">
        <f aca="false">COUNTIF(Kanji!$C$2:$C$2502,A8)</f>
        <v>6</v>
      </c>
      <c r="J8" s="5" t="s">
        <v>46</v>
      </c>
    </row>
    <row r="9" customFormat="false" ht="32.8" hidden="false" customHeight="false" outlineLevel="0" collapsed="false">
      <c r="A9" s="2" t="n">
        <v>8</v>
      </c>
      <c r="B9" s="3" t="s">
        <v>47</v>
      </c>
      <c r="C9" s="4"/>
      <c r="D9" s="2" t="n">
        <v>2</v>
      </c>
      <c r="E9" s="5" t="s">
        <v>48</v>
      </c>
      <c r="F9" s="4" t="s">
        <v>49</v>
      </c>
      <c r="G9" s="4" t="s">
        <v>50</v>
      </c>
      <c r="H9" s="4" t="s">
        <v>51</v>
      </c>
      <c r="I9" s="2" t="n">
        <f aca="false">COUNTIF(Kanji!$C$2:$C$2502,A9)</f>
        <v>7</v>
      </c>
      <c r="J9" s="5" t="s">
        <v>52</v>
      </c>
    </row>
    <row r="10" customFormat="false" ht="64.15" hidden="false" customHeight="false" outlineLevel="0" collapsed="false">
      <c r="A10" s="2" t="n">
        <v>9</v>
      </c>
      <c r="B10" s="3" t="s">
        <v>53</v>
      </c>
      <c r="C10" s="5" t="s">
        <v>54</v>
      </c>
      <c r="D10" s="2" t="n">
        <v>2</v>
      </c>
      <c r="E10" s="5" t="s">
        <v>55</v>
      </c>
      <c r="F10" s="4" t="s">
        <v>56</v>
      </c>
      <c r="G10" s="4" t="s">
        <v>57</v>
      </c>
      <c r="H10" s="4" t="s">
        <v>58</v>
      </c>
      <c r="I10" s="2" t="n">
        <f aca="false">COUNTIF(Kanji!$C$2:$C$2502,A10)</f>
        <v>112</v>
      </c>
      <c r="J10" s="5" t="s">
        <v>59</v>
      </c>
    </row>
    <row r="11" customFormat="false" ht="23.85" hidden="false" customHeight="false" outlineLevel="0" collapsed="false">
      <c r="A11" s="2" t="n">
        <v>10</v>
      </c>
      <c r="B11" s="3" t="s">
        <v>60</v>
      </c>
      <c r="C11" s="4"/>
      <c r="D11" s="2" t="n">
        <v>2</v>
      </c>
      <c r="E11" s="5" t="s">
        <v>61</v>
      </c>
      <c r="F11" s="4" t="s">
        <v>62</v>
      </c>
      <c r="G11" s="4" t="s">
        <v>63</v>
      </c>
      <c r="H11" s="4" t="s">
        <v>58</v>
      </c>
      <c r="I11" s="2" t="n">
        <f aca="false">COUNTIF(Kanji!$C$2:$C$2502,A11)</f>
        <v>12</v>
      </c>
      <c r="J11" s="5" t="s">
        <v>64</v>
      </c>
    </row>
    <row r="12" customFormat="false" ht="23.85" hidden="false" customHeight="false" outlineLevel="0" collapsed="false">
      <c r="A12" s="2" t="n">
        <v>11</v>
      </c>
      <c r="B12" s="3" t="s">
        <v>65</v>
      </c>
      <c r="C12" s="5" t="s">
        <v>66</v>
      </c>
      <c r="D12" s="2" t="n">
        <v>2</v>
      </c>
      <c r="E12" s="5" t="s">
        <v>67</v>
      </c>
      <c r="F12" s="4" t="s">
        <v>68</v>
      </c>
      <c r="G12" s="4" t="s">
        <v>69</v>
      </c>
      <c r="H12" s="4" t="s">
        <v>70</v>
      </c>
      <c r="I12" s="2" t="n">
        <f aca="false">COUNTIF(Kanji!$C$2:$C$2502,A12)</f>
        <v>2</v>
      </c>
      <c r="J12" s="5" t="s">
        <v>71</v>
      </c>
    </row>
    <row r="13" customFormat="false" ht="23.85" hidden="false" customHeight="false" outlineLevel="0" collapsed="false">
      <c r="A13" s="2" t="n">
        <v>12</v>
      </c>
      <c r="B13" s="3" t="s">
        <v>72</v>
      </c>
      <c r="C13" s="5" t="s">
        <v>73</v>
      </c>
      <c r="D13" s="2" t="n">
        <v>2</v>
      </c>
      <c r="E13" s="5" t="s">
        <v>74</v>
      </c>
      <c r="F13" s="4" t="s">
        <v>75</v>
      </c>
      <c r="G13" s="4" t="s">
        <v>76</v>
      </c>
      <c r="H13" s="4" t="s">
        <v>14</v>
      </c>
      <c r="I13" s="2" t="n">
        <f aca="false">COUNTIF(Kanji!$C$2:$C$2502,A13)</f>
        <v>10</v>
      </c>
      <c r="J13" s="5" t="s">
        <v>77</v>
      </c>
    </row>
    <row r="14" customFormat="false" ht="32.8" hidden="false" customHeight="false" outlineLevel="0" collapsed="false">
      <c r="A14" s="2" t="n">
        <v>13</v>
      </c>
      <c r="B14" s="3" t="s">
        <v>78</v>
      </c>
      <c r="C14" s="4"/>
      <c r="D14" s="2" t="n">
        <v>2</v>
      </c>
      <c r="E14" s="5" t="s">
        <v>79</v>
      </c>
      <c r="F14" s="4" t="s">
        <v>80</v>
      </c>
      <c r="G14" s="4" t="s">
        <v>81</v>
      </c>
      <c r="H14" s="4" t="s">
        <v>51</v>
      </c>
      <c r="I14" s="2" t="n">
        <f aca="false">COUNTIF(Kanji!$C$2:$C$2502,A14)</f>
        <v>5</v>
      </c>
      <c r="J14" s="5" t="s">
        <v>82</v>
      </c>
    </row>
    <row r="15" customFormat="false" ht="26.85" hidden="false" customHeight="false" outlineLevel="0" collapsed="false">
      <c r="A15" s="2" t="n">
        <v>14</v>
      </c>
      <c r="B15" s="3" t="s">
        <v>83</v>
      </c>
      <c r="C15" s="4"/>
      <c r="D15" s="2" t="n">
        <v>2</v>
      </c>
      <c r="E15" s="5" t="s">
        <v>84</v>
      </c>
      <c r="F15" s="4" t="s">
        <v>85</v>
      </c>
      <c r="G15" s="4" t="s">
        <v>86</v>
      </c>
      <c r="H15" s="4" t="s">
        <v>51</v>
      </c>
      <c r="I15" s="2" t="n">
        <f aca="false">COUNTIF(Kanji!$C$2:$C$2502,A15)</f>
        <v>6</v>
      </c>
      <c r="J15" s="5" t="s">
        <v>87</v>
      </c>
    </row>
    <row r="16" customFormat="false" ht="23.85" hidden="false" customHeight="false" outlineLevel="0" collapsed="false">
      <c r="A16" s="2" t="n">
        <v>15</v>
      </c>
      <c r="B16" s="3" t="s">
        <v>88</v>
      </c>
      <c r="C16" s="4"/>
      <c r="D16" s="2" t="n">
        <v>2</v>
      </c>
      <c r="E16" s="5" t="s">
        <v>89</v>
      </c>
      <c r="F16" s="4" t="s">
        <v>90</v>
      </c>
      <c r="G16" s="4" t="s">
        <v>91</v>
      </c>
      <c r="H16" s="4" t="s">
        <v>92</v>
      </c>
      <c r="I16" s="2" t="n">
        <f aca="false">COUNTIF(Kanji!$C$2:$C$2502,A16)</f>
        <v>8</v>
      </c>
      <c r="J16" s="5" t="s">
        <v>93</v>
      </c>
    </row>
    <row r="17" customFormat="false" ht="23.85" hidden="false" customHeight="false" outlineLevel="0" collapsed="false">
      <c r="A17" s="2" t="n">
        <v>16</v>
      </c>
      <c r="B17" s="3" t="s">
        <v>94</v>
      </c>
      <c r="C17" s="4"/>
      <c r="D17" s="2" t="n">
        <v>2</v>
      </c>
      <c r="E17" s="5" t="s">
        <v>95</v>
      </c>
      <c r="F17" s="4" t="s">
        <v>96</v>
      </c>
      <c r="G17" s="4" t="s">
        <v>97</v>
      </c>
      <c r="H17" s="4" t="s">
        <v>98</v>
      </c>
      <c r="I17" s="2" t="n">
        <f aca="false">COUNTIF(Kanji!$C$2:$C$2502,A17)</f>
        <v>4</v>
      </c>
      <c r="J17" s="5" t="s">
        <v>99</v>
      </c>
    </row>
    <row r="18" customFormat="false" ht="26.85" hidden="false" customHeight="false" outlineLevel="0" collapsed="false">
      <c r="A18" s="2" t="n">
        <v>17</v>
      </c>
      <c r="B18" s="3" t="s">
        <v>100</v>
      </c>
      <c r="C18" s="4"/>
      <c r="D18" s="2" t="n">
        <v>2</v>
      </c>
      <c r="E18" s="5" t="s">
        <v>101</v>
      </c>
      <c r="F18" s="4" t="s">
        <v>102</v>
      </c>
      <c r="G18" s="4" t="s">
        <v>103</v>
      </c>
      <c r="H18" s="4" t="s">
        <v>51</v>
      </c>
      <c r="I18" s="2" t="n">
        <f aca="false">COUNTIF(Kanji!$C$2:$C$2502,A18)</f>
        <v>5</v>
      </c>
      <c r="J18" s="5" t="s">
        <v>104</v>
      </c>
    </row>
    <row r="19" customFormat="false" ht="23.85" hidden="false" customHeight="false" outlineLevel="0" collapsed="false">
      <c r="A19" s="2" t="n">
        <v>18</v>
      </c>
      <c r="B19" s="3" t="s">
        <v>105</v>
      </c>
      <c r="C19" s="5" t="s">
        <v>106</v>
      </c>
      <c r="D19" s="2" t="n">
        <v>2</v>
      </c>
      <c r="E19" s="5" t="s">
        <v>107</v>
      </c>
      <c r="F19" s="4" t="s">
        <v>108</v>
      </c>
      <c r="G19" s="4" t="s">
        <v>109</v>
      </c>
      <c r="H19" s="4" t="s">
        <v>98</v>
      </c>
      <c r="I19" s="2" t="n">
        <f aca="false">COUNTIF(Kanji!$C$2:$C$2502,A19)</f>
        <v>33</v>
      </c>
      <c r="J19" s="5" t="s">
        <v>110</v>
      </c>
    </row>
    <row r="20" customFormat="false" ht="23.85" hidden="false" customHeight="false" outlineLevel="0" collapsed="false">
      <c r="A20" s="2" t="n">
        <v>19</v>
      </c>
      <c r="B20" s="3" t="s">
        <v>111</v>
      </c>
      <c r="C20" s="4"/>
      <c r="D20" s="2" t="n">
        <v>2</v>
      </c>
      <c r="E20" s="5" t="s">
        <v>112</v>
      </c>
      <c r="F20" s="4" t="s">
        <v>113</v>
      </c>
      <c r="G20" s="4" t="s">
        <v>114</v>
      </c>
      <c r="H20" s="4" t="s">
        <v>70</v>
      </c>
      <c r="I20" s="2" t="n">
        <f aca="false">COUNTIF(Kanji!$C$2:$C$2502,A20)</f>
        <v>22</v>
      </c>
      <c r="J20" s="5" t="s">
        <v>115</v>
      </c>
    </row>
    <row r="21" customFormat="false" ht="26.85" hidden="false" customHeight="false" outlineLevel="0" collapsed="false">
      <c r="A21" s="2" t="n">
        <v>20</v>
      </c>
      <c r="B21" s="3" t="s">
        <v>116</v>
      </c>
      <c r="C21" s="4"/>
      <c r="D21" s="2" t="n">
        <v>2</v>
      </c>
      <c r="E21" s="5" t="s">
        <v>117</v>
      </c>
      <c r="F21" s="4" t="s">
        <v>118</v>
      </c>
      <c r="G21" s="4" t="s">
        <v>119</v>
      </c>
      <c r="H21" s="4" t="s">
        <v>51</v>
      </c>
      <c r="I21" s="2" t="n">
        <f aca="false">COUNTIF(Kanji!$C$2:$C$2502,A21)</f>
        <v>2</v>
      </c>
      <c r="J21" s="5" t="s">
        <v>120</v>
      </c>
    </row>
    <row r="22" customFormat="false" ht="23.85" hidden="false" customHeight="false" outlineLevel="0" collapsed="false">
      <c r="A22" s="2" t="n">
        <v>21</v>
      </c>
      <c r="B22" s="3" t="s">
        <v>121</v>
      </c>
      <c r="C22" s="4"/>
      <c r="D22" s="2" t="n">
        <v>2</v>
      </c>
      <c r="E22" s="5" t="s">
        <v>122</v>
      </c>
      <c r="F22" s="4" t="s">
        <v>123</v>
      </c>
      <c r="G22" s="4" t="s">
        <v>124</v>
      </c>
      <c r="H22" s="4" t="s">
        <v>98</v>
      </c>
      <c r="I22" s="2" t="n">
        <f aca="false">COUNTIF(Kanji!$C$2:$C$2502,A22)</f>
        <v>2</v>
      </c>
      <c r="J22" s="5" t="s">
        <v>125</v>
      </c>
    </row>
    <row r="23" customFormat="false" ht="26.85" hidden="false" customHeight="false" outlineLevel="0" collapsed="false">
      <c r="A23" s="2" t="n">
        <v>22</v>
      </c>
      <c r="B23" s="3" t="s">
        <v>126</v>
      </c>
      <c r="C23" s="4"/>
      <c r="D23" s="2" t="n">
        <v>2</v>
      </c>
      <c r="E23" s="5" t="s">
        <v>127</v>
      </c>
      <c r="F23" s="4" t="s">
        <v>128</v>
      </c>
      <c r="G23" s="4" t="s">
        <v>129</v>
      </c>
      <c r="H23" s="4" t="s">
        <v>51</v>
      </c>
      <c r="I23" s="2" t="n">
        <f aca="false">COUNTIF(Kanji!$C$2:$C$2502,A23)</f>
        <v>2</v>
      </c>
      <c r="J23" s="5" t="s">
        <v>130</v>
      </c>
    </row>
    <row r="24" customFormat="false" ht="26.85" hidden="false" customHeight="false" outlineLevel="0" collapsed="false">
      <c r="A24" s="2" t="n">
        <v>23</v>
      </c>
      <c r="B24" s="3" t="s">
        <v>131</v>
      </c>
      <c r="C24" s="4"/>
      <c r="D24" s="2" t="n">
        <v>2</v>
      </c>
      <c r="E24" s="5" t="s">
        <v>132</v>
      </c>
      <c r="F24" s="4" t="s">
        <v>133</v>
      </c>
      <c r="G24" s="4" t="s">
        <v>134</v>
      </c>
      <c r="H24" s="4" t="s">
        <v>51</v>
      </c>
      <c r="I24" s="2" t="n">
        <f aca="false">COUNTIF(Kanji!$C$2:$C$2502,A24)</f>
        <v>4</v>
      </c>
      <c r="J24" s="5" t="s">
        <v>135</v>
      </c>
    </row>
    <row r="25" customFormat="false" ht="23.85" hidden="false" customHeight="false" outlineLevel="0" collapsed="false">
      <c r="A25" s="2" t="n">
        <v>24</v>
      </c>
      <c r="B25" s="3" t="s">
        <v>136</v>
      </c>
      <c r="C25" s="4"/>
      <c r="D25" s="2" t="n">
        <v>2</v>
      </c>
      <c r="E25" s="5" t="s">
        <v>137</v>
      </c>
      <c r="F25" s="4" t="s">
        <v>138</v>
      </c>
      <c r="G25" s="4" t="s">
        <v>23</v>
      </c>
      <c r="H25" s="4" t="s">
        <v>14</v>
      </c>
      <c r="I25" s="2" t="n">
        <f aca="false">COUNTIF(Kanji!$C$2:$C$2502,A25)</f>
        <v>12</v>
      </c>
      <c r="J25" s="5" t="s">
        <v>139</v>
      </c>
    </row>
    <row r="26" customFormat="false" ht="23.85" hidden="false" customHeight="false" outlineLevel="0" collapsed="false">
      <c r="A26" s="2" t="n">
        <v>25</v>
      </c>
      <c r="B26" s="3" t="s">
        <v>140</v>
      </c>
      <c r="C26" s="4"/>
      <c r="D26" s="2" t="n">
        <v>2</v>
      </c>
      <c r="E26" s="5" t="s">
        <v>141</v>
      </c>
      <c r="F26" s="4" t="s">
        <v>142</v>
      </c>
      <c r="G26" s="4" t="s">
        <v>143</v>
      </c>
      <c r="H26" s="4" t="s">
        <v>70</v>
      </c>
      <c r="I26" s="2" t="n">
        <f aca="false">COUNTIF(Kanji!$C$2:$C$2502,A26)</f>
        <v>1</v>
      </c>
      <c r="J26" s="5" t="s">
        <v>144</v>
      </c>
    </row>
    <row r="27" customFormat="false" ht="23.85" hidden="false" customHeight="false" outlineLevel="0" collapsed="false">
      <c r="A27" s="2" t="n">
        <v>26</v>
      </c>
      <c r="B27" s="3" t="s">
        <v>145</v>
      </c>
      <c r="C27" s="5" t="s">
        <v>146</v>
      </c>
      <c r="D27" s="2" t="n">
        <v>2</v>
      </c>
      <c r="E27" s="5" t="s">
        <v>147</v>
      </c>
      <c r="F27" s="4" t="s">
        <v>148</v>
      </c>
      <c r="G27" s="4" t="s">
        <v>149</v>
      </c>
      <c r="H27" s="4" t="s">
        <v>70</v>
      </c>
      <c r="I27" s="2" t="n">
        <f aca="false">COUNTIF(Kanji!$C$2:$C$2502,A27)</f>
        <v>8</v>
      </c>
      <c r="J27" s="5" t="s">
        <v>150</v>
      </c>
    </row>
    <row r="28" customFormat="false" ht="23.85" hidden="false" customHeight="false" outlineLevel="0" collapsed="false">
      <c r="A28" s="2" t="n">
        <v>27</v>
      </c>
      <c r="B28" s="3" t="s">
        <v>151</v>
      </c>
      <c r="C28" s="4"/>
      <c r="D28" s="2" t="n">
        <v>2</v>
      </c>
      <c r="E28" s="5" t="s">
        <v>152</v>
      </c>
      <c r="F28" s="4" t="s">
        <v>153</v>
      </c>
      <c r="G28" s="4" t="s">
        <v>154</v>
      </c>
      <c r="H28" s="4" t="s">
        <v>92</v>
      </c>
      <c r="I28" s="2" t="n">
        <f aca="false">COUNTIF(Kanji!$C$2:$C$2502,A28)</f>
        <v>7</v>
      </c>
      <c r="J28" s="5" t="s">
        <v>155</v>
      </c>
    </row>
    <row r="29" customFormat="false" ht="23.85" hidden="false" customHeight="false" outlineLevel="0" collapsed="false">
      <c r="A29" s="2" t="n">
        <v>28</v>
      </c>
      <c r="B29" s="3" t="s">
        <v>156</v>
      </c>
      <c r="C29" s="4"/>
      <c r="D29" s="2" t="n">
        <v>2</v>
      </c>
      <c r="E29" s="5" t="s">
        <v>157</v>
      </c>
      <c r="F29" s="4" t="s">
        <v>158</v>
      </c>
      <c r="G29" s="4" t="s">
        <v>159</v>
      </c>
      <c r="H29" s="4" t="s">
        <v>160</v>
      </c>
      <c r="I29" s="2" t="n">
        <f aca="false">COUNTIF(Kanji!$C$2:$C$2502,A29)</f>
        <v>2</v>
      </c>
      <c r="J29" s="5" t="s">
        <v>161</v>
      </c>
    </row>
    <row r="30" customFormat="false" ht="23.85" hidden="false" customHeight="false" outlineLevel="0" collapsed="false">
      <c r="A30" s="2" t="n">
        <v>29</v>
      </c>
      <c r="B30" s="3" t="s">
        <v>162</v>
      </c>
      <c r="C30" s="4"/>
      <c r="D30" s="2" t="n">
        <v>2</v>
      </c>
      <c r="E30" s="5" t="s">
        <v>163</v>
      </c>
      <c r="F30" s="4" t="s">
        <v>164</v>
      </c>
      <c r="G30" s="4" t="s">
        <v>165</v>
      </c>
      <c r="H30" s="4" t="s">
        <v>166</v>
      </c>
      <c r="I30" s="2" t="n">
        <f aca="false">COUNTIF(Kanji!$C$2:$C$2502,A30)</f>
        <v>11</v>
      </c>
      <c r="J30" s="5" t="s">
        <v>167</v>
      </c>
    </row>
    <row r="31" customFormat="false" ht="48.5" hidden="false" customHeight="false" outlineLevel="0" collapsed="false">
      <c r="A31" s="2" t="n">
        <v>30</v>
      </c>
      <c r="B31" s="3" t="s">
        <v>168</v>
      </c>
      <c r="C31" s="4"/>
      <c r="D31" s="2" t="n">
        <v>3</v>
      </c>
      <c r="E31" s="5" t="s">
        <v>169</v>
      </c>
      <c r="F31" s="4" t="s">
        <v>170</v>
      </c>
      <c r="G31" s="4" t="s">
        <v>171</v>
      </c>
      <c r="H31" s="4" t="s">
        <v>166</v>
      </c>
      <c r="I31" s="2" t="n">
        <f aca="false">COUNTIF(Kanji!$C$2:$C$2502,A31)</f>
        <v>87</v>
      </c>
      <c r="J31" s="5" t="s">
        <v>172</v>
      </c>
    </row>
    <row r="32" customFormat="false" ht="26.85" hidden="false" customHeight="false" outlineLevel="0" collapsed="false">
      <c r="A32" s="2" t="n">
        <v>31</v>
      </c>
      <c r="B32" s="3" t="s">
        <v>173</v>
      </c>
      <c r="C32" s="4"/>
      <c r="D32" s="2" t="n">
        <v>3</v>
      </c>
      <c r="E32" s="5" t="s">
        <v>174</v>
      </c>
      <c r="F32" s="4" t="s">
        <v>175</v>
      </c>
      <c r="G32" s="4" t="s">
        <v>176</v>
      </c>
      <c r="H32" s="4" t="s">
        <v>51</v>
      </c>
      <c r="I32" s="2" t="n">
        <f aca="false">COUNTIF(Kanji!$C$2:$C$2502,A32)</f>
        <v>12</v>
      </c>
      <c r="J32" s="5" t="s">
        <v>177</v>
      </c>
    </row>
    <row r="33" customFormat="false" ht="32.8" hidden="false" customHeight="false" outlineLevel="0" collapsed="false">
      <c r="A33" s="2" t="n">
        <v>32</v>
      </c>
      <c r="B33" s="3" t="s">
        <v>178</v>
      </c>
      <c r="C33" s="4"/>
      <c r="D33" s="2" t="n">
        <v>3</v>
      </c>
      <c r="E33" s="5" t="s">
        <v>179</v>
      </c>
      <c r="F33" s="4" t="s">
        <v>180</v>
      </c>
      <c r="G33" s="4" t="s">
        <v>181</v>
      </c>
      <c r="H33" s="4" t="s">
        <v>92</v>
      </c>
      <c r="I33" s="2" t="n">
        <f aca="false">COUNTIF(Kanji!$C$2:$C$2502,A33)</f>
        <v>54</v>
      </c>
      <c r="J33" s="5" t="s">
        <v>182</v>
      </c>
    </row>
    <row r="34" customFormat="false" ht="23.85" hidden="false" customHeight="false" outlineLevel="0" collapsed="false">
      <c r="A34" s="2" t="n">
        <v>33</v>
      </c>
      <c r="B34" s="3" t="s">
        <v>183</v>
      </c>
      <c r="C34" s="4"/>
      <c r="D34" s="2" t="n">
        <v>3</v>
      </c>
      <c r="E34" s="5" t="s">
        <v>184</v>
      </c>
      <c r="F34" s="4" t="s">
        <v>185</v>
      </c>
      <c r="G34" s="4" t="s">
        <v>186</v>
      </c>
      <c r="H34" s="4" t="s">
        <v>58</v>
      </c>
      <c r="I34" s="2" t="n">
        <f aca="false">COUNTIF(Kanji!$C$2:$C$2502,A34)</f>
        <v>7</v>
      </c>
      <c r="J34" s="5" t="s">
        <v>187</v>
      </c>
    </row>
    <row r="35" customFormat="false" ht="23.85" hidden="false" customHeight="false" outlineLevel="0" collapsed="false">
      <c r="A35" s="2" t="n">
        <v>34</v>
      </c>
      <c r="B35" s="3" t="s">
        <v>188</v>
      </c>
      <c r="C35" s="4"/>
      <c r="D35" s="2" t="n">
        <v>3</v>
      </c>
      <c r="E35" s="5" t="s">
        <v>189</v>
      </c>
      <c r="F35" s="4" t="s">
        <v>190</v>
      </c>
      <c r="G35" s="4" t="s">
        <v>191</v>
      </c>
      <c r="H35" s="4" t="s">
        <v>70</v>
      </c>
      <c r="I35" s="2" t="n">
        <f aca="false">COUNTIF(Kanji!$C$2:$C$2502,A35)</f>
        <v>1</v>
      </c>
      <c r="J35" s="5" t="s">
        <v>192</v>
      </c>
    </row>
    <row r="36" customFormat="false" ht="23.85" hidden="false" customHeight="false" outlineLevel="0" collapsed="false">
      <c r="A36" s="2" t="n">
        <v>35</v>
      </c>
      <c r="B36" s="3" t="s">
        <v>193</v>
      </c>
      <c r="C36" s="4"/>
      <c r="D36" s="2" t="n">
        <v>3</v>
      </c>
      <c r="E36" s="5" t="s">
        <v>194</v>
      </c>
      <c r="F36" s="4" t="s">
        <v>195</v>
      </c>
      <c r="G36" s="4" t="s">
        <v>196</v>
      </c>
      <c r="H36" s="4" t="s">
        <v>70</v>
      </c>
      <c r="I36" s="2" t="n">
        <f aca="false">COUNTIF(Kanji!$C$2:$C$2502,A36)</f>
        <v>1</v>
      </c>
      <c r="J36" s="5" t="s">
        <v>197</v>
      </c>
    </row>
    <row r="37" customFormat="false" ht="23.85" hidden="false" customHeight="false" outlineLevel="0" collapsed="false">
      <c r="A37" s="2" t="n">
        <v>36</v>
      </c>
      <c r="B37" s="3" t="s">
        <v>198</v>
      </c>
      <c r="C37" s="4"/>
      <c r="D37" s="2" t="n">
        <v>3</v>
      </c>
      <c r="E37" s="5" t="s">
        <v>199</v>
      </c>
      <c r="F37" s="4" t="s">
        <v>200</v>
      </c>
      <c r="G37" s="4" t="s">
        <v>201</v>
      </c>
      <c r="H37" s="4" t="s">
        <v>202</v>
      </c>
      <c r="I37" s="2" t="n">
        <f aca="false">COUNTIF(Kanji!$C$2:$C$2502,A37)</f>
        <v>5</v>
      </c>
      <c r="J37" s="5" t="s">
        <v>203</v>
      </c>
    </row>
    <row r="38" customFormat="false" ht="23.85" hidden="false" customHeight="false" outlineLevel="0" collapsed="false">
      <c r="A38" s="2" t="n">
        <v>37</v>
      </c>
      <c r="B38" s="3" t="s">
        <v>204</v>
      </c>
      <c r="C38" s="4"/>
      <c r="D38" s="2" t="n">
        <v>3</v>
      </c>
      <c r="E38" s="5" t="s">
        <v>205</v>
      </c>
      <c r="F38" s="4" t="s">
        <v>206</v>
      </c>
      <c r="G38" s="4" t="s">
        <v>207</v>
      </c>
      <c r="H38" s="4" t="s">
        <v>58</v>
      </c>
      <c r="I38" s="2" t="n">
        <f aca="false">COUNTIF(Kanji!$C$2:$C$2502,A38)</f>
        <v>18</v>
      </c>
      <c r="J38" s="5" t="s">
        <v>208</v>
      </c>
    </row>
    <row r="39" customFormat="false" ht="32.8" hidden="false" customHeight="false" outlineLevel="0" collapsed="false">
      <c r="A39" s="2" t="n">
        <v>38</v>
      </c>
      <c r="B39" s="3" t="s">
        <v>209</v>
      </c>
      <c r="C39" s="4"/>
      <c r="D39" s="2" t="n">
        <v>3</v>
      </c>
      <c r="E39" s="5" t="s">
        <v>210</v>
      </c>
      <c r="F39" s="4" t="s">
        <v>211</v>
      </c>
      <c r="G39" s="4" t="s">
        <v>212</v>
      </c>
      <c r="H39" s="4" t="s">
        <v>58</v>
      </c>
      <c r="I39" s="2" t="n">
        <f aca="false">COUNTIF(Kanji!$C$2:$C$2502,A39)</f>
        <v>40</v>
      </c>
      <c r="J39" s="5" t="s">
        <v>213</v>
      </c>
    </row>
    <row r="40" customFormat="false" ht="23.85" hidden="false" customHeight="false" outlineLevel="0" collapsed="false">
      <c r="A40" s="2" t="n">
        <v>39</v>
      </c>
      <c r="B40" s="3" t="s">
        <v>214</v>
      </c>
      <c r="C40" s="4"/>
      <c r="D40" s="2" t="n">
        <v>3</v>
      </c>
      <c r="E40" s="5" t="s">
        <v>215</v>
      </c>
      <c r="F40" s="4" t="s">
        <v>216</v>
      </c>
      <c r="G40" s="4" t="s">
        <v>217</v>
      </c>
      <c r="H40" s="4" t="s">
        <v>58</v>
      </c>
      <c r="I40" s="2" t="n">
        <f aca="false">COUNTIF(Kanji!$C$2:$C$2502,A40)</f>
        <v>11</v>
      </c>
      <c r="J40" s="5" t="s">
        <v>218</v>
      </c>
    </row>
    <row r="41" customFormat="false" ht="32.8" hidden="false" customHeight="false" outlineLevel="0" collapsed="false">
      <c r="A41" s="2" t="n">
        <v>40</v>
      </c>
      <c r="B41" s="3" t="s">
        <v>219</v>
      </c>
      <c r="C41" s="4"/>
      <c r="D41" s="2" t="n">
        <v>3</v>
      </c>
      <c r="E41" s="5" t="s">
        <v>220</v>
      </c>
      <c r="F41" s="4" t="s">
        <v>221</v>
      </c>
      <c r="G41" s="4" t="s">
        <v>222</v>
      </c>
      <c r="H41" s="4" t="s">
        <v>51</v>
      </c>
      <c r="I41" s="2" t="n">
        <f aca="false">COUNTIF(Kanji!$C$2:$C$2502,A41)</f>
        <v>41</v>
      </c>
      <c r="J41" s="5" t="s">
        <v>223</v>
      </c>
    </row>
    <row r="42" customFormat="false" ht="23.85" hidden="false" customHeight="false" outlineLevel="0" collapsed="false">
      <c r="A42" s="2" t="n">
        <v>41</v>
      </c>
      <c r="B42" s="3" t="s">
        <v>224</v>
      </c>
      <c r="C42" s="4"/>
      <c r="D42" s="2" t="n">
        <v>3</v>
      </c>
      <c r="E42" s="5" t="s">
        <v>225</v>
      </c>
      <c r="F42" s="4" t="s">
        <v>226</v>
      </c>
      <c r="G42" s="4" t="s">
        <v>227</v>
      </c>
      <c r="H42" s="4" t="s">
        <v>70</v>
      </c>
      <c r="I42" s="2" t="n">
        <f aca="false">COUNTIF(Kanji!$C$2:$C$2502,A42)</f>
        <v>12</v>
      </c>
      <c r="J42" s="5" t="s">
        <v>228</v>
      </c>
    </row>
    <row r="43" customFormat="false" ht="23.85" hidden="false" customHeight="false" outlineLevel="0" collapsed="false">
      <c r="A43" s="2" t="n">
        <v>42</v>
      </c>
      <c r="B43" s="3" t="s">
        <v>229</v>
      </c>
      <c r="C43" s="5" t="s">
        <v>230</v>
      </c>
      <c r="D43" s="2" t="n">
        <v>3</v>
      </c>
      <c r="E43" s="5" t="s">
        <v>231</v>
      </c>
      <c r="F43" s="4" t="s">
        <v>232</v>
      </c>
      <c r="G43" s="4" t="s">
        <v>233</v>
      </c>
      <c r="H43" s="4" t="s">
        <v>234</v>
      </c>
      <c r="I43" s="2" t="n">
        <f aca="false">COUNTIF(Kanji!$C$2:$C$2502,A43)</f>
        <v>4</v>
      </c>
      <c r="J43" s="5" t="s">
        <v>235</v>
      </c>
    </row>
    <row r="44" customFormat="false" ht="32.8" hidden="false" customHeight="false" outlineLevel="0" collapsed="false">
      <c r="A44" s="2" t="n">
        <v>43</v>
      </c>
      <c r="B44" s="3" t="s">
        <v>236</v>
      </c>
      <c r="C44" s="5" t="s">
        <v>237</v>
      </c>
      <c r="D44" s="2" t="n">
        <v>3</v>
      </c>
      <c r="E44" s="5" t="s">
        <v>238</v>
      </c>
      <c r="F44" s="4" t="s">
        <v>239</v>
      </c>
      <c r="G44" s="4" t="s">
        <v>240</v>
      </c>
      <c r="H44" s="4" t="s">
        <v>58</v>
      </c>
      <c r="I44" s="2" t="n">
        <f aca="false">COUNTIF(Kanji!$C$2:$C$2502,A44)</f>
        <v>1</v>
      </c>
      <c r="J44" s="5" t="s">
        <v>241</v>
      </c>
    </row>
    <row r="45" customFormat="false" ht="23.85" hidden="false" customHeight="false" outlineLevel="0" collapsed="false">
      <c r="A45" s="2" t="n">
        <v>44</v>
      </c>
      <c r="B45" s="3" t="s">
        <v>242</v>
      </c>
      <c r="C45" s="4"/>
      <c r="D45" s="2" t="n">
        <v>3</v>
      </c>
      <c r="E45" s="5" t="s">
        <v>243</v>
      </c>
      <c r="F45" s="4" t="s">
        <v>244</v>
      </c>
      <c r="G45" s="4" t="s">
        <v>245</v>
      </c>
      <c r="H45" s="4" t="s">
        <v>58</v>
      </c>
      <c r="I45" s="2" t="n">
        <f aca="false">COUNTIF(Kanji!$C$2:$C$2502,A45)</f>
        <v>17</v>
      </c>
      <c r="J45" s="5" t="s">
        <v>246</v>
      </c>
    </row>
    <row r="46" customFormat="false" ht="23.85" hidden="false" customHeight="false" outlineLevel="0" collapsed="false">
      <c r="A46" s="2" t="n">
        <v>45</v>
      </c>
      <c r="B46" s="3" t="s">
        <v>247</v>
      </c>
      <c r="C46" s="4"/>
      <c r="D46" s="2" t="n">
        <v>3</v>
      </c>
      <c r="E46" s="5" t="s">
        <v>248</v>
      </c>
      <c r="F46" s="4" t="s">
        <v>249</v>
      </c>
      <c r="G46" s="4" t="s">
        <v>250</v>
      </c>
      <c r="H46" s="4" t="s">
        <v>251</v>
      </c>
      <c r="I46" s="2" t="n">
        <f aca="false">COUNTIF(Kanji!$C$2:$C$2502,A46)</f>
        <v>1</v>
      </c>
      <c r="J46" s="5" t="s">
        <v>252</v>
      </c>
    </row>
    <row r="47" customFormat="false" ht="23.85" hidden="false" customHeight="false" outlineLevel="0" collapsed="false">
      <c r="A47" s="2" t="n">
        <v>46</v>
      </c>
      <c r="B47" s="3" t="s">
        <v>253</v>
      </c>
      <c r="C47" s="4"/>
      <c r="D47" s="2" t="n">
        <v>3</v>
      </c>
      <c r="E47" s="5" t="s">
        <v>254</v>
      </c>
      <c r="F47" s="4" t="s">
        <v>255</v>
      </c>
      <c r="G47" s="4" t="s">
        <v>256</v>
      </c>
      <c r="H47" s="4" t="s">
        <v>92</v>
      </c>
      <c r="I47" s="2" t="n">
        <f aca="false">COUNTIF(Kanji!$C$2:$C$2502,A47)</f>
        <v>26</v>
      </c>
      <c r="J47" s="5" t="s">
        <v>257</v>
      </c>
    </row>
    <row r="48" customFormat="false" ht="23.85" hidden="false" customHeight="false" outlineLevel="0" collapsed="false">
      <c r="A48" s="2" t="n">
        <v>47</v>
      </c>
      <c r="B48" s="3" t="s">
        <v>258</v>
      </c>
      <c r="C48" s="5" t="s">
        <v>259</v>
      </c>
      <c r="D48" s="2" t="n">
        <v>3</v>
      </c>
      <c r="E48" s="5" t="s">
        <v>260</v>
      </c>
      <c r="F48" s="4" t="s">
        <v>261</v>
      </c>
      <c r="G48" s="4" t="s">
        <v>262</v>
      </c>
      <c r="H48" s="4" t="s">
        <v>92</v>
      </c>
      <c r="I48" s="2" t="n">
        <f aca="false">COUNTIF(Kanji!$C$2:$C$2502,A48)</f>
        <v>3</v>
      </c>
      <c r="J48" s="5" t="s">
        <v>263</v>
      </c>
    </row>
    <row r="49" customFormat="false" ht="23.85" hidden="false" customHeight="false" outlineLevel="0" collapsed="false">
      <c r="A49" s="2" t="n">
        <v>48</v>
      </c>
      <c r="B49" s="3" t="s">
        <v>264</v>
      </c>
      <c r="C49" s="4"/>
      <c r="D49" s="2" t="n">
        <v>3</v>
      </c>
      <c r="E49" s="5" t="s">
        <v>265</v>
      </c>
      <c r="F49" s="4" t="s">
        <v>266</v>
      </c>
      <c r="G49" s="4" t="s">
        <v>267</v>
      </c>
      <c r="H49" s="4" t="s">
        <v>98</v>
      </c>
      <c r="I49" s="2" t="n">
        <f aca="false">COUNTIF(Kanji!$C$2:$C$2502,A49)</f>
        <v>5</v>
      </c>
      <c r="J49" s="5" t="s">
        <v>268</v>
      </c>
    </row>
    <row r="50" customFormat="false" ht="23.85" hidden="false" customHeight="false" outlineLevel="0" collapsed="false">
      <c r="A50" s="2" t="n">
        <v>49</v>
      </c>
      <c r="B50" s="3" t="s">
        <v>269</v>
      </c>
      <c r="C50" s="4"/>
      <c r="D50" s="2" t="n">
        <v>3</v>
      </c>
      <c r="E50" s="5" t="s">
        <v>270</v>
      </c>
      <c r="F50" s="4" t="s">
        <v>271</v>
      </c>
      <c r="G50" s="4" t="s">
        <v>272</v>
      </c>
      <c r="H50" s="4" t="s">
        <v>160</v>
      </c>
      <c r="I50" s="2" t="n">
        <f aca="false">COUNTIF(Kanji!$C$2:$C$2502,A50)</f>
        <v>7</v>
      </c>
      <c r="J50" s="5" t="s">
        <v>273</v>
      </c>
    </row>
    <row r="51" customFormat="false" ht="23.85" hidden="false" customHeight="false" outlineLevel="0" collapsed="false">
      <c r="A51" s="2" t="n">
        <v>50</v>
      </c>
      <c r="B51" s="3" t="s">
        <v>274</v>
      </c>
      <c r="C51" s="4"/>
      <c r="D51" s="2" t="n">
        <v>3</v>
      </c>
      <c r="E51" s="5" t="s">
        <v>275</v>
      </c>
      <c r="F51" s="4" t="s">
        <v>276</v>
      </c>
      <c r="G51" s="4" t="s">
        <v>277</v>
      </c>
      <c r="H51" s="4" t="s">
        <v>98</v>
      </c>
      <c r="I51" s="2" t="n">
        <f aca="false">COUNTIF(Kanji!$C$2:$C$2502,A51)</f>
        <v>19</v>
      </c>
      <c r="J51" s="5" t="s">
        <v>278</v>
      </c>
    </row>
    <row r="52" customFormat="false" ht="23.85" hidden="false" customHeight="false" outlineLevel="0" collapsed="false">
      <c r="A52" s="2" t="n">
        <v>51</v>
      </c>
      <c r="B52" s="3" t="s">
        <v>279</v>
      </c>
      <c r="C52" s="4"/>
      <c r="D52" s="2" t="n">
        <v>3</v>
      </c>
      <c r="E52" s="5" t="s">
        <v>280</v>
      </c>
      <c r="F52" s="4" t="s">
        <v>281</v>
      </c>
      <c r="G52" s="4" t="s">
        <v>282</v>
      </c>
      <c r="H52" s="4" t="s">
        <v>234</v>
      </c>
      <c r="I52" s="2" t="n">
        <f aca="false">COUNTIF(Kanji!$C$2:$C$2502,A52)</f>
        <v>5</v>
      </c>
      <c r="J52" s="5" t="s">
        <v>283</v>
      </c>
    </row>
    <row r="53" customFormat="false" ht="23.85" hidden="false" customHeight="false" outlineLevel="0" collapsed="false">
      <c r="A53" s="2" t="n">
        <v>52</v>
      </c>
      <c r="B53" s="3" t="s">
        <v>284</v>
      </c>
      <c r="C53" s="4"/>
      <c r="D53" s="2" t="n">
        <v>3</v>
      </c>
      <c r="E53" s="5" t="s">
        <v>285</v>
      </c>
      <c r="F53" s="4" t="s">
        <v>286</v>
      </c>
      <c r="G53" s="4" t="s">
        <v>287</v>
      </c>
      <c r="H53" s="4" t="s">
        <v>234</v>
      </c>
      <c r="I53" s="2" t="n">
        <f aca="false">COUNTIF(Kanji!$C$2:$C$2502,A53)</f>
        <v>4</v>
      </c>
      <c r="J53" s="5" t="s">
        <v>288</v>
      </c>
    </row>
    <row r="54" customFormat="false" ht="26.85" hidden="false" customHeight="false" outlineLevel="0" collapsed="false">
      <c r="A54" s="2" t="n">
        <v>53</v>
      </c>
      <c r="B54" s="3" t="s">
        <v>289</v>
      </c>
      <c r="C54" s="4"/>
      <c r="D54" s="2" t="n">
        <v>3</v>
      </c>
      <c r="E54" s="5" t="s">
        <v>290</v>
      </c>
      <c r="F54" s="4" t="s">
        <v>291</v>
      </c>
      <c r="G54" s="4" t="s">
        <v>292</v>
      </c>
      <c r="H54" s="4" t="s">
        <v>51</v>
      </c>
      <c r="I54" s="2" t="n">
        <f aca="false">COUNTIF(Kanji!$C$2:$C$2502,A54)</f>
        <v>21</v>
      </c>
      <c r="J54" s="5" t="s">
        <v>293</v>
      </c>
    </row>
    <row r="55" customFormat="false" ht="23.85" hidden="false" customHeight="false" outlineLevel="0" collapsed="false">
      <c r="A55" s="2" t="n">
        <v>54</v>
      </c>
      <c r="B55" s="3" t="s">
        <v>294</v>
      </c>
      <c r="C55" s="4"/>
      <c r="D55" s="2" t="n">
        <v>3</v>
      </c>
      <c r="E55" s="5" t="s">
        <v>295</v>
      </c>
      <c r="F55" s="4" t="s">
        <v>296</v>
      </c>
      <c r="G55" s="4" t="s">
        <v>297</v>
      </c>
      <c r="H55" s="4" t="s">
        <v>70</v>
      </c>
      <c r="I55" s="2" t="n">
        <f aca="false">COUNTIF(Kanji!$C$2:$C$2502,A55)</f>
        <v>3</v>
      </c>
      <c r="J55" s="5" t="s">
        <v>298</v>
      </c>
    </row>
    <row r="56" customFormat="false" ht="23.85" hidden="false" customHeight="false" outlineLevel="0" collapsed="false">
      <c r="A56" s="2" t="n">
        <v>55</v>
      </c>
      <c r="B56" s="3" t="s">
        <v>299</v>
      </c>
      <c r="C56" s="4"/>
      <c r="D56" s="2" t="n">
        <v>3</v>
      </c>
      <c r="E56" s="5" t="s">
        <v>300</v>
      </c>
      <c r="F56" s="4" t="s">
        <v>301</v>
      </c>
      <c r="G56" s="4" t="s">
        <v>302</v>
      </c>
      <c r="H56" s="4" t="s">
        <v>70</v>
      </c>
      <c r="I56" s="2" t="n">
        <f aca="false">COUNTIF(Kanji!$C$2:$C$2502,A56)</f>
        <v>2</v>
      </c>
      <c r="J56" s="5" t="s">
        <v>303</v>
      </c>
    </row>
    <row r="57" customFormat="false" ht="23.85" hidden="false" customHeight="false" outlineLevel="0" collapsed="false">
      <c r="A57" s="2" t="n">
        <v>56</v>
      </c>
      <c r="B57" s="3" t="s">
        <v>304</v>
      </c>
      <c r="C57" s="4"/>
      <c r="D57" s="2" t="n">
        <v>3</v>
      </c>
      <c r="E57" s="5" t="s">
        <v>305</v>
      </c>
      <c r="F57" s="4" t="s">
        <v>306</v>
      </c>
      <c r="G57" s="4" t="s">
        <v>307</v>
      </c>
      <c r="H57" s="4" t="s">
        <v>98</v>
      </c>
      <c r="I57" s="2" t="n">
        <f aca="false">COUNTIF(Kanji!$C$2:$C$2502,A57)</f>
        <v>1</v>
      </c>
      <c r="J57" s="5" t="s">
        <v>308</v>
      </c>
    </row>
    <row r="58" customFormat="false" ht="23.85" hidden="false" customHeight="false" outlineLevel="0" collapsed="false">
      <c r="A58" s="2" t="n">
        <v>57</v>
      </c>
      <c r="B58" s="3" t="s">
        <v>309</v>
      </c>
      <c r="C58" s="4"/>
      <c r="D58" s="2" t="n">
        <v>3</v>
      </c>
      <c r="E58" s="5" t="s">
        <v>310</v>
      </c>
      <c r="F58" s="4" t="s">
        <v>311</v>
      </c>
      <c r="G58" s="4" t="s">
        <v>312</v>
      </c>
      <c r="H58" s="4" t="s">
        <v>98</v>
      </c>
      <c r="I58" s="2" t="n">
        <f aca="false">COUNTIF(Kanji!$C$2:$C$2502,A58)</f>
        <v>13</v>
      </c>
      <c r="J58" s="5" t="s">
        <v>313</v>
      </c>
    </row>
    <row r="59" customFormat="false" ht="23.85" hidden="false" customHeight="false" outlineLevel="0" collapsed="false">
      <c r="A59" s="2" t="n">
        <v>58</v>
      </c>
      <c r="B59" s="3" t="s">
        <v>314</v>
      </c>
      <c r="C59" s="5" t="s">
        <v>315</v>
      </c>
      <c r="D59" s="2" t="n">
        <v>3</v>
      </c>
      <c r="E59" s="5" t="s">
        <v>316</v>
      </c>
      <c r="F59" s="4" t="s">
        <v>317</v>
      </c>
      <c r="G59" s="4" t="s">
        <v>318</v>
      </c>
      <c r="H59" s="4" t="s">
        <v>160</v>
      </c>
      <c r="I59" s="2" t="n">
        <f aca="false">COUNTIF(Kanji!$C$2:$C$2502,A59)</f>
        <v>2</v>
      </c>
      <c r="J59" s="5" t="s">
        <v>319</v>
      </c>
    </row>
    <row r="60" customFormat="false" ht="23.85" hidden="false" customHeight="false" outlineLevel="0" collapsed="false">
      <c r="A60" s="2" t="n">
        <v>59</v>
      </c>
      <c r="B60" s="3" t="s">
        <v>320</v>
      </c>
      <c r="C60" s="4"/>
      <c r="D60" s="2" t="n">
        <v>3</v>
      </c>
      <c r="E60" s="5" t="s">
        <v>321</v>
      </c>
      <c r="F60" s="4" t="s">
        <v>322</v>
      </c>
      <c r="G60" s="4" t="s">
        <v>323</v>
      </c>
      <c r="H60" s="4" t="s">
        <v>166</v>
      </c>
      <c r="I60" s="2" t="n">
        <f aca="false">COUNTIF(Kanji!$C$2:$C$2502,A60)</f>
        <v>9</v>
      </c>
      <c r="J60" s="5" t="s">
        <v>324</v>
      </c>
    </row>
    <row r="61" customFormat="false" ht="23.85" hidden="false" customHeight="false" outlineLevel="0" collapsed="false">
      <c r="A61" s="2" t="n">
        <v>60</v>
      </c>
      <c r="B61" s="3" t="s">
        <v>325</v>
      </c>
      <c r="C61" s="4"/>
      <c r="D61" s="2" t="n">
        <v>3</v>
      </c>
      <c r="E61" s="5" t="s">
        <v>326</v>
      </c>
      <c r="F61" s="4" t="s">
        <v>327</v>
      </c>
      <c r="G61" s="4" t="s">
        <v>328</v>
      </c>
      <c r="H61" s="4" t="s">
        <v>70</v>
      </c>
      <c r="I61" s="2" t="n">
        <f aca="false">COUNTIF(Kanji!$C$2:$C$2502,A61)</f>
        <v>20</v>
      </c>
      <c r="J61" s="5" t="s">
        <v>329</v>
      </c>
    </row>
    <row r="62" customFormat="false" ht="48.5" hidden="false" customHeight="false" outlineLevel="0" collapsed="false">
      <c r="A62" s="2" t="n">
        <v>61</v>
      </c>
      <c r="B62" s="3" t="s">
        <v>330</v>
      </c>
      <c r="C62" s="5" t="s">
        <v>331</v>
      </c>
      <c r="D62" s="2" t="n">
        <v>4</v>
      </c>
      <c r="E62" s="5" t="s">
        <v>332</v>
      </c>
      <c r="F62" s="4" t="s">
        <v>333</v>
      </c>
      <c r="G62" s="4" t="s">
        <v>334</v>
      </c>
      <c r="H62" s="4" t="s">
        <v>166</v>
      </c>
      <c r="I62" s="2" t="n">
        <f aca="false">COUNTIF(Kanji!$C$2:$C$2502,A62)</f>
        <v>81</v>
      </c>
      <c r="J62" s="5" t="s">
        <v>335</v>
      </c>
    </row>
    <row r="63" customFormat="false" ht="23.85" hidden="false" customHeight="false" outlineLevel="0" collapsed="false">
      <c r="A63" s="2" t="n">
        <v>62</v>
      </c>
      <c r="B63" s="3" t="s">
        <v>336</v>
      </c>
      <c r="C63" s="4"/>
      <c r="D63" s="2" t="n">
        <v>4</v>
      </c>
      <c r="E63" s="5" t="s">
        <v>337</v>
      </c>
      <c r="F63" s="4" t="s">
        <v>338</v>
      </c>
      <c r="G63" s="4" t="s">
        <v>339</v>
      </c>
      <c r="H63" s="4" t="s">
        <v>98</v>
      </c>
      <c r="I63" s="2" t="n">
        <f aca="false">COUNTIF(Kanji!$C$2:$C$2502,A63)</f>
        <v>7</v>
      </c>
      <c r="J63" s="5" t="s">
        <v>340</v>
      </c>
    </row>
    <row r="64" customFormat="false" ht="26.85" hidden="false" customHeight="false" outlineLevel="0" collapsed="false">
      <c r="A64" s="2" t="n">
        <v>63</v>
      </c>
      <c r="B64" s="3" t="s">
        <v>341</v>
      </c>
      <c r="C64" s="5" t="s">
        <v>342</v>
      </c>
      <c r="D64" s="2" t="n">
        <v>4</v>
      </c>
      <c r="E64" s="5" t="s">
        <v>343</v>
      </c>
      <c r="F64" s="4" t="s">
        <v>344</v>
      </c>
      <c r="G64" s="4" t="s">
        <v>345</v>
      </c>
      <c r="H64" s="4" t="s">
        <v>51</v>
      </c>
      <c r="I64" s="2" t="n">
        <f aca="false">COUNTIF(Kanji!$C$2:$C$2502,A64)</f>
        <v>6</v>
      </c>
      <c r="J64" s="5" t="s">
        <v>346</v>
      </c>
    </row>
    <row r="65" customFormat="false" ht="48.5" hidden="false" customHeight="false" outlineLevel="0" collapsed="false">
      <c r="A65" s="2" t="n">
        <v>64</v>
      </c>
      <c r="B65" s="3" t="s">
        <v>347</v>
      </c>
      <c r="C65" s="5" t="s">
        <v>348</v>
      </c>
      <c r="D65" s="2" t="n">
        <v>4</v>
      </c>
      <c r="E65" s="5" t="s">
        <v>349</v>
      </c>
      <c r="F65" s="4" t="s">
        <v>350</v>
      </c>
      <c r="G65" s="4" t="s">
        <v>351</v>
      </c>
      <c r="H65" s="4" t="s">
        <v>166</v>
      </c>
      <c r="I65" s="2" t="n">
        <f aca="false">COUNTIF(Kanji!$C$2:$C$2502,A65)</f>
        <v>99</v>
      </c>
      <c r="J65" s="5" t="s">
        <v>352</v>
      </c>
    </row>
    <row r="66" customFormat="false" ht="23.85" hidden="false" customHeight="false" outlineLevel="0" collapsed="false">
      <c r="A66" s="2" t="n">
        <v>65</v>
      </c>
      <c r="B66" s="3" t="s">
        <v>353</v>
      </c>
      <c r="C66" s="4"/>
      <c r="D66" s="2" t="n">
        <v>4</v>
      </c>
      <c r="E66" s="5" t="s">
        <v>354</v>
      </c>
      <c r="F66" s="4" t="s">
        <v>355</v>
      </c>
      <c r="G66" s="4" t="s">
        <v>356</v>
      </c>
      <c r="H66" s="4" t="s">
        <v>70</v>
      </c>
      <c r="I66" s="2" t="n">
        <f aca="false">COUNTIF(Kanji!$C$2:$C$2502,A66)</f>
        <v>1</v>
      </c>
      <c r="J66" s="5" t="s">
        <v>353</v>
      </c>
    </row>
    <row r="67" customFormat="false" ht="23.85" hidden="false" customHeight="false" outlineLevel="0" collapsed="false">
      <c r="A67" s="2" t="n">
        <v>66</v>
      </c>
      <c r="B67" s="3" t="s">
        <v>357</v>
      </c>
      <c r="C67" s="5" t="s">
        <v>358</v>
      </c>
      <c r="D67" s="2" t="n">
        <v>4</v>
      </c>
      <c r="E67" s="5" t="s">
        <v>359</v>
      </c>
      <c r="F67" s="4" t="s">
        <v>360</v>
      </c>
      <c r="G67" s="4" t="s">
        <v>361</v>
      </c>
      <c r="H67" s="4" t="s">
        <v>70</v>
      </c>
      <c r="I67" s="2" t="n">
        <f aca="false">COUNTIF(Kanji!$C$2:$C$2502,A67)</f>
        <v>17</v>
      </c>
      <c r="J67" s="5" t="s">
        <v>362</v>
      </c>
    </row>
    <row r="68" customFormat="false" ht="23.85" hidden="false" customHeight="false" outlineLevel="0" collapsed="false">
      <c r="A68" s="2" t="n">
        <v>67</v>
      </c>
      <c r="B68" s="3" t="s">
        <v>363</v>
      </c>
      <c r="C68" s="4"/>
      <c r="D68" s="2" t="n">
        <v>4</v>
      </c>
      <c r="E68" s="5" t="s">
        <v>364</v>
      </c>
      <c r="F68" s="4" t="s">
        <v>365</v>
      </c>
      <c r="G68" s="4" t="s">
        <v>366</v>
      </c>
      <c r="H68" s="4" t="s">
        <v>367</v>
      </c>
      <c r="I68" s="2" t="n">
        <f aca="false">COUNTIF(Kanji!$C$2:$C$2502,A68)</f>
        <v>5</v>
      </c>
      <c r="J68" s="5" t="s">
        <v>368</v>
      </c>
    </row>
    <row r="69" customFormat="false" ht="23.85" hidden="false" customHeight="false" outlineLevel="0" collapsed="false">
      <c r="A69" s="2" t="n">
        <v>68</v>
      </c>
      <c r="B69" s="3" t="s">
        <v>369</v>
      </c>
      <c r="C69" s="4"/>
      <c r="D69" s="2" t="n">
        <v>4</v>
      </c>
      <c r="E69" s="5" t="s">
        <v>370</v>
      </c>
      <c r="F69" s="4" t="s">
        <v>371</v>
      </c>
      <c r="G69" s="4" t="s">
        <v>372</v>
      </c>
      <c r="H69" s="4" t="s">
        <v>98</v>
      </c>
      <c r="I69" s="2" t="n">
        <f aca="false">COUNTIF(Kanji!$C$2:$C$2502,A69)</f>
        <v>3</v>
      </c>
      <c r="J69" s="5" t="s">
        <v>373</v>
      </c>
    </row>
    <row r="70" customFormat="false" ht="23.85" hidden="false" customHeight="false" outlineLevel="0" collapsed="false">
      <c r="A70" s="2" t="n">
        <v>69</v>
      </c>
      <c r="B70" s="3" t="s">
        <v>374</v>
      </c>
      <c r="C70" s="4"/>
      <c r="D70" s="2" t="n">
        <v>4</v>
      </c>
      <c r="E70" s="5" t="s">
        <v>375</v>
      </c>
      <c r="F70" s="4" t="s">
        <v>376</v>
      </c>
      <c r="G70" s="4" t="s">
        <v>377</v>
      </c>
      <c r="H70" s="4" t="s">
        <v>98</v>
      </c>
      <c r="I70" s="2" t="n">
        <f aca="false">COUNTIF(Kanji!$C$2:$C$2502,A70)</f>
        <v>4</v>
      </c>
      <c r="J70" s="5" t="s">
        <v>378</v>
      </c>
    </row>
    <row r="71" customFormat="false" ht="23.85" hidden="false" customHeight="false" outlineLevel="0" collapsed="false">
      <c r="A71" s="2" t="n">
        <v>70</v>
      </c>
      <c r="B71" s="3" t="s">
        <v>379</v>
      </c>
      <c r="C71" s="4"/>
      <c r="D71" s="2" t="n">
        <v>4</v>
      </c>
      <c r="E71" s="5" t="s">
        <v>380</v>
      </c>
      <c r="F71" s="4" t="s">
        <v>381</v>
      </c>
      <c r="G71" s="4" t="s">
        <v>382</v>
      </c>
      <c r="H71" s="4" t="s">
        <v>160</v>
      </c>
      <c r="I71" s="2" t="n">
        <f aca="false">COUNTIF(Kanji!$C$2:$C$2502,A71)</f>
        <v>8</v>
      </c>
      <c r="J71" s="5" t="s">
        <v>383</v>
      </c>
    </row>
    <row r="72" customFormat="false" ht="23.85" hidden="false" customHeight="false" outlineLevel="0" collapsed="false">
      <c r="A72" s="2" t="n">
        <v>71</v>
      </c>
      <c r="B72" s="3" t="s">
        <v>384</v>
      </c>
      <c r="C72" s="5" t="s">
        <v>385</v>
      </c>
      <c r="D72" s="2" t="n">
        <v>4</v>
      </c>
      <c r="E72" s="5" t="s">
        <v>386</v>
      </c>
      <c r="F72" s="4" t="s">
        <v>387</v>
      </c>
      <c r="G72" s="4" t="s">
        <v>388</v>
      </c>
      <c r="H72" s="4" t="s">
        <v>160</v>
      </c>
      <c r="I72" s="2" t="n">
        <f aca="false">COUNTIF(Kanji!$C$2:$C$2502,A72)</f>
        <v>1</v>
      </c>
      <c r="J72" s="5" t="s">
        <v>389</v>
      </c>
    </row>
    <row r="73" customFormat="false" ht="32.8" hidden="false" customHeight="false" outlineLevel="0" collapsed="false">
      <c r="A73" s="2" t="n">
        <v>72</v>
      </c>
      <c r="B73" s="3" t="s">
        <v>390</v>
      </c>
      <c r="C73" s="4"/>
      <c r="D73" s="2" t="n">
        <v>4</v>
      </c>
      <c r="E73" s="5" t="s">
        <v>391</v>
      </c>
      <c r="F73" s="4" t="s">
        <v>392</v>
      </c>
      <c r="G73" s="4" t="s">
        <v>393</v>
      </c>
      <c r="H73" s="4" t="s">
        <v>202</v>
      </c>
      <c r="I73" s="2" t="n">
        <f aca="false">COUNTIF(Kanji!$C$2:$C$2502,A73)</f>
        <v>43</v>
      </c>
      <c r="J73" s="5" t="s">
        <v>394</v>
      </c>
    </row>
    <row r="74" customFormat="false" ht="23.85" hidden="false" customHeight="false" outlineLevel="0" collapsed="false">
      <c r="A74" s="2" t="n">
        <v>73</v>
      </c>
      <c r="B74" s="3" t="s">
        <v>395</v>
      </c>
      <c r="C74" s="4"/>
      <c r="D74" s="2" t="n">
        <v>4</v>
      </c>
      <c r="E74" s="5" t="s">
        <v>396</v>
      </c>
      <c r="F74" s="4" t="s">
        <v>397</v>
      </c>
      <c r="G74" s="4" t="s">
        <v>398</v>
      </c>
      <c r="H74" s="4" t="s">
        <v>367</v>
      </c>
      <c r="I74" s="2" t="n">
        <f aca="false">COUNTIF(Kanji!$C$2:$C$2502,A74)</f>
        <v>7</v>
      </c>
      <c r="J74" s="5" t="s">
        <v>399</v>
      </c>
    </row>
    <row r="75" customFormat="false" ht="23.85" hidden="false" customHeight="false" outlineLevel="0" collapsed="false">
      <c r="A75" s="2" t="n">
        <v>74</v>
      </c>
      <c r="B75" s="3" t="s">
        <v>400</v>
      </c>
      <c r="C75" s="4"/>
      <c r="D75" s="2" t="n">
        <v>4</v>
      </c>
      <c r="E75" s="5" t="s">
        <v>401</v>
      </c>
      <c r="F75" s="4" t="s">
        <v>402</v>
      </c>
      <c r="G75" s="4" t="s">
        <v>403</v>
      </c>
      <c r="H75" s="4" t="s">
        <v>202</v>
      </c>
      <c r="I75" s="2" t="n">
        <f aca="false">COUNTIF(Kanji!$C$2:$C$2502,A75)</f>
        <v>9</v>
      </c>
      <c r="J75" s="5" t="s">
        <v>404</v>
      </c>
    </row>
    <row r="76" customFormat="false" ht="64.15" hidden="false" customHeight="false" outlineLevel="0" collapsed="false">
      <c r="A76" s="2" t="n">
        <v>75</v>
      </c>
      <c r="B76" s="3" t="s">
        <v>405</v>
      </c>
      <c r="C76" s="4"/>
      <c r="D76" s="2" t="n">
        <v>4</v>
      </c>
      <c r="E76" s="5" t="s">
        <v>406</v>
      </c>
      <c r="F76" s="4" t="s">
        <v>407</v>
      </c>
      <c r="G76" s="4" t="s">
        <v>408</v>
      </c>
      <c r="H76" s="4" t="s">
        <v>251</v>
      </c>
      <c r="I76" s="2" t="n">
        <f aca="false">COUNTIF(Kanji!$C$2:$C$2502,A76)</f>
        <v>126</v>
      </c>
      <c r="J76" s="5" t="s">
        <v>409</v>
      </c>
    </row>
    <row r="77" customFormat="false" ht="23.85" hidden="false" customHeight="false" outlineLevel="0" collapsed="false">
      <c r="A77" s="2" t="n">
        <v>76</v>
      </c>
      <c r="B77" s="3" t="s">
        <v>410</v>
      </c>
      <c r="C77" s="4"/>
      <c r="D77" s="2" t="n">
        <v>4</v>
      </c>
      <c r="E77" s="5" t="s">
        <v>411</v>
      </c>
      <c r="F77" s="4" t="s">
        <v>412</v>
      </c>
      <c r="G77" s="4" t="s">
        <v>413</v>
      </c>
      <c r="H77" s="4" t="s">
        <v>166</v>
      </c>
      <c r="I77" s="2" t="n">
        <f aca="false">COUNTIF(Kanji!$C$2:$C$2502,A77)</f>
        <v>10</v>
      </c>
      <c r="J77" s="5" t="s">
        <v>414</v>
      </c>
    </row>
    <row r="78" customFormat="false" ht="23.85" hidden="false" customHeight="false" outlineLevel="0" collapsed="false">
      <c r="A78" s="2" t="n">
        <v>77</v>
      </c>
      <c r="B78" s="3" t="s">
        <v>415</v>
      </c>
      <c r="C78" s="4"/>
      <c r="D78" s="2" t="n">
        <v>4</v>
      </c>
      <c r="E78" s="5" t="s">
        <v>416</v>
      </c>
      <c r="F78" s="4" t="s">
        <v>417</v>
      </c>
      <c r="G78" s="4" t="s">
        <v>418</v>
      </c>
      <c r="H78" s="4" t="s">
        <v>70</v>
      </c>
      <c r="I78" s="2" t="n">
        <f aca="false">COUNTIF(Kanji!$C$2:$C$2502,A78)</f>
        <v>9</v>
      </c>
      <c r="J78" s="5" t="s">
        <v>419</v>
      </c>
    </row>
    <row r="79" customFormat="false" ht="23.85" hidden="false" customHeight="false" outlineLevel="0" collapsed="false">
      <c r="A79" s="2" t="n">
        <v>78</v>
      </c>
      <c r="B79" s="3" t="s">
        <v>420</v>
      </c>
      <c r="C79" s="5" t="s">
        <v>421</v>
      </c>
      <c r="D79" s="2" t="n">
        <v>4</v>
      </c>
      <c r="E79" s="5" t="s">
        <v>422</v>
      </c>
      <c r="F79" s="4" t="s">
        <v>423</v>
      </c>
      <c r="G79" s="4" t="s">
        <v>424</v>
      </c>
      <c r="H79" s="4" t="s">
        <v>58</v>
      </c>
      <c r="I79" s="2" t="n">
        <f aca="false">COUNTIF(Kanji!$C$2:$C$2502,A79)</f>
        <v>5</v>
      </c>
      <c r="J79" s="5" t="s">
        <v>425</v>
      </c>
    </row>
    <row r="80" customFormat="false" ht="23.85" hidden="false" customHeight="false" outlineLevel="0" collapsed="false">
      <c r="A80" s="2" t="n">
        <v>79</v>
      </c>
      <c r="B80" s="3" t="s">
        <v>426</v>
      </c>
      <c r="C80" s="4"/>
      <c r="D80" s="2" t="n">
        <v>4</v>
      </c>
      <c r="E80" s="5" t="s">
        <v>427</v>
      </c>
      <c r="F80" s="4" t="s">
        <v>428</v>
      </c>
      <c r="G80" s="4" t="s">
        <v>429</v>
      </c>
      <c r="H80" s="4" t="s">
        <v>98</v>
      </c>
      <c r="I80" s="2" t="n">
        <f aca="false">COUNTIF(Kanji!$C$2:$C$2502,A80)</f>
        <v>6</v>
      </c>
      <c r="J80" s="5" t="s">
        <v>430</v>
      </c>
    </row>
    <row r="81" customFormat="false" ht="23.85" hidden="false" customHeight="false" outlineLevel="0" collapsed="false">
      <c r="A81" s="2" t="n">
        <v>80</v>
      </c>
      <c r="B81" s="3" t="s">
        <v>431</v>
      </c>
      <c r="C81" s="4"/>
      <c r="D81" s="2" t="n">
        <v>4</v>
      </c>
      <c r="E81" s="5" t="s">
        <v>432</v>
      </c>
      <c r="F81" s="4" t="s">
        <v>433</v>
      </c>
      <c r="G81" s="4" t="s">
        <v>434</v>
      </c>
      <c r="H81" s="4" t="s">
        <v>58</v>
      </c>
      <c r="I81" s="2" t="n">
        <f aca="false">COUNTIF(Kanji!$C$2:$C$2502,A81)</f>
        <v>3</v>
      </c>
      <c r="J81" s="5" t="s">
        <v>435</v>
      </c>
    </row>
    <row r="82" customFormat="false" ht="23.85" hidden="false" customHeight="false" outlineLevel="0" collapsed="false">
      <c r="A82" s="2" t="n">
        <v>81</v>
      </c>
      <c r="B82" s="3" t="s">
        <v>436</v>
      </c>
      <c r="C82" s="4"/>
      <c r="D82" s="2" t="n">
        <v>4</v>
      </c>
      <c r="E82" s="5" t="s">
        <v>437</v>
      </c>
      <c r="F82" s="4" t="s">
        <v>438</v>
      </c>
      <c r="G82" s="4" t="s">
        <v>439</v>
      </c>
      <c r="H82" s="4" t="s">
        <v>160</v>
      </c>
      <c r="I82" s="2" t="n">
        <f aca="false">COUNTIF(Kanji!$C$2:$C$2502,A82)</f>
        <v>1</v>
      </c>
      <c r="J82" s="5" t="s">
        <v>436</v>
      </c>
    </row>
    <row r="83" customFormat="false" ht="23.85" hidden="false" customHeight="false" outlineLevel="0" collapsed="false">
      <c r="A83" s="2" t="n">
        <v>82</v>
      </c>
      <c r="B83" s="3" t="s">
        <v>440</v>
      </c>
      <c r="C83" s="4"/>
      <c r="D83" s="2" t="n">
        <v>4</v>
      </c>
      <c r="E83" s="5" t="s">
        <v>441</v>
      </c>
      <c r="F83" s="4" t="s">
        <v>442</v>
      </c>
      <c r="G83" s="4" t="s">
        <v>443</v>
      </c>
      <c r="H83" s="4" t="s">
        <v>166</v>
      </c>
      <c r="I83" s="2" t="n">
        <f aca="false">COUNTIF(Kanji!$C$2:$C$2502,A83)</f>
        <v>2</v>
      </c>
      <c r="J83" s="5" t="s">
        <v>444</v>
      </c>
    </row>
    <row r="84" customFormat="false" ht="23.85" hidden="false" customHeight="false" outlineLevel="0" collapsed="false">
      <c r="A84" s="2" t="n">
        <v>83</v>
      </c>
      <c r="B84" s="3" t="s">
        <v>445</v>
      </c>
      <c r="C84" s="4"/>
      <c r="D84" s="2" t="n">
        <v>4</v>
      </c>
      <c r="E84" s="5" t="s">
        <v>446</v>
      </c>
      <c r="F84" s="4" t="s">
        <v>447</v>
      </c>
      <c r="G84" s="4" t="s">
        <v>448</v>
      </c>
      <c r="H84" s="4" t="s">
        <v>160</v>
      </c>
      <c r="I84" s="2" t="n">
        <f aca="false">COUNTIF(Kanji!$C$2:$C$2502,A84)</f>
        <v>2</v>
      </c>
      <c r="J84" s="5" t="s">
        <v>449</v>
      </c>
    </row>
    <row r="85" customFormat="false" ht="23.85" hidden="false" customHeight="false" outlineLevel="0" collapsed="false">
      <c r="A85" s="2" t="n">
        <v>84</v>
      </c>
      <c r="B85" s="3" t="s">
        <v>450</v>
      </c>
      <c r="C85" s="4"/>
      <c r="D85" s="2" t="n">
        <v>4</v>
      </c>
      <c r="E85" s="5" t="s">
        <v>451</v>
      </c>
      <c r="F85" s="4" t="s">
        <v>452</v>
      </c>
      <c r="G85" s="4" t="s">
        <v>453</v>
      </c>
      <c r="H85" s="4" t="s">
        <v>202</v>
      </c>
      <c r="I85" s="2" t="n">
        <f aca="false">COUNTIF(Kanji!$C$2:$C$2502,A85)</f>
        <v>1</v>
      </c>
      <c r="J85" s="5" t="s">
        <v>454</v>
      </c>
    </row>
    <row r="86" customFormat="false" ht="79.85" hidden="false" customHeight="false" outlineLevel="0" collapsed="false">
      <c r="A86" s="2" t="n">
        <v>85</v>
      </c>
      <c r="B86" s="3" t="s">
        <v>455</v>
      </c>
      <c r="C86" s="5" t="s">
        <v>456</v>
      </c>
      <c r="D86" s="2" t="n">
        <v>4</v>
      </c>
      <c r="E86" s="5" t="s">
        <v>457</v>
      </c>
      <c r="F86" s="4" t="s">
        <v>458</v>
      </c>
      <c r="G86" s="4" t="s">
        <v>459</v>
      </c>
      <c r="H86" s="4" t="s">
        <v>92</v>
      </c>
      <c r="I86" s="2" t="n">
        <f aca="false">COUNTIF(Kanji!$C$2:$C$2502,A86)</f>
        <v>139</v>
      </c>
      <c r="J86" s="5" t="s">
        <v>460</v>
      </c>
    </row>
    <row r="87" customFormat="false" ht="23.85" hidden="false" customHeight="false" outlineLevel="0" collapsed="false">
      <c r="A87" s="2" t="n">
        <v>86</v>
      </c>
      <c r="B87" s="3" t="s">
        <v>461</v>
      </c>
      <c r="C87" s="5" t="s">
        <v>462</v>
      </c>
      <c r="D87" s="2" t="n">
        <v>4</v>
      </c>
      <c r="E87" s="5" t="s">
        <v>463</v>
      </c>
      <c r="F87" s="4" t="s">
        <v>464</v>
      </c>
      <c r="G87" s="4" t="s">
        <v>465</v>
      </c>
      <c r="H87" s="4" t="s">
        <v>92</v>
      </c>
      <c r="I87" s="2" t="n">
        <f aca="false">COUNTIF(Kanji!$C$2:$C$2502,A87)</f>
        <v>33</v>
      </c>
      <c r="J87" s="5" t="s">
        <v>466</v>
      </c>
    </row>
    <row r="88" customFormat="false" ht="23.85" hidden="false" customHeight="false" outlineLevel="0" collapsed="false">
      <c r="A88" s="2" t="n">
        <v>87</v>
      </c>
      <c r="B88" s="3" t="s">
        <v>467</v>
      </c>
      <c r="C88" s="5" t="s">
        <v>468</v>
      </c>
      <c r="D88" s="2" t="n">
        <v>4</v>
      </c>
      <c r="E88" s="5" t="s">
        <v>469</v>
      </c>
      <c r="F88" s="4" t="s">
        <v>470</v>
      </c>
      <c r="G88" s="4" t="s">
        <v>471</v>
      </c>
      <c r="H88" s="4" t="s">
        <v>160</v>
      </c>
      <c r="I88" s="2" t="n">
        <f aca="false">COUNTIF(Kanji!$C$2:$C$2502,A88)</f>
        <v>1</v>
      </c>
      <c r="J88" s="5" t="s">
        <v>467</v>
      </c>
    </row>
    <row r="89" customFormat="false" ht="23.85" hidden="false" customHeight="false" outlineLevel="0" collapsed="false">
      <c r="A89" s="2" t="n">
        <v>88</v>
      </c>
      <c r="B89" s="3" t="s">
        <v>472</v>
      </c>
      <c r="C89" s="4"/>
      <c r="D89" s="2" t="n">
        <v>4</v>
      </c>
      <c r="E89" s="5" t="s">
        <v>473</v>
      </c>
      <c r="F89" s="4" t="s">
        <v>474</v>
      </c>
      <c r="G89" s="4" t="s">
        <v>475</v>
      </c>
      <c r="H89" s="4" t="s">
        <v>58</v>
      </c>
      <c r="I89" s="2" t="n">
        <f aca="false">COUNTIF(Kanji!$C$2:$C$2502,A89)</f>
        <v>1</v>
      </c>
      <c r="J89" s="5" t="s">
        <v>472</v>
      </c>
    </row>
    <row r="90" customFormat="false" ht="23.85" hidden="false" customHeight="false" outlineLevel="0" collapsed="false">
      <c r="A90" s="2" t="n">
        <v>89</v>
      </c>
      <c r="B90" s="3" t="s">
        <v>476</v>
      </c>
      <c r="C90" s="4"/>
      <c r="D90" s="2" t="n">
        <v>4</v>
      </c>
      <c r="E90" s="5" t="s">
        <v>477</v>
      </c>
      <c r="F90" s="4" t="s">
        <v>478</v>
      </c>
      <c r="G90" s="4" t="s">
        <v>479</v>
      </c>
      <c r="H90" s="4" t="s">
        <v>160</v>
      </c>
      <c r="I90" s="2" t="n">
        <f aca="false">COUNTIF(Kanji!$C$2:$C$2502,A90)</f>
        <v>1</v>
      </c>
      <c r="J90" s="5" t="s">
        <v>480</v>
      </c>
    </row>
    <row r="91" customFormat="false" ht="23.85" hidden="false" customHeight="false" outlineLevel="0" collapsed="false">
      <c r="A91" s="2" t="n">
        <v>90</v>
      </c>
      <c r="B91" s="3" t="s">
        <v>481</v>
      </c>
      <c r="C91" s="5" t="s">
        <v>482</v>
      </c>
      <c r="D91" s="2" t="n">
        <v>4</v>
      </c>
      <c r="E91" s="5" t="s">
        <v>483</v>
      </c>
      <c r="F91" s="4" t="s">
        <v>484</v>
      </c>
      <c r="G91" s="4" t="s">
        <v>485</v>
      </c>
      <c r="H91" s="4" t="s">
        <v>251</v>
      </c>
      <c r="I91" s="2" t="n">
        <f aca="false">COUNTIF(Kanji!$C$2:$C$2502,A91)</f>
        <v>0</v>
      </c>
      <c r="J91" s="4"/>
    </row>
    <row r="92" customFormat="false" ht="23.85" hidden="false" customHeight="false" outlineLevel="0" collapsed="false">
      <c r="A92" s="2" t="n">
        <v>91</v>
      </c>
      <c r="B92" s="3" t="s">
        <v>486</v>
      </c>
      <c r="C92" s="4"/>
      <c r="D92" s="2" t="n">
        <v>4</v>
      </c>
      <c r="E92" s="5" t="s">
        <v>487</v>
      </c>
      <c r="F92" s="4" t="s">
        <v>488</v>
      </c>
      <c r="G92" s="4" t="s">
        <v>489</v>
      </c>
      <c r="H92" s="4" t="s">
        <v>251</v>
      </c>
      <c r="I92" s="2" t="n">
        <f aca="false">COUNTIF(Kanji!$C$2:$C$2502,A92)</f>
        <v>3</v>
      </c>
      <c r="J92" s="5" t="s">
        <v>490</v>
      </c>
    </row>
    <row r="93" customFormat="false" ht="23.85" hidden="false" customHeight="false" outlineLevel="0" collapsed="false">
      <c r="A93" s="2" t="n">
        <v>92</v>
      </c>
      <c r="B93" s="3" t="s">
        <v>491</v>
      </c>
      <c r="C93" s="4"/>
      <c r="D93" s="2" t="n">
        <v>4</v>
      </c>
      <c r="E93" s="5" t="s">
        <v>492</v>
      </c>
      <c r="F93" s="4" t="s">
        <v>493</v>
      </c>
      <c r="G93" s="4" t="s">
        <v>494</v>
      </c>
      <c r="H93" s="4" t="s">
        <v>495</v>
      </c>
      <c r="I93" s="2" t="n">
        <f aca="false">COUNTIF(Kanji!$C$2:$C$2502,A93)</f>
        <v>1</v>
      </c>
      <c r="J93" s="5" t="s">
        <v>491</v>
      </c>
    </row>
    <row r="94" customFormat="false" ht="23.85" hidden="false" customHeight="false" outlineLevel="0" collapsed="false">
      <c r="A94" s="2" t="n">
        <v>93</v>
      </c>
      <c r="B94" s="3" t="s">
        <v>496</v>
      </c>
      <c r="C94" s="5" t="s">
        <v>497</v>
      </c>
      <c r="D94" s="2" t="n">
        <v>4</v>
      </c>
      <c r="E94" s="5" t="s">
        <v>498</v>
      </c>
      <c r="F94" s="4" t="s">
        <v>499</v>
      </c>
      <c r="G94" s="4" t="s">
        <v>500</v>
      </c>
      <c r="H94" s="4" t="s">
        <v>495</v>
      </c>
      <c r="I94" s="2" t="n">
        <f aca="false">COUNTIF(Kanji!$C$2:$C$2502,A94)</f>
        <v>11</v>
      </c>
      <c r="J94" s="5" t="s">
        <v>501</v>
      </c>
    </row>
    <row r="95" customFormat="false" ht="23.85" hidden="false" customHeight="false" outlineLevel="0" collapsed="false">
      <c r="A95" s="2" t="n">
        <v>94</v>
      </c>
      <c r="B95" s="3" t="s">
        <v>502</v>
      </c>
      <c r="C95" s="5" t="s">
        <v>503</v>
      </c>
      <c r="D95" s="2" t="n">
        <v>4</v>
      </c>
      <c r="E95" s="5" t="s">
        <v>504</v>
      </c>
      <c r="F95" s="4" t="s">
        <v>505</v>
      </c>
      <c r="G95" s="4" t="s">
        <v>506</v>
      </c>
      <c r="H95" s="4" t="s">
        <v>495</v>
      </c>
      <c r="I95" s="2" t="n">
        <f aca="false">COUNTIF(Kanji!$C$2:$C$2502,A95)</f>
        <v>24</v>
      </c>
      <c r="J95" s="5" t="s">
        <v>507</v>
      </c>
    </row>
    <row r="96" customFormat="false" ht="23.85" hidden="false" customHeight="false" outlineLevel="0" collapsed="false">
      <c r="A96" s="2" t="n">
        <v>95</v>
      </c>
      <c r="B96" s="3" t="s">
        <v>508</v>
      </c>
      <c r="C96" s="4"/>
      <c r="D96" s="2" t="n">
        <v>5</v>
      </c>
      <c r="E96" s="5" t="s">
        <v>509</v>
      </c>
      <c r="F96" s="4" t="s">
        <v>510</v>
      </c>
      <c r="G96" s="4" t="s">
        <v>511</v>
      </c>
      <c r="H96" s="4" t="s">
        <v>160</v>
      </c>
      <c r="I96" s="2" t="n">
        <f aca="false">COUNTIF(Kanji!$C$2:$C$2502,A96)</f>
        <v>2</v>
      </c>
      <c r="J96" s="5" t="s">
        <v>512</v>
      </c>
    </row>
    <row r="97" customFormat="false" ht="29.85" hidden="false" customHeight="false" outlineLevel="0" collapsed="false">
      <c r="A97" s="2" t="n">
        <v>96</v>
      </c>
      <c r="B97" s="3" t="s">
        <v>513</v>
      </c>
      <c r="C97" s="5" t="s">
        <v>514</v>
      </c>
      <c r="D97" s="2" t="n">
        <v>5</v>
      </c>
      <c r="E97" s="5" t="s">
        <v>515</v>
      </c>
      <c r="F97" s="4" t="s">
        <v>516</v>
      </c>
      <c r="G97" s="4" t="s">
        <v>517</v>
      </c>
      <c r="H97" s="4" t="s">
        <v>98</v>
      </c>
      <c r="I97" s="2" t="n">
        <f aca="false">COUNTIF(Kanji!$C$2:$C$2502,A97)</f>
        <v>20</v>
      </c>
      <c r="J97" s="5" t="s">
        <v>518</v>
      </c>
    </row>
    <row r="98" customFormat="false" ht="23.85" hidden="false" customHeight="false" outlineLevel="0" collapsed="false">
      <c r="A98" s="2" t="n">
        <v>97</v>
      </c>
      <c r="B98" s="3" t="s">
        <v>519</v>
      </c>
      <c r="C98" s="4"/>
      <c r="D98" s="2" t="n">
        <v>5</v>
      </c>
      <c r="E98" s="5" t="s">
        <v>520</v>
      </c>
      <c r="F98" s="4" t="s">
        <v>521</v>
      </c>
      <c r="G98" s="4" t="s">
        <v>522</v>
      </c>
      <c r="H98" s="4" t="s">
        <v>251</v>
      </c>
      <c r="I98" s="2" t="n">
        <f aca="false">COUNTIF(Kanji!$C$2:$C$2502,A98)</f>
        <v>1</v>
      </c>
      <c r="J98" s="5" t="s">
        <v>519</v>
      </c>
    </row>
    <row r="99" customFormat="false" ht="23.85" hidden="false" customHeight="false" outlineLevel="0" collapsed="false">
      <c r="A99" s="2" t="n">
        <v>98</v>
      </c>
      <c r="B99" s="3" t="s">
        <v>523</v>
      </c>
      <c r="C99" s="4"/>
      <c r="D99" s="2" t="n">
        <v>5</v>
      </c>
      <c r="E99" s="5" t="s">
        <v>524</v>
      </c>
      <c r="F99" s="4" t="s">
        <v>525</v>
      </c>
      <c r="G99" s="4" t="s">
        <v>526</v>
      </c>
      <c r="H99" s="4" t="s">
        <v>98</v>
      </c>
      <c r="I99" s="2" t="n">
        <f aca="false">COUNTIF(Kanji!$C$2:$C$2502,A99)</f>
        <v>3</v>
      </c>
      <c r="J99" s="5" t="s">
        <v>527</v>
      </c>
    </row>
    <row r="100" customFormat="false" ht="23.85" hidden="false" customHeight="false" outlineLevel="0" collapsed="false">
      <c r="A100" s="2" t="n">
        <v>99</v>
      </c>
      <c r="B100" s="3" t="s">
        <v>528</v>
      </c>
      <c r="C100" s="4"/>
      <c r="D100" s="2" t="n">
        <v>5</v>
      </c>
      <c r="E100" s="5" t="s">
        <v>529</v>
      </c>
      <c r="F100" s="4" t="s">
        <v>530</v>
      </c>
      <c r="G100" s="4" t="s">
        <v>531</v>
      </c>
      <c r="H100" s="4" t="s">
        <v>234</v>
      </c>
      <c r="I100" s="2" t="n">
        <f aca="false">COUNTIF(Kanji!$C$2:$C$2502,A100)</f>
        <v>2</v>
      </c>
      <c r="J100" s="5" t="s">
        <v>532</v>
      </c>
    </row>
    <row r="101" customFormat="false" ht="23.85" hidden="false" customHeight="false" outlineLevel="0" collapsed="false">
      <c r="A101" s="2" t="n">
        <v>100</v>
      </c>
      <c r="B101" s="3" t="s">
        <v>533</v>
      </c>
      <c r="C101" s="4"/>
      <c r="D101" s="2" t="n">
        <v>5</v>
      </c>
      <c r="E101" s="5" t="s">
        <v>534</v>
      </c>
      <c r="F101" s="4" t="s">
        <v>535</v>
      </c>
      <c r="G101" s="4" t="s">
        <v>536</v>
      </c>
      <c r="H101" s="4" t="s">
        <v>251</v>
      </c>
      <c r="I101" s="2" t="n">
        <f aca="false">COUNTIF(Kanji!$C$2:$C$2502,A101)</f>
        <v>3</v>
      </c>
      <c r="J101" s="5" t="s">
        <v>537</v>
      </c>
    </row>
    <row r="102" customFormat="false" ht="23.85" hidden="false" customHeight="false" outlineLevel="0" collapsed="false">
      <c r="A102" s="2" t="n">
        <v>101</v>
      </c>
      <c r="B102" s="3" t="s">
        <v>538</v>
      </c>
      <c r="C102" s="4"/>
      <c r="D102" s="2" t="n">
        <v>5</v>
      </c>
      <c r="E102" s="5" t="s">
        <v>539</v>
      </c>
      <c r="F102" s="4" t="s">
        <v>540</v>
      </c>
      <c r="G102" s="4" t="s">
        <v>541</v>
      </c>
      <c r="H102" s="4" t="s">
        <v>234</v>
      </c>
      <c r="I102" s="2" t="n">
        <f aca="false">COUNTIF(Kanji!$C$2:$C$2502,A102)</f>
        <v>2</v>
      </c>
      <c r="J102" s="5" t="s">
        <v>542</v>
      </c>
    </row>
    <row r="103" customFormat="false" ht="23.85" hidden="false" customHeight="false" outlineLevel="0" collapsed="false">
      <c r="A103" s="2" t="n">
        <v>102</v>
      </c>
      <c r="B103" s="3" t="s">
        <v>543</v>
      </c>
      <c r="C103" s="4"/>
      <c r="D103" s="2" t="n">
        <v>5</v>
      </c>
      <c r="E103" s="5" t="s">
        <v>544</v>
      </c>
      <c r="F103" s="4" t="s">
        <v>545</v>
      </c>
      <c r="G103" s="4" t="s">
        <v>546</v>
      </c>
      <c r="H103" s="4" t="s">
        <v>92</v>
      </c>
      <c r="I103" s="2" t="n">
        <f aca="false">COUNTIF(Kanji!$C$2:$C$2502,A103)</f>
        <v>20</v>
      </c>
      <c r="J103" s="5" t="s">
        <v>547</v>
      </c>
    </row>
    <row r="104" customFormat="false" ht="23.85" hidden="false" customHeight="false" outlineLevel="0" collapsed="false">
      <c r="A104" s="2" t="n">
        <v>103</v>
      </c>
      <c r="B104" s="3" t="s">
        <v>548</v>
      </c>
      <c r="C104" s="5" t="s">
        <v>549</v>
      </c>
      <c r="D104" s="2" t="n">
        <v>5</v>
      </c>
      <c r="E104" s="5" t="s">
        <v>550</v>
      </c>
      <c r="F104" s="4" t="s">
        <v>551</v>
      </c>
      <c r="G104" s="4" t="s">
        <v>552</v>
      </c>
      <c r="H104" s="4" t="s">
        <v>160</v>
      </c>
      <c r="I104" s="2" t="n">
        <f aca="false">COUNTIF(Kanji!$C$2:$C$2502,A104)</f>
        <v>2</v>
      </c>
      <c r="J104" s="5" t="s">
        <v>553</v>
      </c>
    </row>
    <row r="105" customFormat="false" ht="23.85" hidden="false" customHeight="false" outlineLevel="0" collapsed="false">
      <c r="A105" s="2" t="n">
        <v>104</v>
      </c>
      <c r="B105" s="3" t="s">
        <v>554</v>
      </c>
      <c r="C105" s="4"/>
      <c r="D105" s="2" t="n">
        <v>5</v>
      </c>
      <c r="E105" s="5" t="s">
        <v>555</v>
      </c>
      <c r="F105" s="4" t="s">
        <v>556</v>
      </c>
      <c r="G105" s="4" t="s">
        <v>557</v>
      </c>
      <c r="H105" s="4" t="s">
        <v>166</v>
      </c>
      <c r="I105" s="2" t="n">
        <f aca="false">COUNTIF(Kanji!$C$2:$C$2502,A105)</f>
        <v>14</v>
      </c>
      <c r="J105" s="5" t="s">
        <v>558</v>
      </c>
    </row>
    <row r="106" customFormat="false" ht="23.85" hidden="false" customHeight="false" outlineLevel="0" collapsed="false">
      <c r="A106" s="2" t="n">
        <v>105</v>
      </c>
      <c r="B106" s="3" t="s">
        <v>559</v>
      </c>
      <c r="C106" s="4"/>
      <c r="D106" s="2" t="n">
        <v>5</v>
      </c>
      <c r="E106" s="5" t="s">
        <v>560</v>
      </c>
      <c r="F106" s="4" t="s">
        <v>561</v>
      </c>
      <c r="G106" s="4" t="s">
        <v>562</v>
      </c>
      <c r="H106" s="4" t="s">
        <v>70</v>
      </c>
      <c r="I106" s="2" t="n">
        <f aca="false">COUNTIF(Kanji!$C$2:$C$2502,A106)</f>
        <v>2</v>
      </c>
      <c r="J106" s="5" t="s">
        <v>563</v>
      </c>
    </row>
    <row r="107" customFormat="false" ht="23.85" hidden="false" customHeight="false" outlineLevel="0" collapsed="false">
      <c r="A107" s="2" t="n">
        <v>106</v>
      </c>
      <c r="B107" s="3" t="s">
        <v>564</v>
      </c>
      <c r="C107" s="4"/>
      <c r="D107" s="2" t="n">
        <v>5</v>
      </c>
      <c r="E107" s="5" t="s">
        <v>565</v>
      </c>
      <c r="F107" s="4" t="s">
        <v>566</v>
      </c>
      <c r="G107" s="4" t="s">
        <v>567</v>
      </c>
      <c r="H107" s="4" t="s">
        <v>234</v>
      </c>
      <c r="I107" s="2" t="n">
        <f aca="false">COUNTIF(Kanji!$C$2:$C$2502,A107)</f>
        <v>7</v>
      </c>
      <c r="J107" s="5" t="s">
        <v>568</v>
      </c>
    </row>
    <row r="108" customFormat="false" ht="23.85" hidden="false" customHeight="false" outlineLevel="0" collapsed="false">
      <c r="A108" s="2" t="n">
        <v>107</v>
      </c>
      <c r="B108" s="3" t="s">
        <v>569</v>
      </c>
      <c r="C108" s="4"/>
      <c r="D108" s="2" t="n">
        <v>5</v>
      </c>
      <c r="E108" s="5" t="s">
        <v>570</v>
      </c>
      <c r="F108" s="4" t="s">
        <v>571</v>
      </c>
      <c r="G108" s="4" t="s">
        <v>572</v>
      </c>
      <c r="H108" s="4" t="s">
        <v>166</v>
      </c>
      <c r="I108" s="2" t="n">
        <f aca="false">COUNTIF(Kanji!$C$2:$C$2502,A108)</f>
        <v>1</v>
      </c>
      <c r="J108" s="5" t="s">
        <v>569</v>
      </c>
    </row>
    <row r="109" customFormat="false" ht="23.85" hidden="false" customHeight="false" outlineLevel="0" collapsed="false">
      <c r="A109" s="2" t="n">
        <v>108</v>
      </c>
      <c r="B109" s="3" t="s">
        <v>573</v>
      </c>
      <c r="C109" s="4"/>
      <c r="D109" s="2" t="n">
        <v>5</v>
      </c>
      <c r="E109" s="5" t="s">
        <v>574</v>
      </c>
      <c r="F109" s="4" t="s">
        <v>575</v>
      </c>
      <c r="G109" s="4" t="s">
        <v>576</v>
      </c>
      <c r="H109" s="4" t="s">
        <v>98</v>
      </c>
      <c r="I109" s="2" t="n">
        <f aca="false">COUNTIF(Kanji!$C$2:$C$2502,A109)</f>
        <v>9</v>
      </c>
      <c r="J109" s="5" t="s">
        <v>577</v>
      </c>
    </row>
    <row r="110" customFormat="false" ht="23.85" hidden="false" customHeight="false" outlineLevel="0" collapsed="false">
      <c r="A110" s="2" t="n">
        <v>109</v>
      </c>
      <c r="B110" s="3" t="s">
        <v>578</v>
      </c>
      <c r="C110" s="4"/>
      <c r="D110" s="2" t="n">
        <v>5</v>
      </c>
      <c r="E110" s="5" t="s">
        <v>579</v>
      </c>
      <c r="F110" s="4" t="s">
        <v>580</v>
      </c>
      <c r="G110" s="4" t="s">
        <v>581</v>
      </c>
      <c r="H110" s="4" t="s">
        <v>166</v>
      </c>
      <c r="I110" s="2" t="n">
        <f aca="false">COUNTIF(Kanji!$C$2:$C$2502,A110)</f>
        <v>21</v>
      </c>
      <c r="J110" s="5" t="s">
        <v>582</v>
      </c>
    </row>
    <row r="111" customFormat="false" ht="23.85" hidden="false" customHeight="false" outlineLevel="0" collapsed="false">
      <c r="A111" s="2" t="n">
        <v>110</v>
      </c>
      <c r="B111" s="3" t="s">
        <v>583</v>
      </c>
      <c r="C111" s="4"/>
      <c r="D111" s="2" t="n">
        <v>5</v>
      </c>
      <c r="E111" s="5" t="s">
        <v>584</v>
      </c>
      <c r="F111" s="4" t="s">
        <v>585</v>
      </c>
      <c r="G111" s="4" t="s">
        <v>586</v>
      </c>
      <c r="H111" s="4" t="s">
        <v>98</v>
      </c>
      <c r="I111" s="2" t="n">
        <f aca="false">COUNTIF(Kanji!$C$2:$C$2502,A111)</f>
        <v>1</v>
      </c>
      <c r="J111" s="5" t="s">
        <v>583</v>
      </c>
    </row>
    <row r="112" customFormat="false" ht="23.85" hidden="false" customHeight="false" outlineLevel="0" collapsed="false">
      <c r="A112" s="2" t="n">
        <v>111</v>
      </c>
      <c r="B112" s="3" t="s">
        <v>587</v>
      </c>
      <c r="C112" s="4"/>
      <c r="D112" s="2" t="n">
        <v>5</v>
      </c>
      <c r="E112" s="5" t="s">
        <v>588</v>
      </c>
      <c r="F112" s="4" t="s">
        <v>589</v>
      </c>
      <c r="G112" s="4" t="s">
        <v>590</v>
      </c>
      <c r="H112" s="4" t="s">
        <v>98</v>
      </c>
      <c r="I112" s="2" t="n">
        <f aca="false">COUNTIF(Kanji!$C$2:$C$2502,A112)</f>
        <v>5</v>
      </c>
      <c r="J112" s="5" t="s">
        <v>591</v>
      </c>
    </row>
    <row r="113" customFormat="false" ht="23.85" hidden="false" customHeight="false" outlineLevel="0" collapsed="false">
      <c r="A113" s="2" t="n">
        <v>112</v>
      </c>
      <c r="B113" s="3" t="s">
        <v>592</v>
      </c>
      <c r="C113" s="4"/>
      <c r="D113" s="2" t="n">
        <v>5</v>
      </c>
      <c r="E113" s="5" t="s">
        <v>593</v>
      </c>
      <c r="F113" s="4" t="s">
        <v>594</v>
      </c>
      <c r="G113" s="4" t="s">
        <v>595</v>
      </c>
      <c r="H113" s="4" t="s">
        <v>92</v>
      </c>
      <c r="I113" s="2" t="n">
        <f aca="false">COUNTIF(Kanji!$C$2:$C$2502,A113)</f>
        <v>23</v>
      </c>
      <c r="J113" s="5" t="s">
        <v>596</v>
      </c>
    </row>
    <row r="114" customFormat="false" ht="23.85" hidden="false" customHeight="false" outlineLevel="0" collapsed="false">
      <c r="A114" s="2" t="n">
        <v>113</v>
      </c>
      <c r="B114" s="3" t="s">
        <v>597</v>
      </c>
      <c r="C114" s="5" t="s">
        <v>598</v>
      </c>
      <c r="D114" s="2" t="n">
        <v>5</v>
      </c>
      <c r="E114" s="5" t="s">
        <v>599</v>
      </c>
      <c r="F114" s="4" t="s">
        <v>600</v>
      </c>
      <c r="G114" s="4" t="s">
        <v>601</v>
      </c>
      <c r="H114" s="4" t="s">
        <v>367</v>
      </c>
      <c r="I114" s="2" t="n">
        <f aca="false">COUNTIF(Kanji!$C$2:$C$2502,A114)</f>
        <v>19</v>
      </c>
      <c r="J114" s="5" t="s">
        <v>602</v>
      </c>
    </row>
    <row r="115" customFormat="false" ht="23.85" hidden="false" customHeight="false" outlineLevel="0" collapsed="false">
      <c r="A115" s="2" t="n">
        <v>114</v>
      </c>
      <c r="B115" s="3" t="s">
        <v>603</v>
      </c>
      <c r="C115" s="4"/>
      <c r="D115" s="2" t="n">
        <v>5</v>
      </c>
      <c r="E115" s="5" t="s">
        <v>604</v>
      </c>
      <c r="F115" s="4" t="s">
        <v>605</v>
      </c>
      <c r="G115" s="4" t="s">
        <v>606</v>
      </c>
      <c r="H115" s="4" t="s">
        <v>367</v>
      </c>
      <c r="I115" s="2" t="n">
        <f aca="false">COUNTIF(Kanji!$C$2:$C$2502,A115)</f>
        <v>0</v>
      </c>
      <c r="J115" s="4"/>
    </row>
    <row r="116" customFormat="false" ht="23.85" hidden="false" customHeight="false" outlineLevel="0" collapsed="false">
      <c r="A116" s="2" t="n">
        <v>115</v>
      </c>
      <c r="B116" s="3" t="s">
        <v>607</v>
      </c>
      <c r="C116" s="4"/>
      <c r="D116" s="2" t="n">
        <v>5</v>
      </c>
      <c r="E116" s="5" t="s">
        <v>608</v>
      </c>
      <c r="F116" s="4" t="s">
        <v>609</v>
      </c>
      <c r="G116" s="4" t="s">
        <v>610</v>
      </c>
      <c r="H116" s="4" t="s">
        <v>251</v>
      </c>
      <c r="I116" s="2" t="n">
        <f aca="false">COUNTIF(Kanji!$C$2:$C$2502,A116)</f>
        <v>28</v>
      </c>
      <c r="J116" s="5" t="s">
        <v>611</v>
      </c>
    </row>
    <row r="117" customFormat="false" ht="23.85" hidden="false" customHeight="false" outlineLevel="0" collapsed="false">
      <c r="A117" s="2" t="n">
        <v>116</v>
      </c>
      <c r="B117" s="3" t="s">
        <v>612</v>
      </c>
      <c r="C117" s="4"/>
      <c r="D117" s="2" t="n">
        <v>5</v>
      </c>
      <c r="E117" s="5" t="s">
        <v>613</v>
      </c>
      <c r="F117" s="4" t="s">
        <v>614</v>
      </c>
      <c r="G117" s="4" t="s">
        <v>615</v>
      </c>
      <c r="H117" s="4" t="s">
        <v>92</v>
      </c>
      <c r="I117" s="2" t="n">
        <f aca="false">COUNTIF(Kanji!$C$2:$C$2502,A117)</f>
        <v>10</v>
      </c>
      <c r="J117" s="5" t="s">
        <v>616</v>
      </c>
    </row>
    <row r="118" customFormat="false" ht="23.85" hidden="false" customHeight="false" outlineLevel="0" collapsed="false">
      <c r="A118" s="2" t="n">
        <v>117</v>
      </c>
      <c r="B118" s="3" t="s">
        <v>617</v>
      </c>
      <c r="C118" s="4"/>
      <c r="D118" s="2" t="n">
        <v>5</v>
      </c>
      <c r="E118" s="5" t="s">
        <v>618</v>
      </c>
      <c r="F118" s="4" t="s">
        <v>619</v>
      </c>
      <c r="G118" s="4" t="s">
        <v>620</v>
      </c>
      <c r="H118" s="4" t="s">
        <v>160</v>
      </c>
      <c r="I118" s="2" t="n">
        <f aca="false">COUNTIF(Kanji!$C$2:$C$2502,A118)</f>
        <v>7</v>
      </c>
      <c r="J118" s="5" t="s">
        <v>621</v>
      </c>
    </row>
    <row r="119" customFormat="false" ht="32.8" hidden="false" customHeight="false" outlineLevel="0" collapsed="false">
      <c r="A119" s="2" t="n">
        <v>118</v>
      </c>
      <c r="B119" s="3" t="s">
        <v>622</v>
      </c>
      <c r="C119" s="5" t="s">
        <v>623</v>
      </c>
      <c r="D119" s="2" t="n">
        <v>6</v>
      </c>
      <c r="E119" s="5" t="s">
        <v>624</v>
      </c>
      <c r="F119" s="4" t="s">
        <v>625</v>
      </c>
      <c r="G119" s="4" t="s">
        <v>626</v>
      </c>
      <c r="H119" s="4" t="s">
        <v>251</v>
      </c>
      <c r="I119" s="2" t="n">
        <f aca="false">COUNTIF(Kanji!$C$2:$C$2502,A119)</f>
        <v>36</v>
      </c>
      <c r="J119" s="5" t="s">
        <v>627</v>
      </c>
    </row>
    <row r="120" customFormat="false" ht="23.85" hidden="false" customHeight="false" outlineLevel="0" collapsed="false">
      <c r="A120" s="2" t="n">
        <v>119</v>
      </c>
      <c r="B120" s="3" t="s">
        <v>628</v>
      </c>
      <c r="C120" s="4"/>
      <c r="D120" s="2" t="n">
        <v>6</v>
      </c>
      <c r="E120" s="5" t="s">
        <v>629</v>
      </c>
      <c r="F120" s="4" t="s">
        <v>630</v>
      </c>
      <c r="G120" s="4" t="s">
        <v>631</v>
      </c>
      <c r="H120" s="4" t="s">
        <v>251</v>
      </c>
      <c r="I120" s="2" t="n">
        <f aca="false">COUNTIF(Kanji!$C$2:$C$2502,A120)</f>
        <v>14</v>
      </c>
      <c r="J120" s="5" t="s">
        <v>632</v>
      </c>
    </row>
    <row r="121" customFormat="false" ht="48.5" hidden="false" customHeight="false" outlineLevel="0" collapsed="false">
      <c r="A121" s="2" t="n">
        <v>120</v>
      </c>
      <c r="B121" s="3" t="s">
        <v>633</v>
      </c>
      <c r="C121" s="5" t="s">
        <v>634</v>
      </c>
      <c r="D121" s="2" t="n">
        <v>6</v>
      </c>
      <c r="E121" s="5" t="s">
        <v>635</v>
      </c>
      <c r="F121" s="4" t="s">
        <v>636</v>
      </c>
      <c r="G121" s="4" t="s">
        <v>637</v>
      </c>
      <c r="H121" s="4" t="s">
        <v>98</v>
      </c>
      <c r="I121" s="2" t="n">
        <f aca="false">COUNTIF(Kanji!$C$2:$C$2502,A121)</f>
        <v>71</v>
      </c>
      <c r="J121" s="5" t="s">
        <v>638</v>
      </c>
    </row>
    <row r="122" customFormat="false" ht="23.85" hidden="false" customHeight="false" outlineLevel="0" collapsed="false">
      <c r="A122" s="2" t="n">
        <v>121</v>
      </c>
      <c r="B122" s="3" t="s">
        <v>639</v>
      </c>
      <c r="C122" s="4"/>
      <c r="D122" s="2" t="n">
        <v>6</v>
      </c>
      <c r="E122" s="5" t="s">
        <v>640</v>
      </c>
      <c r="F122" s="4" t="s">
        <v>641</v>
      </c>
      <c r="G122" s="4" t="s">
        <v>642</v>
      </c>
      <c r="H122" s="4" t="s">
        <v>98</v>
      </c>
      <c r="I122" s="2" t="n">
        <f aca="false">COUNTIF(Kanji!$C$2:$C$2502,A122)</f>
        <v>1</v>
      </c>
      <c r="J122" s="5" t="s">
        <v>639</v>
      </c>
    </row>
    <row r="123" customFormat="false" ht="32.8" hidden="false" customHeight="false" outlineLevel="0" collapsed="false">
      <c r="A123" s="2" t="n">
        <v>122</v>
      </c>
      <c r="B123" s="3" t="s">
        <v>643</v>
      </c>
      <c r="C123" s="5" t="s">
        <v>644</v>
      </c>
      <c r="D123" s="2" t="n">
        <v>6</v>
      </c>
      <c r="E123" s="5" t="s">
        <v>645</v>
      </c>
      <c r="F123" s="4" t="s">
        <v>646</v>
      </c>
      <c r="G123" s="4" t="s">
        <v>647</v>
      </c>
      <c r="H123" s="4" t="s">
        <v>51</v>
      </c>
      <c r="I123" s="2" t="n">
        <f aca="false">COUNTIF(Kanji!$C$2:$C$2502,A123)</f>
        <v>7</v>
      </c>
      <c r="J123" s="5" t="s">
        <v>648</v>
      </c>
    </row>
    <row r="124" customFormat="false" ht="23.85" hidden="false" customHeight="false" outlineLevel="0" collapsed="false">
      <c r="A124" s="2" t="n">
        <v>123</v>
      </c>
      <c r="B124" s="3" t="s">
        <v>649</v>
      </c>
      <c r="C124" s="5" t="s">
        <v>650</v>
      </c>
      <c r="D124" s="2" t="n">
        <v>6</v>
      </c>
      <c r="E124" s="5" t="s">
        <v>651</v>
      </c>
      <c r="F124" s="4" t="s">
        <v>652</v>
      </c>
      <c r="G124" s="4" t="s">
        <v>653</v>
      </c>
      <c r="H124" s="4" t="s">
        <v>495</v>
      </c>
      <c r="I124" s="2" t="n">
        <f aca="false">COUNTIF(Kanji!$C$2:$C$2502,A124)</f>
        <v>4</v>
      </c>
      <c r="J124" s="5" t="s">
        <v>654</v>
      </c>
    </row>
    <row r="125" customFormat="false" ht="23.85" hidden="false" customHeight="false" outlineLevel="0" collapsed="false">
      <c r="A125" s="2" t="n">
        <v>124</v>
      </c>
      <c r="B125" s="3" t="s">
        <v>655</v>
      </c>
      <c r="C125" s="4"/>
      <c r="D125" s="2" t="n">
        <v>6</v>
      </c>
      <c r="E125" s="5" t="s">
        <v>656</v>
      </c>
      <c r="F125" s="4" t="s">
        <v>657</v>
      </c>
      <c r="G125" s="4" t="s">
        <v>658</v>
      </c>
      <c r="H125" s="4" t="s">
        <v>495</v>
      </c>
      <c r="I125" s="2" t="n">
        <f aca="false">COUNTIF(Kanji!$C$2:$C$2502,A125)</f>
        <v>10</v>
      </c>
      <c r="J125" s="5" t="s">
        <v>659</v>
      </c>
    </row>
    <row r="126" customFormat="false" ht="23.85" hidden="false" customHeight="false" outlineLevel="0" collapsed="false">
      <c r="A126" s="2" t="n">
        <v>125</v>
      </c>
      <c r="B126" s="3" t="s">
        <v>660</v>
      </c>
      <c r="C126" s="5" t="s">
        <v>661</v>
      </c>
      <c r="D126" s="2" t="n">
        <v>6</v>
      </c>
      <c r="E126" s="5" t="s">
        <v>662</v>
      </c>
      <c r="F126" s="4" t="s">
        <v>663</v>
      </c>
      <c r="G126" s="4" t="s">
        <v>664</v>
      </c>
      <c r="H126" s="4" t="s">
        <v>58</v>
      </c>
      <c r="I126" s="2" t="n">
        <f aca="false">COUNTIF(Kanji!$C$2:$C$2502,A126)</f>
        <v>3</v>
      </c>
      <c r="J126" s="5" t="s">
        <v>665</v>
      </c>
    </row>
    <row r="127" customFormat="false" ht="23.85" hidden="false" customHeight="false" outlineLevel="0" collapsed="false">
      <c r="A127" s="2" t="n">
        <v>126</v>
      </c>
      <c r="B127" s="3" t="s">
        <v>666</v>
      </c>
      <c r="C127" s="4"/>
      <c r="D127" s="2" t="n">
        <v>6</v>
      </c>
      <c r="E127" s="5" t="s">
        <v>667</v>
      </c>
      <c r="F127" s="4" t="s">
        <v>668</v>
      </c>
      <c r="G127" s="4" t="s">
        <v>669</v>
      </c>
      <c r="H127" s="4" t="s">
        <v>160</v>
      </c>
      <c r="I127" s="2" t="n">
        <f aca="false">COUNTIF(Kanji!$C$2:$C$2502,A127)</f>
        <v>1</v>
      </c>
      <c r="J127" s="5" t="s">
        <v>670</v>
      </c>
    </row>
    <row r="128" customFormat="false" ht="23.85" hidden="false" customHeight="false" outlineLevel="0" collapsed="false">
      <c r="A128" s="2" t="n">
        <v>127</v>
      </c>
      <c r="B128" s="3" t="s">
        <v>671</v>
      </c>
      <c r="C128" s="4"/>
      <c r="D128" s="2" t="n">
        <v>6</v>
      </c>
      <c r="E128" s="5" t="s">
        <v>672</v>
      </c>
      <c r="F128" s="4" t="s">
        <v>673</v>
      </c>
      <c r="G128" s="4" t="s">
        <v>674</v>
      </c>
      <c r="H128" s="4" t="s">
        <v>98</v>
      </c>
      <c r="I128" s="2" t="n">
        <f aca="false">COUNTIF(Kanji!$C$2:$C$2502,A128)</f>
        <v>1</v>
      </c>
      <c r="J128" s="5" t="s">
        <v>675</v>
      </c>
    </row>
    <row r="129" customFormat="false" ht="23.85" hidden="false" customHeight="false" outlineLevel="0" collapsed="false">
      <c r="A129" s="2" t="n">
        <v>128</v>
      </c>
      <c r="B129" s="3" t="s">
        <v>676</v>
      </c>
      <c r="C129" s="4"/>
      <c r="D129" s="2" t="n">
        <v>6</v>
      </c>
      <c r="E129" s="5" t="s">
        <v>677</v>
      </c>
      <c r="F129" s="4" t="s">
        <v>678</v>
      </c>
      <c r="G129" s="4" t="s">
        <v>679</v>
      </c>
      <c r="H129" s="4" t="s">
        <v>166</v>
      </c>
      <c r="I129" s="2" t="n">
        <f aca="false">COUNTIF(Kanji!$C$2:$C$2502,A129)</f>
        <v>7</v>
      </c>
      <c r="J129" s="5" t="s">
        <v>680</v>
      </c>
    </row>
    <row r="130" customFormat="false" ht="23.85" hidden="false" customHeight="false" outlineLevel="0" collapsed="false">
      <c r="A130" s="2" t="n">
        <v>129</v>
      </c>
      <c r="B130" s="3" t="s">
        <v>681</v>
      </c>
      <c r="C130" s="5" t="s">
        <v>682</v>
      </c>
      <c r="D130" s="2" t="n">
        <v>6</v>
      </c>
      <c r="E130" s="5" t="s">
        <v>683</v>
      </c>
      <c r="F130" s="4" t="s">
        <v>684</v>
      </c>
      <c r="G130" s="4" t="s">
        <v>685</v>
      </c>
      <c r="H130" s="4" t="s">
        <v>98</v>
      </c>
      <c r="I130" s="2" t="n">
        <f aca="false">COUNTIF(Kanji!$C$2:$C$2502,A130)</f>
        <v>2</v>
      </c>
      <c r="J130" s="5" t="s">
        <v>686</v>
      </c>
    </row>
    <row r="131" customFormat="false" ht="32.8" hidden="false" customHeight="false" outlineLevel="0" collapsed="false">
      <c r="A131" s="2" t="n">
        <v>130</v>
      </c>
      <c r="B131" s="3" t="s">
        <v>687</v>
      </c>
      <c r="C131" s="5" t="s">
        <v>688</v>
      </c>
      <c r="D131" s="2" t="n">
        <v>6</v>
      </c>
      <c r="E131" s="5" t="s">
        <v>689</v>
      </c>
      <c r="F131" s="4" t="s">
        <v>690</v>
      </c>
      <c r="G131" s="4" t="s">
        <v>691</v>
      </c>
      <c r="H131" s="4" t="s">
        <v>166</v>
      </c>
      <c r="I131" s="2" t="n">
        <f aca="false">COUNTIF(Kanji!$C$2:$C$2502,A131)</f>
        <v>45</v>
      </c>
      <c r="J131" s="5" t="s">
        <v>692</v>
      </c>
    </row>
    <row r="132" customFormat="false" ht="23.85" hidden="false" customHeight="false" outlineLevel="0" collapsed="false">
      <c r="A132" s="2" t="n">
        <v>131</v>
      </c>
      <c r="B132" s="3" t="s">
        <v>693</v>
      </c>
      <c r="C132" s="4"/>
      <c r="D132" s="2" t="n">
        <v>6</v>
      </c>
      <c r="E132" s="5" t="s">
        <v>694</v>
      </c>
      <c r="F132" s="4" t="s">
        <v>695</v>
      </c>
      <c r="G132" s="4" t="s">
        <v>696</v>
      </c>
      <c r="H132" s="4" t="s">
        <v>58</v>
      </c>
      <c r="I132" s="2" t="n">
        <f aca="false">COUNTIF(Kanji!$C$2:$C$2502,A132)</f>
        <v>2</v>
      </c>
      <c r="J132" s="5" t="s">
        <v>697</v>
      </c>
    </row>
    <row r="133" customFormat="false" ht="23.85" hidden="false" customHeight="false" outlineLevel="0" collapsed="false">
      <c r="A133" s="2" t="n">
        <v>132</v>
      </c>
      <c r="B133" s="3" t="s">
        <v>698</v>
      </c>
      <c r="C133" s="4"/>
      <c r="D133" s="2" t="n">
        <v>6</v>
      </c>
      <c r="E133" s="5" t="s">
        <v>699</v>
      </c>
      <c r="F133" s="4" t="s">
        <v>700</v>
      </c>
      <c r="G133" s="4" t="s">
        <v>701</v>
      </c>
      <c r="H133" s="4" t="s">
        <v>58</v>
      </c>
      <c r="I133" s="2" t="n">
        <f aca="false">COUNTIF(Kanji!$C$2:$C$2502,A133)</f>
        <v>2</v>
      </c>
      <c r="J133" s="5" t="s">
        <v>702</v>
      </c>
    </row>
    <row r="134" customFormat="false" ht="23.85" hidden="false" customHeight="false" outlineLevel="0" collapsed="false">
      <c r="A134" s="2" t="n">
        <v>133</v>
      </c>
      <c r="B134" s="3" t="s">
        <v>703</v>
      </c>
      <c r="C134" s="4"/>
      <c r="D134" s="2" t="n">
        <v>6</v>
      </c>
      <c r="E134" s="5" t="s">
        <v>704</v>
      </c>
      <c r="F134" s="4" t="s">
        <v>705</v>
      </c>
      <c r="G134" s="4" t="s">
        <v>706</v>
      </c>
      <c r="H134" s="4" t="s">
        <v>160</v>
      </c>
      <c r="I134" s="2" t="n">
        <f aca="false">COUNTIF(Kanji!$C$2:$C$2502,A134)</f>
        <v>2</v>
      </c>
      <c r="J134" s="5" t="s">
        <v>707</v>
      </c>
    </row>
    <row r="135" customFormat="false" ht="23.85" hidden="false" customHeight="false" outlineLevel="0" collapsed="false">
      <c r="A135" s="2" t="n">
        <v>134</v>
      </c>
      <c r="B135" s="3" t="s">
        <v>708</v>
      </c>
      <c r="C135" s="4"/>
      <c r="D135" s="2" t="n">
        <v>6</v>
      </c>
      <c r="E135" s="5" t="s">
        <v>709</v>
      </c>
      <c r="F135" s="4" t="s">
        <v>710</v>
      </c>
      <c r="G135" s="4" t="s">
        <v>711</v>
      </c>
      <c r="H135" s="4" t="s">
        <v>98</v>
      </c>
      <c r="I135" s="2" t="n">
        <f aca="false">COUNTIF(Kanji!$C$2:$C$2502,A135)</f>
        <v>2</v>
      </c>
      <c r="J135" s="5" t="s">
        <v>712</v>
      </c>
    </row>
    <row r="136" customFormat="false" ht="23.85" hidden="false" customHeight="false" outlineLevel="0" collapsed="false">
      <c r="A136" s="2" t="n">
        <v>135</v>
      </c>
      <c r="B136" s="3" t="s">
        <v>713</v>
      </c>
      <c r="C136" s="4"/>
      <c r="D136" s="2" t="n">
        <v>6</v>
      </c>
      <c r="E136" s="5" t="s">
        <v>714</v>
      </c>
      <c r="F136" s="4" t="s">
        <v>715</v>
      </c>
      <c r="G136" s="4" t="s">
        <v>716</v>
      </c>
      <c r="H136" s="4" t="s">
        <v>166</v>
      </c>
      <c r="I136" s="2" t="n">
        <f aca="false">COUNTIF(Kanji!$C$2:$C$2502,A136)</f>
        <v>2</v>
      </c>
      <c r="J136" s="5" t="s">
        <v>717</v>
      </c>
    </row>
    <row r="137" customFormat="false" ht="23.85" hidden="false" customHeight="false" outlineLevel="0" collapsed="false">
      <c r="A137" s="2" t="n">
        <v>136</v>
      </c>
      <c r="B137" s="3" t="s">
        <v>718</v>
      </c>
      <c r="C137" s="4"/>
      <c r="D137" s="2" t="n">
        <v>6</v>
      </c>
      <c r="E137" s="5" t="s">
        <v>719</v>
      </c>
      <c r="F137" s="4" t="s">
        <v>720</v>
      </c>
      <c r="G137" s="4" t="s">
        <v>721</v>
      </c>
      <c r="H137" s="4" t="s">
        <v>70</v>
      </c>
      <c r="I137" s="2" t="n">
        <f aca="false">COUNTIF(Kanji!$C$2:$C$2502,A137)</f>
        <v>3</v>
      </c>
      <c r="J137" s="5" t="s">
        <v>722</v>
      </c>
    </row>
    <row r="138" customFormat="false" ht="23.85" hidden="false" customHeight="false" outlineLevel="0" collapsed="false">
      <c r="A138" s="2" t="n">
        <v>137</v>
      </c>
      <c r="B138" s="3" t="s">
        <v>723</v>
      </c>
      <c r="C138" s="4"/>
      <c r="D138" s="2" t="n">
        <v>6</v>
      </c>
      <c r="E138" s="5" t="s">
        <v>724</v>
      </c>
      <c r="F138" s="4" t="s">
        <v>725</v>
      </c>
      <c r="G138" s="4" t="s">
        <v>726</v>
      </c>
      <c r="H138" s="4" t="s">
        <v>98</v>
      </c>
      <c r="I138" s="2" t="n">
        <f aca="false">COUNTIF(Kanji!$C$2:$C$2502,A138)</f>
        <v>9</v>
      </c>
      <c r="J138" s="5" t="s">
        <v>727</v>
      </c>
    </row>
    <row r="139" customFormat="false" ht="32.8" hidden="false" customHeight="false" outlineLevel="0" collapsed="false">
      <c r="A139" s="2" t="n">
        <v>138</v>
      </c>
      <c r="B139" s="3" t="s">
        <v>728</v>
      </c>
      <c r="C139" s="4"/>
      <c r="D139" s="2" t="n">
        <v>6</v>
      </c>
      <c r="E139" s="5" t="s">
        <v>729</v>
      </c>
      <c r="F139" s="4" t="s">
        <v>730</v>
      </c>
      <c r="G139" s="4" t="s">
        <v>731</v>
      </c>
      <c r="H139" s="4" t="s">
        <v>160</v>
      </c>
      <c r="I139" s="2" t="n">
        <f aca="false">COUNTIF(Kanji!$C$2:$C$2502,A139)</f>
        <v>1</v>
      </c>
      <c r="J139" s="5" t="s">
        <v>732</v>
      </c>
    </row>
    <row r="140" customFormat="false" ht="23.85" hidden="false" customHeight="false" outlineLevel="0" collapsed="false">
      <c r="A140" s="2" t="n">
        <v>139</v>
      </c>
      <c r="B140" s="3" t="s">
        <v>733</v>
      </c>
      <c r="C140" s="4"/>
      <c r="D140" s="2" t="n">
        <v>6</v>
      </c>
      <c r="E140" s="5" t="s">
        <v>734</v>
      </c>
      <c r="F140" s="4" t="s">
        <v>735</v>
      </c>
      <c r="G140" s="4" t="s">
        <v>736</v>
      </c>
      <c r="H140" s="4" t="s">
        <v>234</v>
      </c>
      <c r="I140" s="2" t="n">
        <f aca="false">COUNTIF(Kanji!$C$2:$C$2502,A140)</f>
        <v>2</v>
      </c>
      <c r="J140" s="5" t="s">
        <v>737</v>
      </c>
    </row>
    <row r="141" customFormat="false" ht="48.5" hidden="false" customHeight="false" outlineLevel="0" collapsed="false">
      <c r="A141" s="2" t="n">
        <v>140</v>
      </c>
      <c r="B141" s="3" t="s">
        <v>738</v>
      </c>
      <c r="C141" s="5" t="s">
        <v>739</v>
      </c>
      <c r="D141" s="2" t="n">
        <v>6</v>
      </c>
      <c r="E141" s="5" t="s">
        <v>740</v>
      </c>
      <c r="F141" s="4" t="s">
        <v>741</v>
      </c>
      <c r="G141" s="4" t="s">
        <v>742</v>
      </c>
      <c r="H141" s="4" t="s">
        <v>251</v>
      </c>
      <c r="I141" s="2" t="n">
        <f aca="false">COUNTIF(Kanji!$C$2:$C$2502,A141)</f>
        <v>86</v>
      </c>
      <c r="J141" s="5" t="s">
        <v>743</v>
      </c>
    </row>
    <row r="142" customFormat="false" ht="32.8" hidden="false" customHeight="false" outlineLevel="0" collapsed="false">
      <c r="A142" s="2" t="n">
        <v>141</v>
      </c>
      <c r="B142" s="3" t="s">
        <v>744</v>
      </c>
      <c r="C142" s="4"/>
      <c r="D142" s="2" t="n">
        <v>6</v>
      </c>
      <c r="E142" s="5" t="s">
        <v>745</v>
      </c>
      <c r="F142" s="4" t="s">
        <v>746</v>
      </c>
      <c r="G142" s="4" t="s">
        <v>747</v>
      </c>
      <c r="H142" s="4" t="s">
        <v>495</v>
      </c>
      <c r="I142" s="2" t="n">
        <f aca="false">COUNTIF(Kanji!$C$2:$C$2502,A142)</f>
        <v>4</v>
      </c>
      <c r="J142" s="5" t="s">
        <v>748</v>
      </c>
    </row>
    <row r="143" customFormat="false" ht="23.85" hidden="false" customHeight="false" outlineLevel="0" collapsed="false">
      <c r="A143" s="2" t="n">
        <v>142</v>
      </c>
      <c r="B143" s="3" t="s">
        <v>749</v>
      </c>
      <c r="C143" s="4"/>
      <c r="D143" s="2" t="n">
        <v>6</v>
      </c>
      <c r="E143" s="5" t="s">
        <v>750</v>
      </c>
      <c r="F143" s="4" t="s">
        <v>751</v>
      </c>
      <c r="G143" s="4" t="s">
        <v>752</v>
      </c>
      <c r="H143" s="4" t="s">
        <v>495</v>
      </c>
      <c r="I143" s="2" t="n">
        <f aca="false">COUNTIF(Kanji!$C$2:$C$2502,A143)</f>
        <v>16</v>
      </c>
      <c r="J143" s="5" t="s">
        <v>753</v>
      </c>
    </row>
    <row r="144" customFormat="false" ht="23.85" hidden="false" customHeight="false" outlineLevel="0" collapsed="false">
      <c r="A144" s="2" t="n">
        <v>143</v>
      </c>
      <c r="B144" s="3" t="s">
        <v>754</v>
      </c>
      <c r="C144" s="4"/>
      <c r="D144" s="2" t="n">
        <v>6</v>
      </c>
      <c r="E144" s="5" t="s">
        <v>755</v>
      </c>
      <c r="F144" s="4" t="s">
        <v>756</v>
      </c>
      <c r="G144" s="4" t="s">
        <v>757</v>
      </c>
      <c r="H144" s="4" t="s">
        <v>166</v>
      </c>
      <c r="I144" s="2" t="n">
        <f aca="false">COUNTIF(Kanji!$C$2:$C$2502,A144)</f>
        <v>2</v>
      </c>
      <c r="J144" s="5" t="s">
        <v>758</v>
      </c>
    </row>
    <row r="145" customFormat="false" ht="32.8" hidden="false" customHeight="false" outlineLevel="0" collapsed="false">
      <c r="A145" s="2" t="n">
        <v>144</v>
      </c>
      <c r="B145" s="3" t="s">
        <v>759</v>
      </c>
      <c r="C145" s="4"/>
      <c r="D145" s="2" t="n">
        <v>6</v>
      </c>
      <c r="E145" s="5" t="s">
        <v>760</v>
      </c>
      <c r="F145" s="4" t="s">
        <v>761</v>
      </c>
      <c r="G145" s="4" t="s">
        <v>762</v>
      </c>
      <c r="H145" s="4" t="s">
        <v>51</v>
      </c>
      <c r="I145" s="2" t="n">
        <f aca="false">COUNTIF(Kanji!$C$2:$C$2502,A145)</f>
        <v>6</v>
      </c>
      <c r="J145" s="5" t="s">
        <v>763</v>
      </c>
    </row>
    <row r="146" customFormat="false" ht="26.85" hidden="false" customHeight="false" outlineLevel="0" collapsed="false">
      <c r="A146" s="2" t="n">
        <v>145</v>
      </c>
      <c r="B146" s="3" t="s">
        <v>764</v>
      </c>
      <c r="C146" s="5" t="s">
        <v>765</v>
      </c>
      <c r="D146" s="2" t="n">
        <v>6</v>
      </c>
      <c r="E146" s="5" t="s">
        <v>766</v>
      </c>
      <c r="F146" s="4" t="s">
        <v>767</v>
      </c>
      <c r="G146" s="4" t="s">
        <v>768</v>
      </c>
      <c r="H146" s="4" t="s">
        <v>51</v>
      </c>
      <c r="I146" s="2" t="n">
        <f aca="false">COUNTIF(Kanji!$C$2:$C$2502,A146)</f>
        <v>24</v>
      </c>
      <c r="J146" s="5" t="s">
        <v>769</v>
      </c>
    </row>
    <row r="147" customFormat="false" ht="26.85" hidden="false" customHeight="false" outlineLevel="0" collapsed="false">
      <c r="A147" s="2" t="n">
        <v>146</v>
      </c>
      <c r="B147" s="3" t="s">
        <v>770</v>
      </c>
      <c r="C147" s="5" t="s">
        <v>771</v>
      </c>
      <c r="D147" s="2" t="n">
        <v>6</v>
      </c>
      <c r="E147" s="5" t="s">
        <v>772</v>
      </c>
      <c r="F147" s="4" t="s">
        <v>773</v>
      </c>
      <c r="G147" s="4" t="s">
        <v>774</v>
      </c>
      <c r="H147" s="4" t="s">
        <v>51</v>
      </c>
      <c r="I147" s="2" t="n">
        <f aca="false">COUNTIF(Kanji!$C$2:$C$2502,A147)</f>
        <v>4</v>
      </c>
      <c r="J147" s="5" t="s">
        <v>775</v>
      </c>
    </row>
    <row r="148" customFormat="false" ht="23.85" hidden="false" customHeight="false" outlineLevel="0" collapsed="false">
      <c r="A148" s="2" t="n">
        <v>147</v>
      </c>
      <c r="B148" s="3" t="s">
        <v>776</v>
      </c>
      <c r="C148" s="4"/>
      <c r="D148" s="2" t="n">
        <v>7</v>
      </c>
      <c r="E148" s="5" t="s">
        <v>777</v>
      </c>
      <c r="F148" s="4" t="s">
        <v>778</v>
      </c>
      <c r="G148" s="4" t="s">
        <v>779</v>
      </c>
      <c r="H148" s="4" t="s">
        <v>166</v>
      </c>
      <c r="I148" s="2" t="n">
        <f aca="false">COUNTIF(Kanji!$C$2:$C$2502,A148)</f>
        <v>7</v>
      </c>
      <c r="J148" s="5" t="s">
        <v>780</v>
      </c>
    </row>
    <row r="149" customFormat="false" ht="23.85" hidden="false" customHeight="false" outlineLevel="0" collapsed="false">
      <c r="A149" s="2" t="n">
        <v>148</v>
      </c>
      <c r="B149" s="3" t="s">
        <v>781</v>
      </c>
      <c r="C149" s="4"/>
      <c r="D149" s="2" t="n">
        <v>7</v>
      </c>
      <c r="E149" s="5" t="s">
        <v>782</v>
      </c>
      <c r="F149" s="4" t="s">
        <v>783</v>
      </c>
      <c r="G149" s="4" t="s">
        <v>784</v>
      </c>
      <c r="H149" s="4" t="s">
        <v>160</v>
      </c>
      <c r="I149" s="2" t="n">
        <f aca="false">COUNTIF(Kanji!$C$2:$C$2502,A149)</f>
        <v>3</v>
      </c>
      <c r="J149" s="5" t="s">
        <v>785</v>
      </c>
    </row>
    <row r="150" customFormat="false" ht="48.5" hidden="false" customHeight="false" outlineLevel="0" collapsed="false">
      <c r="A150" s="2" t="n">
        <v>149</v>
      </c>
      <c r="B150" s="3" t="s">
        <v>786</v>
      </c>
      <c r="C150" s="5" t="s">
        <v>787</v>
      </c>
      <c r="D150" s="2" t="n">
        <v>7</v>
      </c>
      <c r="E150" s="5" t="s">
        <v>788</v>
      </c>
      <c r="F150" s="4" t="s">
        <v>789</v>
      </c>
      <c r="G150" s="4" t="s">
        <v>790</v>
      </c>
      <c r="H150" s="4" t="s">
        <v>367</v>
      </c>
      <c r="I150" s="2" t="n">
        <f aca="false">COUNTIF(Kanji!$C$2:$C$2502,A150)</f>
        <v>70</v>
      </c>
      <c r="J150" s="5" t="s">
        <v>791</v>
      </c>
    </row>
    <row r="151" customFormat="false" ht="23.85" hidden="false" customHeight="false" outlineLevel="0" collapsed="false">
      <c r="A151" s="2" t="n">
        <v>150</v>
      </c>
      <c r="B151" s="3" t="s">
        <v>792</v>
      </c>
      <c r="C151" s="4"/>
      <c r="D151" s="2" t="n">
        <v>7</v>
      </c>
      <c r="E151" s="5" t="s">
        <v>793</v>
      </c>
      <c r="F151" s="4" t="s">
        <v>794</v>
      </c>
      <c r="G151" s="4" t="s">
        <v>795</v>
      </c>
      <c r="H151" s="4" t="s">
        <v>92</v>
      </c>
      <c r="I151" s="2" t="n">
        <f aca="false">COUNTIF(Kanji!$C$2:$C$2502,A151)</f>
        <v>1</v>
      </c>
      <c r="J151" s="5" t="s">
        <v>792</v>
      </c>
    </row>
    <row r="152" customFormat="false" ht="23.85" hidden="false" customHeight="false" outlineLevel="0" collapsed="false">
      <c r="A152" s="2" t="n">
        <v>151</v>
      </c>
      <c r="B152" s="3" t="s">
        <v>796</v>
      </c>
      <c r="C152" s="4"/>
      <c r="D152" s="2" t="n">
        <v>7</v>
      </c>
      <c r="E152" s="5" t="s">
        <v>797</v>
      </c>
      <c r="F152" s="4" t="s">
        <v>798</v>
      </c>
      <c r="G152" s="4" t="s">
        <v>799</v>
      </c>
      <c r="H152" s="4" t="s">
        <v>251</v>
      </c>
      <c r="I152" s="2" t="n">
        <f aca="false">COUNTIF(Kanji!$C$2:$C$2502,A152)</f>
        <v>2</v>
      </c>
      <c r="J152" s="5" t="s">
        <v>800</v>
      </c>
    </row>
    <row r="153" customFormat="false" ht="23.85" hidden="false" customHeight="false" outlineLevel="0" collapsed="false">
      <c r="A153" s="2" t="n">
        <v>152</v>
      </c>
      <c r="B153" s="3" t="s">
        <v>801</v>
      </c>
      <c r="C153" s="4"/>
      <c r="D153" s="2" t="n">
        <v>7</v>
      </c>
      <c r="E153" s="5" t="s">
        <v>802</v>
      </c>
      <c r="F153" s="4" t="s">
        <v>803</v>
      </c>
      <c r="G153" s="4" t="s">
        <v>804</v>
      </c>
      <c r="H153" s="4" t="s">
        <v>495</v>
      </c>
      <c r="I153" s="2" t="n">
        <f aca="false">COUNTIF(Kanji!$C$2:$C$2502,A153)</f>
        <v>3</v>
      </c>
      <c r="J153" s="5" t="s">
        <v>805</v>
      </c>
    </row>
    <row r="154" customFormat="false" ht="23.85" hidden="false" customHeight="false" outlineLevel="0" collapsed="false">
      <c r="A154" s="2" t="n">
        <v>153</v>
      </c>
      <c r="B154" s="3" t="s">
        <v>806</v>
      </c>
      <c r="C154" s="4"/>
      <c r="D154" s="2" t="n">
        <v>7</v>
      </c>
      <c r="E154" s="5" t="s">
        <v>807</v>
      </c>
      <c r="F154" s="4" t="s">
        <v>808</v>
      </c>
      <c r="G154" s="4" t="s">
        <v>809</v>
      </c>
      <c r="H154" s="4" t="s">
        <v>495</v>
      </c>
      <c r="I154" s="2" t="n">
        <f aca="false">COUNTIF(Kanji!$C$2:$C$2502,A154)</f>
        <v>0</v>
      </c>
      <c r="J154" s="4"/>
    </row>
    <row r="155" customFormat="false" ht="32.8" hidden="false" customHeight="false" outlineLevel="0" collapsed="false">
      <c r="A155" s="2" t="n">
        <v>154</v>
      </c>
      <c r="B155" s="3" t="s">
        <v>810</v>
      </c>
      <c r="C155" s="4"/>
      <c r="D155" s="2" t="n">
        <v>7</v>
      </c>
      <c r="E155" s="5" t="s">
        <v>811</v>
      </c>
      <c r="F155" s="4" t="s">
        <v>812</v>
      </c>
      <c r="G155" s="4" t="s">
        <v>813</v>
      </c>
      <c r="H155" s="4" t="s">
        <v>98</v>
      </c>
      <c r="I155" s="2" t="n">
        <f aca="false">COUNTIF(Kanji!$C$2:$C$2502,A155)</f>
        <v>35</v>
      </c>
      <c r="J155" s="5" t="s">
        <v>814</v>
      </c>
    </row>
    <row r="156" customFormat="false" ht="23.85" hidden="false" customHeight="false" outlineLevel="0" collapsed="false">
      <c r="A156" s="2" t="n">
        <v>155</v>
      </c>
      <c r="B156" s="3" t="s">
        <v>815</v>
      </c>
      <c r="C156" s="4"/>
      <c r="D156" s="2" t="n">
        <v>7</v>
      </c>
      <c r="E156" s="5" t="s">
        <v>816</v>
      </c>
      <c r="F156" s="4" t="s">
        <v>817</v>
      </c>
      <c r="G156" s="4" t="s">
        <v>818</v>
      </c>
      <c r="H156" s="4" t="s">
        <v>234</v>
      </c>
      <c r="I156" s="2" t="n">
        <f aca="false">COUNTIF(Kanji!$C$2:$C$2502,A156)</f>
        <v>2</v>
      </c>
      <c r="J156" s="5" t="s">
        <v>819</v>
      </c>
    </row>
    <row r="157" customFormat="false" ht="23.85" hidden="false" customHeight="false" outlineLevel="0" collapsed="false">
      <c r="A157" s="2" t="n">
        <v>156</v>
      </c>
      <c r="B157" s="3" t="s">
        <v>820</v>
      </c>
      <c r="C157" s="4"/>
      <c r="D157" s="2" t="n">
        <v>7</v>
      </c>
      <c r="E157" s="5" t="s">
        <v>821</v>
      </c>
      <c r="F157" s="4" t="s">
        <v>822</v>
      </c>
      <c r="G157" s="4" t="s">
        <v>823</v>
      </c>
      <c r="H157" s="4" t="s">
        <v>70</v>
      </c>
      <c r="I157" s="2" t="n">
        <f aca="false">COUNTIF(Kanji!$C$2:$C$2502,A157)</f>
        <v>8</v>
      </c>
      <c r="J157" s="5" t="s">
        <v>824</v>
      </c>
    </row>
    <row r="158" customFormat="false" ht="23.85" hidden="false" customHeight="false" outlineLevel="0" collapsed="false">
      <c r="A158" s="2" t="n">
        <v>157</v>
      </c>
      <c r="B158" s="3" t="s">
        <v>825</v>
      </c>
      <c r="C158" s="5" t="s">
        <v>826</v>
      </c>
      <c r="D158" s="2" t="n">
        <v>7</v>
      </c>
      <c r="E158" s="5" t="s">
        <v>827</v>
      </c>
      <c r="F158" s="4" t="s">
        <v>828</v>
      </c>
      <c r="G158" s="4" t="s">
        <v>829</v>
      </c>
      <c r="H158" s="4" t="s">
        <v>166</v>
      </c>
      <c r="I158" s="2" t="n">
        <f aca="false">COUNTIF(Kanji!$C$2:$C$2502,A158)</f>
        <v>11</v>
      </c>
      <c r="J158" s="5" t="s">
        <v>830</v>
      </c>
    </row>
    <row r="159" customFormat="false" ht="23.85" hidden="false" customHeight="false" outlineLevel="0" collapsed="false">
      <c r="A159" s="2" t="n">
        <v>158</v>
      </c>
      <c r="B159" s="3" t="s">
        <v>831</v>
      </c>
      <c r="C159" s="4"/>
      <c r="D159" s="2" t="n">
        <v>7</v>
      </c>
      <c r="E159" s="5" t="s">
        <v>832</v>
      </c>
      <c r="F159" s="4" t="s">
        <v>833</v>
      </c>
      <c r="G159" s="4" t="s">
        <v>834</v>
      </c>
      <c r="H159" s="4" t="s">
        <v>166</v>
      </c>
      <c r="I159" s="2" t="n">
        <f aca="false">COUNTIF(Kanji!$C$2:$C$2502,A159)</f>
        <v>1</v>
      </c>
      <c r="J159" s="5" t="s">
        <v>831</v>
      </c>
    </row>
    <row r="160" customFormat="false" ht="23.85" hidden="false" customHeight="false" outlineLevel="0" collapsed="false">
      <c r="A160" s="2" t="n">
        <v>159</v>
      </c>
      <c r="B160" s="3" t="s">
        <v>835</v>
      </c>
      <c r="C160" s="4"/>
      <c r="D160" s="2" t="n">
        <v>7</v>
      </c>
      <c r="E160" s="5" t="s">
        <v>836</v>
      </c>
      <c r="F160" s="4" t="s">
        <v>837</v>
      </c>
      <c r="G160" s="4" t="s">
        <v>838</v>
      </c>
      <c r="H160" s="4" t="s">
        <v>98</v>
      </c>
      <c r="I160" s="2" t="n">
        <f aca="false">COUNTIF(Kanji!$C$2:$C$2502,A160)</f>
        <v>18</v>
      </c>
      <c r="J160" s="5" t="s">
        <v>839</v>
      </c>
    </row>
    <row r="161" customFormat="false" ht="23.85" hidden="false" customHeight="false" outlineLevel="0" collapsed="false">
      <c r="A161" s="2" t="n">
        <v>160</v>
      </c>
      <c r="B161" s="3" t="s">
        <v>840</v>
      </c>
      <c r="C161" s="4"/>
      <c r="D161" s="2" t="n">
        <v>7</v>
      </c>
      <c r="E161" s="5" t="s">
        <v>841</v>
      </c>
      <c r="F161" s="4" t="s">
        <v>842</v>
      </c>
      <c r="G161" s="4" t="s">
        <v>843</v>
      </c>
      <c r="H161" s="4" t="s">
        <v>234</v>
      </c>
      <c r="I161" s="2" t="n">
        <f aca="false">COUNTIF(Kanji!$C$2:$C$2502,A161)</f>
        <v>2</v>
      </c>
      <c r="J161" s="5" t="s">
        <v>844</v>
      </c>
    </row>
    <row r="162" customFormat="false" ht="26.85" hidden="false" customHeight="false" outlineLevel="0" collapsed="false">
      <c r="A162" s="2" t="n">
        <v>161</v>
      </c>
      <c r="B162" s="3" t="s">
        <v>845</v>
      </c>
      <c r="C162" s="4"/>
      <c r="D162" s="2" t="n">
        <v>7</v>
      </c>
      <c r="E162" s="5" t="s">
        <v>846</v>
      </c>
      <c r="F162" s="4" t="s">
        <v>847</v>
      </c>
      <c r="G162" s="4" t="s">
        <v>848</v>
      </c>
      <c r="H162" s="4" t="s">
        <v>202</v>
      </c>
      <c r="I162" s="2" t="n">
        <f aca="false">COUNTIF(Kanji!$C$2:$C$2502,A162)</f>
        <v>3</v>
      </c>
      <c r="J162" s="5" t="s">
        <v>849</v>
      </c>
    </row>
    <row r="163" customFormat="false" ht="32.8" hidden="false" customHeight="false" outlineLevel="0" collapsed="false">
      <c r="A163" s="2" t="n">
        <v>162</v>
      </c>
      <c r="B163" s="3" t="s">
        <v>850</v>
      </c>
      <c r="C163" s="5" t="s">
        <v>851</v>
      </c>
      <c r="D163" s="2" t="n">
        <v>7</v>
      </c>
      <c r="E163" s="5" t="s">
        <v>852</v>
      </c>
      <c r="F163" s="4" t="s">
        <v>853</v>
      </c>
      <c r="G163" s="4" t="s">
        <v>854</v>
      </c>
      <c r="H163" s="4" t="s">
        <v>70</v>
      </c>
      <c r="I163" s="2" t="n">
        <f aca="false">COUNTIF(Kanji!$C$2:$C$2502,A163)</f>
        <v>54</v>
      </c>
      <c r="J163" s="5" t="s">
        <v>855</v>
      </c>
    </row>
    <row r="164" customFormat="false" ht="23.85" hidden="false" customHeight="false" outlineLevel="0" collapsed="false">
      <c r="A164" s="2" t="n">
        <v>163</v>
      </c>
      <c r="B164" s="3" t="s">
        <v>856</v>
      </c>
      <c r="C164" s="5" t="s">
        <v>857</v>
      </c>
      <c r="D164" s="2" t="n">
        <v>7</v>
      </c>
      <c r="E164" s="5" t="s">
        <v>858</v>
      </c>
      <c r="F164" s="4" t="s">
        <v>859</v>
      </c>
      <c r="G164" s="4" t="s">
        <v>860</v>
      </c>
      <c r="H164" s="4" t="s">
        <v>92</v>
      </c>
      <c r="I164" s="2" t="n">
        <f aca="false">COUNTIF(Kanji!$C$2:$C$2502,A164)</f>
        <v>16</v>
      </c>
      <c r="J164" s="5" t="s">
        <v>861</v>
      </c>
    </row>
    <row r="165" customFormat="false" ht="26.85" hidden="false" customHeight="false" outlineLevel="0" collapsed="false">
      <c r="A165" s="2" t="n">
        <v>164</v>
      </c>
      <c r="B165" s="3" t="s">
        <v>862</v>
      </c>
      <c r="C165" s="4"/>
      <c r="D165" s="2" t="n">
        <v>7</v>
      </c>
      <c r="E165" s="5" t="s">
        <v>863</v>
      </c>
      <c r="F165" s="4" t="s">
        <v>864</v>
      </c>
      <c r="G165" s="4" t="s">
        <v>865</v>
      </c>
      <c r="H165" s="4" t="s">
        <v>367</v>
      </c>
      <c r="I165" s="2" t="n">
        <f aca="false">COUNTIF(Kanji!$C$2:$C$2502,A165)</f>
        <v>15</v>
      </c>
      <c r="J165" s="5" t="s">
        <v>866</v>
      </c>
    </row>
    <row r="166" customFormat="false" ht="23.85" hidden="false" customHeight="false" outlineLevel="0" collapsed="false">
      <c r="A166" s="2" t="n">
        <v>165</v>
      </c>
      <c r="B166" s="3" t="s">
        <v>867</v>
      </c>
      <c r="C166" s="4"/>
      <c r="D166" s="2" t="n">
        <v>7</v>
      </c>
      <c r="E166" s="5" t="s">
        <v>868</v>
      </c>
      <c r="F166" s="4" t="s">
        <v>869</v>
      </c>
      <c r="G166" s="4" t="s">
        <v>870</v>
      </c>
      <c r="H166" s="4" t="s">
        <v>160</v>
      </c>
      <c r="I166" s="2" t="n">
        <f aca="false">COUNTIF(Kanji!$C$2:$C$2502,A166)</f>
        <v>1</v>
      </c>
      <c r="J166" s="5" t="s">
        <v>871</v>
      </c>
    </row>
    <row r="167" customFormat="false" ht="23.85" hidden="false" customHeight="false" outlineLevel="0" collapsed="false">
      <c r="A167" s="2" t="n">
        <v>166</v>
      </c>
      <c r="B167" s="3" t="s">
        <v>872</v>
      </c>
      <c r="C167" s="4"/>
      <c r="D167" s="2" t="n">
        <v>7</v>
      </c>
      <c r="E167" s="5" t="s">
        <v>873</v>
      </c>
      <c r="F167" s="4" t="s">
        <v>874</v>
      </c>
      <c r="G167" s="4" t="s">
        <v>875</v>
      </c>
      <c r="H167" s="4" t="s">
        <v>92</v>
      </c>
      <c r="I167" s="2" t="n">
        <f aca="false">COUNTIF(Kanji!$C$2:$C$2502,A167)</f>
        <v>4</v>
      </c>
      <c r="J167" s="5" t="s">
        <v>876</v>
      </c>
    </row>
    <row r="168" customFormat="false" ht="32.8" hidden="false" customHeight="false" outlineLevel="0" collapsed="false">
      <c r="A168" s="2" t="n">
        <v>167</v>
      </c>
      <c r="B168" s="3" t="s">
        <v>877</v>
      </c>
      <c r="C168" s="5" t="s">
        <v>878</v>
      </c>
      <c r="D168" s="2" t="n">
        <v>8</v>
      </c>
      <c r="E168" s="5" t="s">
        <v>879</v>
      </c>
      <c r="F168" s="4" t="s">
        <v>880</v>
      </c>
      <c r="G168" s="4" t="s">
        <v>881</v>
      </c>
      <c r="H168" s="4" t="s">
        <v>98</v>
      </c>
      <c r="I168" s="2" t="n">
        <f aca="false">COUNTIF(Kanji!$C$2:$C$2502,A168)</f>
        <v>40</v>
      </c>
      <c r="J168" s="5" t="s">
        <v>882</v>
      </c>
    </row>
    <row r="169" customFormat="false" ht="23.85" hidden="false" customHeight="false" outlineLevel="0" collapsed="false">
      <c r="A169" s="2" t="n">
        <v>168</v>
      </c>
      <c r="B169" s="3" t="s">
        <v>883</v>
      </c>
      <c r="C169" s="5" t="s">
        <v>884</v>
      </c>
      <c r="D169" s="2" t="n">
        <v>8</v>
      </c>
      <c r="E169" s="5" t="s">
        <v>885</v>
      </c>
      <c r="F169" s="4" t="s">
        <v>886</v>
      </c>
      <c r="G169" s="4" t="s">
        <v>887</v>
      </c>
      <c r="H169" s="4" t="s">
        <v>234</v>
      </c>
      <c r="I169" s="2" t="n">
        <f aca="false">COUNTIF(Kanji!$C$2:$C$2502,A169)</f>
        <v>1</v>
      </c>
      <c r="J169" s="5" t="s">
        <v>883</v>
      </c>
    </row>
    <row r="170" customFormat="false" ht="26.85" hidden="false" customHeight="false" outlineLevel="0" collapsed="false">
      <c r="A170" s="2" t="n">
        <v>169</v>
      </c>
      <c r="B170" s="3" t="s">
        <v>888</v>
      </c>
      <c r="C170" s="4"/>
      <c r="D170" s="2" t="n">
        <v>8</v>
      </c>
      <c r="E170" s="5" t="s">
        <v>889</v>
      </c>
      <c r="F170" s="4" t="s">
        <v>890</v>
      </c>
      <c r="G170" s="4" t="s">
        <v>891</v>
      </c>
      <c r="H170" s="4" t="s">
        <v>51</v>
      </c>
      <c r="I170" s="2" t="n">
        <f aca="false">COUNTIF(Kanji!$C$2:$C$2502,A170)</f>
        <v>12</v>
      </c>
      <c r="J170" s="5" t="s">
        <v>892</v>
      </c>
    </row>
    <row r="171" customFormat="false" ht="23.85" hidden="false" customHeight="false" outlineLevel="0" collapsed="false">
      <c r="A171" s="2" t="n">
        <v>170</v>
      </c>
      <c r="B171" s="3" t="s">
        <v>893</v>
      </c>
      <c r="C171" s="5" t="s">
        <v>894</v>
      </c>
      <c r="D171" s="2" t="n">
        <v>8</v>
      </c>
      <c r="E171" s="5" t="s">
        <v>895</v>
      </c>
      <c r="F171" s="4" t="s">
        <v>896</v>
      </c>
      <c r="G171" s="4" t="s">
        <v>897</v>
      </c>
      <c r="H171" s="4" t="s">
        <v>92</v>
      </c>
      <c r="I171" s="2" t="n">
        <f aca="false">COUNTIF(Kanji!$C$2:$C$2502,A171)</f>
        <v>32</v>
      </c>
      <c r="J171" s="5" t="s">
        <v>898</v>
      </c>
    </row>
    <row r="172" customFormat="false" ht="23.85" hidden="false" customHeight="false" outlineLevel="0" collapsed="false">
      <c r="A172" s="2" t="n">
        <v>171</v>
      </c>
      <c r="B172" s="3" t="s">
        <v>899</v>
      </c>
      <c r="C172" s="4"/>
      <c r="D172" s="2" t="n">
        <v>8</v>
      </c>
      <c r="E172" s="5" t="s">
        <v>900</v>
      </c>
      <c r="F172" s="4" t="s">
        <v>901</v>
      </c>
      <c r="G172" s="4" t="s">
        <v>902</v>
      </c>
      <c r="H172" s="4" t="s">
        <v>58</v>
      </c>
      <c r="I172" s="2" t="n">
        <f aca="false">COUNTIF(Kanji!$C$2:$C$2502,A172)</f>
        <v>1</v>
      </c>
      <c r="J172" s="5" t="s">
        <v>903</v>
      </c>
    </row>
    <row r="173" customFormat="false" ht="23.85" hidden="false" customHeight="false" outlineLevel="0" collapsed="false">
      <c r="A173" s="2" t="n">
        <v>172</v>
      </c>
      <c r="B173" s="3" t="s">
        <v>904</v>
      </c>
      <c r="C173" s="4"/>
      <c r="D173" s="2" t="n">
        <v>8</v>
      </c>
      <c r="E173" s="5" t="s">
        <v>905</v>
      </c>
      <c r="F173" s="4" t="s">
        <v>906</v>
      </c>
      <c r="G173" s="4" t="s">
        <v>907</v>
      </c>
      <c r="H173" s="4" t="s">
        <v>495</v>
      </c>
      <c r="I173" s="2" t="n">
        <f aca="false">COUNTIF(Kanji!$C$2:$C$2502,A173)</f>
        <v>13</v>
      </c>
      <c r="J173" s="5" t="s">
        <v>908</v>
      </c>
    </row>
    <row r="174" customFormat="false" ht="23.85" hidden="false" customHeight="false" outlineLevel="0" collapsed="false">
      <c r="A174" s="2" t="n">
        <v>173</v>
      </c>
      <c r="B174" s="3" t="s">
        <v>909</v>
      </c>
      <c r="C174" s="4"/>
      <c r="D174" s="2" t="n">
        <v>8</v>
      </c>
      <c r="E174" s="5" t="s">
        <v>910</v>
      </c>
      <c r="F174" s="4" t="s">
        <v>911</v>
      </c>
      <c r="G174" s="4" t="s">
        <v>912</v>
      </c>
      <c r="H174" s="4" t="s">
        <v>202</v>
      </c>
      <c r="I174" s="2" t="n">
        <f aca="false">COUNTIF(Kanji!$C$2:$C$2502,A174)</f>
        <v>15</v>
      </c>
      <c r="J174" s="5" t="s">
        <v>913</v>
      </c>
    </row>
    <row r="175" customFormat="false" ht="23.85" hidden="false" customHeight="false" outlineLevel="0" collapsed="false">
      <c r="A175" s="2" t="n">
        <v>174</v>
      </c>
      <c r="B175" s="3" t="s">
        <v>914</v>
      </c>
      <c r="C175" s="5" t="s">
        <v>915</v>
      </c>
      <c r="D175" s="2" t="n">
        <v>8</v>
      </c>
      <c r="E175" s="5" t="s">
        <v>916</v>
      </c>
      <c r="F175" s="4" t="s">
        <v>917</v>
      </c>
      <c r="G175" s="4" t="s">
        <v>918</v>
      </c>
      <c r="H175" s="4" t="s">
        <v>234</v>
      </c>
      <c r="I175" s="2" t="n">
        <f aca="false">COUNTIF(Kanji!$C$2:$C$2502,A175)</f>
        <v>3</v>
      </c>
      <c r="J175" s="5" t="s">
        <v>919</v>
      </c>
    </row>
    <row r="176" customFormat="false" ht="23.85" hidden="false" customHeight="false" outlineLevel="0" collapsed="false">
      <c r="A176" s="2" t="n">
        <v>175</v>
      </c>
      <c r="B176" s="3" t="s">
        <v>920</v>
      </c>
      <c r="C176" s="4"/>
      <c r="D176" s="2" t="n">
        <v>8</v>
      </c>
      <c r="E176" s="5" t="s">
        <v>921</v>
      </c>
      <c r="F176" s="4" t="s">
        <v>922</v>
      </c>
      <c r="G176" s="4" t="s">
        <v>923</v>
      </c>
      <c r="H176" s="4" t="s">
        <v>234</v>
      </c>
      <c r="I176" s="2" t="n">
        <f aca="false">COUNTIF(Kanji!$C$2:$C$2502,A176)</f>
        <v>1</v>
      </c>
      <c r="J176" s="5" t="s">
        <v>920</v>
      </c>
    </row>
    <row r="177" customFormat="false" ht="23.85" hidden="false" customHeight="false" outlineLevel="0" collapsed="false">
      <c r="A177" s="2" t="n">
        <v>176</v>
      </c>
      <c r="B177" s="3" t="s">
        <v>924</v>
      </c>
      <c r="C177" s="4"/>
      <c r="D177" s="2" t="n">
        <v>9</v>
      </c>
      <c r="E177" s="5" t="s">
        <v>925</v>
      </c>
      <c r="F177" s="4" t="s">
        <v>926</v>
      </c>
      <c r="G177" s="4" t="s">
        <v>927</v>
      </c>
      <c r="H177" s="4" t="s">
        <v>234</v>
      </c>
      <c r="I177" s="2" t="n">
        <f aca="false">COUNTIF(Kanji!$C$2:$C$2502,A177)</f>
        <v>1</v>
      </c>
      <c r="J177" s="5" t="s">
        <v>924</v>
      </c>
    </row>
    <row r="178" customFormat="false" ht="23.85" hidden="false" customHeight="false" outlineLevel="0" collapsed="false">
      <c r="A178" s="2" t="n">
        <v>177</v>
      </c>
      <c r="B178" s="3" t="s">
        <v>928</v>
      </c>
      <c r="C178" s="4"/>
      <c r="D178" s="2" t="n">
        <v>9</v>
      </c>
      <c r="E178" s="5" t="s">
        <v>929</v>
      </c>
      <c r="F178" s="4" t="s">
        <v>930</v>
      </c>
      <c r="G178" s="4" t="s">
        <v>931</v>
      </c>
      <c r="H178" s="4" t="s">
        <v>234</v>
      </c>
      <c r="I178" s="2" t="n">
        <f aca="false">COUNTIF(Kanji!$C$2:$C$2502,A178)</f>
        <v>3</v>
      </c>
      <c r="J178" s="5" t="s">
        <v>932</v>
      </c>
    </row>
    <row r="179" customFormat="false" ht="23.85" hidden="false" customHeight="false" outlineLevel="0" collapsed="false">
      <c r="A179" s="2" t="n">
        <v>178</v>
      </c>
      <c r="B179" s="3" t="s">
        <v>933</v>
      </c>
      <c r="C179" s="4"/>
      <c r="D179" s="2" t="n">
        <v>9</v>
      </c>
      <c r="E179" s="5" t="s">
        <v>934</v>
      </c>
      <c r="F179" s="4" t="s">
        <v>935</v>
      </c>
      <c r="G179" s="4" t="s">
        <v>936</v>
      </c>
      <c r="H179" s="4" t="s">
        <v>234</v>
      </c>
      <c r="I179" s="2" t="n">
        <f aca="false">COUNTIF(Kanji!$C$2:$C$2502,A179)</f>
        <v>1</v>
      </c>
      <c r="J179" s="5" t="s">
        <v>937</v>
      </c>
    </row>
    <row r="180" customFormat="false" ht="23.85" hidden="false" customHeight="false" outlineLevel="0" collapsed="false">
      <c r="A180" s="2" t="n">
        <v>179</v>
      </c>
      <c r="B180" s="3" t="s">
        <v>938</v>
      </c>
      <c r="C180" s="4"/>
      <c r="D180" s="2" t="n">
        <v>9</v>
      </c>
      <c r="E180" s="5" t="s">
        <v>939</v>
      </c>
      <c r="F180" s="4" t="s">
        <v>940</v>
      </c>
      <c r="G180" s="4" t="s">
        <v>941</v>
      </c>
      <c r="H180" s="4" t="s">
        <v>251</v>
      </c>
      <c r="I180" s="2" t="n">
        <f aca="false">COUNTIF(Kanji!$C$2:$C$2502,A180)</f>
        <v>1</v>
      </c>
      <c r="J180" s="5" t="s">
        <v>942</v>
      </c>
    </row>
    <row r="181" customFormat="false" ht="23.85" hidden="false" customHeight="false" outlineLevel="0" collapsed="false">
      <c r="A181" s="2" t="n">
        <v>180</v>
      </c>
      <c r="B181" s="3" t="s">
        <v>943</v>
      </c>
      <c r="C181" s="4"/>
      <c r="D181" s="2" t="n">
        <v>9</v>
      </c>
      <c r="E181" s="5" t="s">
        <v>944</v>
      </c>
      <c r="F181" s="4" t="s">
        <v>945</v>
      </c>
      <c r="G181" s="4" t="s">
        <v>946</v>
      </c>
      <c r="H181" s="4" t="s">
        <v>367</v>
      </c>
      <c r="I181" s="2" t="n">
        <f aca="false">COUNTIF(Kanji!$C$2:$C$2502,A181)</f>
        <v>3</v>
      </c>
      <c r="J181" s="5" t="s">
        <v>947</v>
      </c>
    </row>
    <row r="182" customFormat="false" ht="23.85" hidden="false" customHeight="false" outlineLevel="0" collapsed="false">
      <c r="A182" s="2" t="n">
        <v>181</v>
      </c>
      <c r="B182" s="3" t="s">
        <v>948</v>
      </c>
      <c r="C182" s="4"/>
      <c r="D182" s="2" t="n">
        <v>9</v>
      </c>
      <c r="E182" s="5" t="s">
        <v>949</v>
      </c>
      <c r="F182" s="4" t="s">
        <v>950</v>
      </c>
      <c r="G182" s="4" t="s">
        <v>951</v>
      </c>
      <c r="H182" s="4" t="s">
        <v>166</v>
      </c>
      <c r="I182" s="2" t="n">
        <f aca="false">COUNTIF(Kanji!$C$2:$C$2502,A182)</f>
        <v>21</v>
      </c>
      <c r="J182" s="5" t="s">
        <v>952</v>
      </c>
    </row>
    <row r="183" customFormat="false" ht="23.85" hidden="false" customHeight="false" outlineLevel="0" collapsed="false">
      <c r="A183" s="2" t="n">
        <v>182</v>
      </c>
      <c r="B183" s="3" t="s">
        <v>953</v>
      </c>
      <c r="C183" s="4"/>
      <c r="D183" s="2" t="n">
        <v>9</v>
      </c>
      <c r="E183" s="5" t="s">
        <v>954</v>
      </c>
      <c r="F183" s="4" t="s">
        <v>955</v>
      </c>
      <c r="G183" s="4" t="s">
        <v>956</v>
      </c>
      <c r="H183" s="4" t="s">
        <v>202</v>
      </c>
      <c r="I183" s="2" t="n">
        <f aca="false">COUNTIF(Kanji!$C$2:$C$2502,A183)</f>
        <v>1</v>
      </c>
      <c r="J183" s="5" t="s">
        <v>953</v>
      </c>
    </row>
    <row r="184" customFormat="false" ht="23.85" hidden="false" customHeight="false" outlineLevel="0" collapsed="false">
      <c r="A184" s="2" t="n">
        <v>183</v>
      </c>
      <c r="B184" s="3" t="s">
        <v>957</v>
      </c>
      <c r="C184" s="4"/>
      <c r="D184" s="2" t="n">
        <v>9</v>
      </c>
      <c r="E184" s="5" t="s">
        <v>958</v>
      </c>
      <c r="F184" s="4" t="s">
        <v>959</v>
      </c>
      <c r="G184" s="4" t="s">
        <v>960</v>
      </c>
      <c r="H184" s="4" t="s">
        <v>70</v>
      </c>
      <c r="I184" s="2" t="n">
        <f aca="false">COUNTIF(Kanji!$C$2:$C$2502,A184)</f>
        <v>1</v>
      </c>
      <c r="J184" s="5" t="s">
        <v>957</v>
      </c>
    </row>
    <row r="185" customFormat="false" ht="23.85" hidden="false" customHeight="false" outlineLevel="0" collapsed="false">
      <c r="A185" s="2" t="n">
        <v>184</v>
      </c>
      <c r="B185" s="3" t="s">
        <v>961</v>
      </c>
      <c r="C185" s="5" t="s">
        <v>962</v>
      </c>
      <c r="D185" s="2" t="n">
        <v>9</v>
      </c>
      <c r="E185" s="5" t="s">
        <v>963</v>
      </c>
      <c r="F185" s="4" t="s">
        <v>964</v>
      </c>
      <c r="G185" s="4" t="s">
        <v>965</v>
      </c>
      <c r="H185" s="4" t="s">
        <v>160</v>
      </c>
      <c r="I185" s="2" t="n">
        <f aca="false">COUNTIF(Kanji!$C$2:$C$2502,A185)</f>
        <v>13</v>
      </c>
      <c r="J185" s="5" t="s">
        <v>966</v>
      </c>
    </row>
    <row r="186" customFormat="false" ht="23.85" hidden="false" customHeight="false" outlineLevel="0" collapsed="false">
      <c r="A186" s="2" t="n">
        <v>185</v>
      </c>
      <c r="B186" s="3" t="s">
        <v>967</v>
      </c>
      <c r="C186" s="4"/>
      <c r="D186" s="2" t="n">
        <v>9</v>
      </c>
      <c r="E186" s="5" t="s">
        <v>968</v>
      </c>
      <c r="F186" s="4" t="s">
        <v>969</v>
      </c>
      <c r="G186" s="4" t="s">
        <v>970</v>
      </c>
      <c r="H186" s="4" t="s">
        <v>166</v>
      </c>
      <c r="I186" s="2" t="n">
        <f aca="false">COUNTIF(Kanji!$C$2:$C$2502,A186)</f>
        <v>1</v>
      </c>
      <c r="J186" s="5" t="s">
        <v>967</v>
      </c>
    </row>
    <row r="187" customFormat="false" ht="23.85" hidden="false" customHeight="false" outlineLevel="0" collapsed="false">
      <c r="A187" s="2" t="n">
        <v>186</v>
      </c>
      <c r="B187" s="3" t="s">
        <v>971</v>
      </c>
      <c r="C187" s="4"/>
      <c r="D187" s="2" t="n">
        <v>9</v>
      </c>
      <c r="E187" s="5" t="s">
        <v>972</v>
      </c>
      <c r="F187" s="4" t="s">
        <v>973</v>
      </c>
      <c r="G187" s="4" t="s">
        <v>974</v>
      </c>
      <c r="H187" s="4" t="s">
        <v>234</v>
      </c>
      <c r="I187" s="2" t="n">
        <f aca="false">COUNTIF(Kanji!$C$2:$C$2502,A187)</f>
        <v>2</v>
      </c>
      <c r="J187" s="5" t="s">
        <v>975</v>
      </c>
    </row>
    <row r="188" customFormat="false" ht="23.85" hidden="false" customHeight="false" outlineLevel="0" collapsed="false">
      <c r="A188" s="2" t="n">
        <v>187</v>
      </c>
      <c r="B188" s="3" t="s">
        <v>976</v>
      </c>
      <c r="C188" s="4"/>
      <c r="D188" s="2" t="n">
        <v>10</v>
      </c>
      <c r="E188" s="5" t="s">
        <v>977</v>
      </c>
      <c r="F188" s="4" t="s">
        <v>978</v>
      </c>
      <c r="G188" s="4" t="s">
        <v>979</v>
      </c>
      <c r="H188" s="4" t="s">
        <v>495</v>
      </c>
      <c r="I188" s="2" t="n">
        <f aca="false">COUNTIF(Kanji!$C$2:$C$2502,A188)</f>
        <v>12</v>
      </c>
      <c r="J188" s="5" t="s">
        <v>980</v>
      </c>
    </row>
    <row r="189" customFormat="false" ht="23.85" hidden="false" customHeight="false" outlineLevel="0" collapsed="false">
      <c r="A189" s="2" t="n">
        <v>188</v>
      </c>
      <c r="B189" s="3" t="s">
        <v>981</v>
      </c>
      <c r="C189" s="4"/>
      <c r="D189" s="2" t="n">
        <v>10</v>
      </c>
      <c r="E189" s="5" t="s">
        <v>982</v>
      </c>
      <c r="F189" s="4" t="s">
        <v>983</v>
      </c>
      <c r="G189" s="4" t="s">
        <v>984</v>
      </c>
      <c r="H189" s="4" t="s">
        <v>166</v>
      </c>
      <c r="I189" s="2" t="n">
        <f aca="false">COUNTIF(Kanji!$C$2:$C$2502,A189)</f>
        <v>2</v>
      </c>
      <c r="J189" s="5" t="s">
        <v>985</v>
      </c>
    </row>
    <row r="190" customFormat="false" ht="23.85" hidden="false" customHeight="false" outlineLevel="0" collapsed="false">
      <c r="A190" s="2" t="n">
        <v>189</v>
      </c>
      <c r="B190" s="3" t="s">
        <v>986</v>
      </c>
      <c r="C190" s="5" t="s">
        <v>987</v>
      </c>
      <c r="D190" s="2" t="n">
        <v>10</v>
      </c>
      <c r="E190" s="5" t="s">
        <v>988</v>
      </c>
      <c r="F190" s="4" t="s">
        <v>989</v>
      </c>
      <c r="G190" s="4" t="s">
        <v>990</v>
      </c>
      <c r="H190" s="4" t="s">
        <v>234</v>
      </c>
      <c r="I190" s="2" t="n">
        <f aca="false">COUNTIF(Kanji!$C$2:$C$2502,A190)</f>
        <v>1</v>
      </c>
      <c r="J190" s="5" t="s">
        <v>986</v>
      </c>
    </row>
    <row r="191" customFormat="false" ht="32.8" hidden="false" customHeight="false" outlineLevel="0" collapsed="false">
      <c r="A191" s="2" t="n">
        <v>190</v>
      </c>
      <c r="B191" s="3" t="s">
        <v>991</v>
      </c>
      <c r="C191" s="4"/>
      <c r="D191" s="2" t="n">
        <v>10</v>
      </c>
      <c r="E191" s="5" t="s">
        <v>992</v>
      </c>
      <c r="F191" s="4" t="s">
        <v>993</v>
      </c>
      <c r="G191" s="4" t="s">
        <v>994</v>
      </c>
      <c r="H191" s="4" t="s">
        <v>166</v>
      </c>
      <c r="I191" s="2" t="n">
        <f aca="false">COUNTIF(Kanji!$C$2:$C$2502,A191)</f>
        <v>1</v>
      </c>
      <c r="J191" s="5" t="s">
        <v>995</v>
      </c>
    </row>
    <row r="192" customFormat="false" ht="32.8" hidden="false" customHeight="false" outlineLevel="0" collapsed="false">
      <c r="A192" s="2" t="n">
        <v>191</v>
      </c>
      <c r="B192" s="3" t="s">
        <v>996</v>
      </c>
      <c r="C192" s="4"/>
      <c r="D192" s="2" t="n">
        <v>10</v>
      </c>
      <c r="E192" s="5" t="s">
        <v>997</v>
      </c>
      <c r="F192" s="4" t="s">
        <v>998</v>
      </c>
      <c r="G192" s="4" t="s">
        <v>999</v>
      </c>
      <c r="H192" s="4" t="s">
        <v>160</v>
      </c>
      <c r="I192" s="2" t="n">
        <f aca="false">COUNTIF(Kanji!$C$2:$C$2502,A192)</f>
        <v>0</v>
      </c>
      <c r="J192" s="4"/>
    </row>
    <row r="193" customFormat="false" ht="23.85" hidden="false" customHeight="false" outlineLevel="0" collapsed="false">
      <c r="A193" s="2" t="n">
        <v>192</v>
      </c>
      <c r="B193" s="3" t="s">
        <v>1000</v>
      </c>
      <c r="C193" s="4"/>
      <c r="D193" s="2" t="n">
        <v>10</v>
      </c>
      <c r="E193" s="5" t="s">
        <v>1001</v>
      </c>
      <c r="F193" s="4" t="s">
        <v>1002</v>
      </c>
      <c r="G193" s="4" t="s">
        <v>1003</v>
      </c>
      <c r="H193" s="4" t="s">
        <v>160</v>
      </c>
      <c r="I193" s="2" t="n">
        <f aca="false">COUNTIF(Kanji!$C$2:$C$2502,A193)</f>
        <v>0</v>
      </c>
      <c r="J193" s="4"/>
    </row>
    <row r="194" customFormat="false" ht="23.85" hidden="false" customHeight="false" outlineLevel="0" collapsed="false">
      <c r="A194" s="2" t="n">
        <v>193</v>
      </c>
      <c r="B194" s="3" t="s">
        <v>1004</v>
      </c>
      <c r="C194" s="4"/>
      <c r="D194" s="2" t="n">
        <v>10</v>
      </c>
      <c r="E194" s="5" t="s">
        <v>1005</v>
      </c>
      <c r="F194" s="4" t="s">
        <v>1006</v>
      </c>
      <c r="G194" s="4" t="s">
        <v>1007</v>
      </c>
      <c r="H194" s="4" t="s">
        <v>98</v>
      </c>
      <c r="I194" s="2" t="n">
        <f aca="false">COUNTIF(Kanji!$C$2:$C$2502,A194)</f>
        <v>0</v>
      </c>
      <c r="J194" s="4"/>
    </row>
    <row r="195" customFormat="false" ht="23.85" hidden="false" customHeight="false" outlineLevel="0" collapsed="false">
      <c r="A195" s="2" t="n">
        <v>194</v>
      </c>
      <c r="B195" s="3" t="s">
        <v>1008</v>
      </c>
      <c r="C195" s="4"/>
      <c r="D195" s="2" t="n">
        <v>10</v>
      </c>
      <c r="E195" s="5" t="s">
        <v>1009</v>
      </c>
      <c r="F195" s="4" t="s">
        <v>1010</v>
      </c>
      <c r="G195" s="4" t="s">
        <v>1011</v>
      </c>
      <c r="H195" s="4" t="s">
        <v>367</v>
      </c>
      <c r="I195" s="2" t="n">
        <f aca="false">COUNTIF(Kanji!$C$2:$C$2502,A195)</f>
        <v>6</v>
      </c>
      <c r="J195" s="5" t="s">
        <v>1012</v>
      </c>
    </row>
    <row r="196" customFormat="false" ht="23.85" hidden="false" customHeight="false" outlineLevel="0" collapsed="false">
      <c r="A196" s="2" t="n">
        <v>195</v>
      </c>
      <c r="B196" s="3" t="s">
        <v>1013</v>
      </c>
      <c r="C196" s="4"/>
      <c r="D196" s="2" t="n">
        <v>11</v>
      </c>
      <c r="E196" s="5" t="s">
        <v>1014</v>
      </c>
      <c r="F196" s="4" t="s">
        <v>1015</v>
      </c>
      <c r="G196" s="4" t="s">
        <v>1016</v>
      </c>
      <c r="H196" s="4" t="s">
        <v>495</v>
      </c>
      <c r="I196" s="2" t="n">
        <f aca="false">COUNTIF(Kanji!$C$2:$C$2502,A196)</f>
        <v>11</v>
      </c>
      <c r="J196" s="5" t="s">
        <v>1017</v>
      </c>
    </row>
    <row r="197" customFormat="false" ht="23.85" hidden="false" customHeight="false" outlineLevel="0" collapsed="false">
      <c r="A197" s="2" t="n">
        <v>196</v>
      </c>
      <c r="B197" s="3" t="s">
        <v>1018</v>
      </c>
      <c r="C197" s="4"/>
      <c r="D197" s="2" t="n">
        <v>11</v>
      </c>
      <c r="E197" s="5" t="s">
        <v>1019</v>
      </c>
      <c r="F197" s="4" t="s">
        <v>1020</v>
      </c>
      <c r="G197" s="4" t="s">
        <v>1021</v>
      </c>
      <c r="H197" s="4" t="s">
        <v>495</v>
      </c>
      <c r="I197" s="2" t="n">
        <f aca="false">COUNTIF(Kanji!$C$2:$C$2502,A197)</f>
        <v>16</v>
      </c>
      <c r="J197" s="5" t="s">
        <v>1022</v>
      </c>
    </row>
    <row r="198" customFormat="false" ht="23.85" hidden="false" customHeight="false" outlineLevel="0" collapsed="false">
      <c r="A198" s="2" t="n">
        <v>197</v>
      </c>
      <c r="B198" s="3" t="s">
        <v>1023</v>
      </c>
      <c r="C198" s="4"/>
      <c r="D198" s="2" t="n">
        <v>11</v>
      </c>
      <c r="E198" s="5" t="s">
        <v>1024</v>
      </c>
      <c r="F198" s="4" t="s">
        <v>1025</v>
      </c>
      <c r="G198" s="4" t="s">
        <v>1026</v>
      </c>
      <c r="H198" s="4" t="s">
        <v>160</v>
      </c>
      <c r="I198" s="2" t="n">
        <f aca="false">COUNTIF(Kanji!$C$2:$C$2502,A198)</f>
        <v>0</v>
      </c>
      <c r="J198" s="4"/>
    </row>
    <row r="199" customFormat="false" ht="23.85" hidden="false" customHeight="false" outlineLevel="0" collapsed="false">
      <c r="A199" s="2" t="n">
        <v>198</v>
      </c>
      <c r="B199" s="3" t="s">
        <v>1027</v>
      </c>
      <c r="C199" s="4"/>
      <c r="D199" s="2" t="n">
        <v>11</v>
      </c>
      <c r="E199" s="5" t="s">
        <v>1028</v>
      </c>
      <c r="F199" s="4" t="s">
        <v>1029</v>
      </c>
      <c r="G199" s="4" t="s">
        <v>1030</v>
      </c>
      <c r="H199" s="4" t="s">
        <v>495</v>
      </c>
      <c r="I199" s="2" t="n">
        <f aca="false">COUNTIF(Kanji!$C$2:$C$2502,A199)</f>
        <v>3</v>
      </c>
      <c r="J199" s="5" t="s">
        <v>1031</v>
      </c>
    </row>
    <row r="200" customFormat="false" ht="23.85" hidden="false" customHeight="false" outlineLevel="0" collapsed="false">
      <c r="A200" s="2" t="n">
        <v>199</v>
      </c>
      <c r="B200" s="3" t="s">
        <v>1032</v>
      </c>
      <c r="C200" s="5" t="s">
        <v>1033</v>
      </c>
      <c r="D200" s="2" t="n">
        <v>11</v>
      </c>
      <c r="E200" s="5" t="s">
        <v>1034</v>
      </c>
      <c r="F200" s="4" t="s">
        <v>1035</v>
      </c>
      <c r="G200" s="4" t="s">
        <v>1036</v>
      </c>
      <c r="H200" s="4" t="s">
        <v>251</v>
      </c>
      <c r="I200" s="2" t="n">
        <f aca="false">COUNTIF(Kanji!$C$2:$C$2502,A200)</f>
        <v>3</v>
      </c>
      <c r="J200" s="5" t="s">
        <v>1037</v>
      </c>
    </row>
    <row r="201" customFormat="false" ht="23.85" hidden="false" customHeight="false" outlineLevel="0" collapsed="false">
      <c r="A201" s="2" t="n">
        <v>200</v>
      </c>
      <c r="B201" s="3" t="s">
        <v>1038</v>
      </c>
      <c r="C201" s="4"/>
      <c r="D201" s="2" t="n">
        <v>11</v>
      </c>
      <c r="E201" s="5" t="s">
        <v>1039</v>
      </c>
      <c r="F201" s="4" t="s">
        <v>1040</v>
      </c>
      <c r="G201" s="4" t="s">
        <v>1041</v>
      </c>
      <c r="H201" s="4" t="s">
        <v>251</v>
      </c>
      <c r="I201" s="2" t="n">
        <f aca="false">COUNTIF(Kanji!$C$2:$C$2502,A201)</f>
        <v>1</v>
      </c>
      <c r="J201" s="5" t="s">
        <v>1038</v>
      </c>
    </row>
    <row r="202" customFormat="false" ht="23.85" hidden="false" customHeight="false" outlineLevel="0" collapsed="false">
      <c r="A202" s="2" t="n">
        <v>201</v>
      </c>
      <c r="B202" s="3" t="s">
        <v>1042</v>
      </c>
      <c r="C202" s="5" t="s">
        <v>1043</v>
      </c>
      <c r="D202" s="2" t="n">
        <v>12</v>
      </c>
      <c r="E202" s="5" t="s">
        <v>1044</v>
      </c>
      <c r="F202" s="4" t="s">
        <v>1045</v>
      </c>
      <c r="G202" s="4" t="s">
        <v>1046</v>
      </c>
      <c r="H202" s="4" t="s">
        <v>234</v>
      </c>
      <c r="I202" s="2" t="n">
        <f aca="false">COUNTIF(Kanji!$C$2:$C$2502,A202)</f>
        <v>1</v>
      </c>
      <c r="J202" s="5" t="s">
        <v>1043</v>
      </c>
    </row>
    <row r="203" customFormat="false" ht="23.85" hidden="false" customHeight="false" outlineLevel="0" collapsed="false">
      <c r="A203" s="2" t="n">
        <v>202</v>
      </c>
      <c r="B203" s="3" t="s">
        <v>1047</v>
      </c>
      <c r="C203" s="4"/>
      <c r="D203" s="2" t="n">
        <v>12</v>
      </c>
      <c r="E203" s="5" t="s">
        <v>1048</v>
      </c>
      <c r="F203" s="4" t="s">
        <v>1049</v>
      </c>
      <c r="G203" s="4" t="s">
        <v>1050</v>
      </c>
      <c r="H203" s="4" t="s">
        <v>251</v>
      </c>
      <c r="I203" s="2" t="n">
        <f aca="false">COUNTIF(Kanji!$C$2:$C$2502,A203)</f>
        <v>1</v>
      </c>
      <c r="J203" s="5" t="s">
        <v>1051</v>
      </c>
    </row>
    <row r="204" customFormat="false" ht="23.85" hidden="false" customHeight="false" outlineLevel="0" collapsed="false">
      <c r="A204" s="2" t="n">
        <v>203</v>
      </c>
      <c r="B204" s="3" t="s">
        <v>1052</v>
      </c>
      <c r="C204" s="5" t="s">
        <v>1053</v>
      </c>
      <c r="D204" s="2" t="n">
        <v>12</v>
      </c>
      <c r="E204" s="5" t="s">
        <v>1054</v>
      </c>
      <c r="F204" s="4" t="s">
        <v>1055</v>
      </c>
      <c r="G204" s="4" t="s">
        <v>1056</v>
      </c>
      <c r="H204" s="4" t="s">
        <v>234</v>
      </c>
      <c r="I204" s="2" t="n">
        <f aca="false">COUNTIF(Kanji!$C$2:$C$2502,A204)</f>
        <v>3</v>
      </c>
      <c r="J204" s="5" t="s">
        <v>1057</v>
      </c>
    </row>
    <row r="205" customFormat="false" ht="23.85" hidden="false" customHeight="false" outlineLevel="0" collapsed="false">
      <c r="A205" s="2" t="n">
        <v>204</v>
      </c>
      <c r="B205" s="3" t="s">
        <v>1058</v>
      </c>
      <c r="C205" s="4"/>
      <c r="D205" s="2" t="n">
        <v>12</v>
      </c>
      <c r="E205" s="5" t="s">
        <v>1059</v>
      </c>
      <c r="F205" s="4" t="s">
        <v>1060</v>
      </c>
      <c r="G205" s="4" t="s">
        <v>1061</v>
      </c>
      <c r="H205" s="4" t="s">
        <v>160</v>
      </c>
      <c r="I205" s="2" t="n">
        <f aca="false">COUNTIF(Kanji!$C$2:$C$2502,A205)</f>
        <v>0</v>
      </c>
      <c r="J205" s="4"/>
    </row>
    <row r="206" customFormat="false" ht="23.85" hidden="false" customHeight="false" outlineLevel="0" collapsed="false">
      <c r="A206" s="2" t="n">
        <v>205</v>
      </c>
      <c r="B206" s="3" t="s">
        <v>1062</v>
      </c>
      <c r="C206" s="4"/>
      <c r="D206" s="2" t="n">
        <v>13</v>
      </c>
      <c r="E206" s="5" t="s">
        <v>1063</v>
      </c>
      <c r="F206" s="4" t="s">
        <v>1064</v>
      </c>
      <c r="G206" s="4" t="s">
        <v>1065</v>
      </c>
      <c r="H206" s="4" t="s">
        <v>495</v>
      </c>
      <c r="I206" s="2" t="n">
        <f aca="false">COUNTIF(Kanji!$C$2:$C$2502,A206)</f>
        <v>0</v>
      </c>
      <c r="J206" s="4"/>
    </row>
    <row r="207" customFormat="false" ht="23.85" hidden="false" customHeight="false" outlineLevel="0" collapsed="false">
      <c r="A207" s="2" t="n">
        <v>206</v>
      </c>
      <c r="B207" s="3" t="s">
        <v>1066</v>
      </c>
      <c r="C207" s="4"/>
      <c r="D207" s="2" t="n">
        <v>13</v>
      </c>
      <c r="E207" s="5" t="s">
        <v>1067</v>
      </c>
      <c r="F207" s="4" t="s">
        <v>1068</v>
      </c>
      <c r="G207" s="4" t="s">
        <v>1069</v>
      </c>
      <c r="H207" s="4" t="s">
        <v>98</v>
      </c>
      <c r="I207" s="2" t="n">
        <f aca="false">COUNTIF(Kanji!$C$2:$C$2502,A207)</f>
        <v>0</v>
      </c>
      <c r="J207" s="4"/>
    </row>
    <row r="208" customFormat="false" ht="23.85" hidden="false" customHeight="false" outlineLevel="0" collapsed="false">
      <c r="A208" s="2" t="n">
        <v>207</v>
      </c>
      <c r="B208" s="3" t="s">
        <v>1070</v>
      </c>
      <c r="C208" s="4"/>
      <c r="D208" s="2" t="n">
        <v>13</v>
      </c>
      <c r="E208" s="5" t="s">
        <v>1071</v>
      </c>
      <c r="F208" s="4" t="s">
        <v>1072</v>
      </c>
      <c r="G208" s="4" t="s">
        <v>1073</v>
      </c>
      <c r="H208" s="4" t="s">
        <v>98</v>
      </c>
      <c r="I208" s="2" t="n">
        <f aca="false">COUNTIF(Kanji!$C$2:$C$2502,A208)</f>
        <v>1</v>
      </c>
      <c r="J208" s="5" t="s">
        <v>1070</v>
      </c>
    </row>
    <row r="209" customFormat="false" ht="23.85" hidden="false" customHeight="false" outlineLevel="0" collapsed="false">
      <c r="A209" s="2" t="n">
        <v>208</v>
      </c>
      <c r="B209" s="3" t="s">
        <v>1074</v>
      </c>
      <c r="C209" s="4"/>
      <c r="D209" s="2" t="n">
        <v>13</v>
      </c>
      <c r="E209" s="5" t="s">
        <v>1075</v>
      </c>
      <c r="F209" s="4" t="s">
        <v>1076</v>
      </c>
      <c r="G209" s="4" t="s">
        <v>1077</v>
      </c>
      <c r="H209" s="4" t="s">
        <v>495</v>
      </c>
      <c r="I209" s="2" t="n">
        <f aca="false">COUNTIF(Kanji!$C$2:$C$2502,A209)</f>
        <v>0</v>
      </c>
      <c r="J209" s="4"/>
    </row>
    <row r="210" customFormat="false" ht="23.85" hidden="false" customHeight="false" outlineLevel="0" collapsed="false">
      <c r="A210" s="2" t="n">
        <v>209</v>
      </c>
      <c r="B210" s="3" t="s">
        <v>1078</v>
      </c>
      <c r="C210" s="4"/>
      <c r="D210" s="2" t="n">
        <v>14</v>
      </c>
      <c r="E210" s="5" t="s">
        <v>1079</v>
      </c>
      <c r="F210" s="4" t="s">
        <v>1080</v>
      </c>
      <c r="G210" s="4" t="s">
        <v>1081</v>
      </c>
      <c r="H210" s="4" t="s">
        <v>166</v>
      </c>
      <c r="I210" s="2" t="n">
        <f aca="false">COUNTIF(Kanji!$C$2:$C$2502,A210)</f>
        <v>1</v>
      </c>
      <c r="J210" s="5" t="s">
        <v>1078</v>
      </c>
    </row>
    <row r="211" customFormat="false" ht="23.85" hidden="false" customHeight="false" outlineLevel="0" collapsed="false">
      <c r="A211" s="2" t="n">
        <v>210</v>
      </c>
      <c r="B211" s="3" t="s">
        <v>1082</v>
      </c>
      <c r="C211" s="5" t="s">
        <v>1083</v>
      </c>
      <c r="D211" s="2" t="n">
        <v>14</v>
      </c>
      <c r="E211" s="5" t="s">
        <v>1084</v>
      </c>
      <c r="F211" s="4" t="s">
        <v>1085</v>
      </c>
      <c r="G211" s="4" t="s">
        <v>1086</v>
      </c>
      <c r="H211" s="4" t="s">
        <v>160</v>
      </c>
      <c r="I211" s="2" t="n">
        <f aca="false">COUNTIF(Kanji!$C$2:$C$2502,A211)</f>
        <v>0</v>
      </c>
      <c r="J211" s="4"/>
    </row>
    <row r="212" customFormat="false" ht="23.85" hidden="false" customHeight="false" outlineLevel="0" collapsed="false">
      <c r="A212" s="2" t="n">
        <v>211</v>
      </c>
      <c r="B212" s="3" t="s">
        <v>1087</v>
      </c>
      <c r="C212" s="5" t="s">
        <v>1088</v>
      </c>
      <c r="D212" s="2" t="n">
        <v>15</v>
      </c>
      <c r="E212" s="5" t="s">
        <v>1089</v>
      </c>
      <c r="F212" s="4" t="s">
        <v>1090</v>
      </c>
      <c r="G212" s="4" t="s">
        <v>1091</v>
      </c>
      <c r="H212" s="4" t="s">
        <v>166</v>
      </c>
      <c r="I212" s="2" t="n">
        <f aca="false">COUNTIF(Kanji!$C$2:$C$2502,A212)</f>
        <v>1</v>
      </c>
      <c r="J212" s="5" t="s">
        <v>1092</v>
      </c>
    </row>
    <row r="213" customFormat="false" ht="23.85" hidden="false" customHeight="false" outlineLevel="0" collapsed="false">
      <c r="A213" s="2" t="n">
        <v>212</v>
      </c>
      <c r="B213" s="3" t="s">
        <v>1093</v>
      </c>
      <c r="C213" s="5" t="s">
        <v>1094</v>
      </c>
      <c r="D213" s="2" t="n">
        <v>16</v>
      </c>
      <c r="E213" s="5" t="s">
        <v>1095</v>
      </c>
      <c r="F213" s="4" t="s">
        <v>1096</v>
      </c>
      <c r="G213" s="4" t="s">
        <v>1097</v>
      </c>
      <c r="H213" s="4" t="s">
        <v>495</v>
      </c>
      <c r="I213" s="2" t="n">
        <f aca="false">COUNTIF(Kanji!$C$2:$C$2502,A213)</f>
        <v>1</v>
      </c>
      <c r="J213" s="5" t="s">
        <v>1093</v>
      </c>
    </row>
    <row r="214" customFormat="false" ht="23.85" hidden="false" customHeight="false" outlineLevel="0" collapsed="false">
      <c r="A214" s="2" t="n">
        <v>213</v>
      </c>
      <c r="B214" s="3" t="s">
        <v>1098</v>
      </c>
      <c r="C214" s="5" t="s">
        <v>1099</v>
      </c>
      <c r="D214" s="2" t="n">
        <v>16</v>
      </c>
      <c r="E214" s="5" t="s">
        <v>1100</v>
      </c>
      <c r="F214" s="4" t="s">
        <v>1101</v>
      </c>
      <c r="G214" s="4" t="s">
        <v>1102</v>
      </c>
      <c r="H214" s="4" t="s">
        <v>495</v>
      </c>
      <c r="I214" s="2" t="n">
        <f aca="false">COUNTIF(Kanji!$C$2:$C$2502,A214)</f>
        <v>0</v>
      </c>
      <c r="J214" s="4"/>
    </row>
    <row r="215" customFormat="false" ht="23.85" hidden="false" customHeight="false" outlineLevel="0" collapsed="false">
      <c r="A215" s="2" t="n">
        <v>214</v>
      </c>
      <c r="B215" s="3" t="s">
        <v>1103</v>
      </c>
      <c r="C215" s="4"/>
      <c r="D215" s="2" t="n">
        <v>17</v>
      </c>
      <c r="E215" s="5" t="s">
        <v>1104</v>
      </c>
      <c r="F215" s="4" t="s">
        <v>1105</v>
      </c>
      <c r="G215" s="4" t="s">
        <v>1106</v>
      </c>
      <c r="H215" s="4" t="s">
        <v>98</v>
      </c>
      <c r="I215" s="2" t="n">
        <f aca="false">COUNTIF(Kanji!$C$2:$C$2502,A215)</f>
        <v>0</v>
      </c>
      <c r="J215" s="4"/>
    </row>
    <row r="217" customFormat="false" ht="15" hidden="false" customHeight="false" outlineLevel="0" collapsed="false">
      <c r="A217" s="6" t="s">
        <v>1107</v>
      </c>
      <c r="I217" s="7" t="n">
        <f aca="false">SUM(I2:I215)</f>
        <v>2501</v>
      </c>
    </row>
  </sheetData>
  <autoFilter ref="A1:J2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12"/>
    <col collapsed="false" customWidth="true" hidden="false" outlineLevel="0" max="4" min="4" style="0" width="10"/>
    <col collapsed="false" customWidth="true" hidden="false" outlineLevel="0" max="5" min="5" style="0" width="28"/>
    <col collapsed="false" customWidth="true" hidden="false" outlineLevel="0" max="6" min="6" style="0" width="15"/>
    <col collapsed="false" customWidth="true" hidden="false" outlineLevel="0" max="7" min="7" style="0" width="13"/>
  </cols>
  <sheetData>
    <row r="1" customFormat="false" ht="30" hidden="false" customHeight="true" outlineLevel="0" collapsed="false">
      <c r="A1" s="1" t="s">
        <v>1108</v>
      </c>
      <c r="B1" s="1" t="s">
        <v>1109</v>
      </c>
      <c r="C1" s="1" t="s">
        <v>1110</v>
      </c>
      <c r="D1" s="1" t="s">
        <v>1</v>
      </c>
      <c r="E1" s="1" t="s">
        <v>1111</v>
      </c>
      <c r="F1" s="1" t="s">
        <v>1112</v>
      </c>
      <c r="G1" s="1" t="s">
        <v>1113</v>
      </c>
    </row>
    <row r="2" customFormat="false" ht="17.35" hidden="false" customHeight="false" outlineLevel="0" collapsed="false">
      <c r="A2" s="8" t="n">
        <v>1</v>
      </c>
      <c r="B2" s="9" t="s">
        <v>390</v>
      </c>
      <c r="C2" s="8" t="n">
        <v>72</v>
      </c>
      <c r="D2" s="9" t="str">
        <f aca="false">INDEX(Radicals!$B$2:$B$215,MATCH(C2,Radicals!$A$2:$A$215,0))</f>
        <v>日</v>
      </c>
      <c r="E2" s="10" t="str">
        <f aca="false">INDEX(Radicals!$G$2:$G$215,MATCH(C2,Radicals!$A$2:$A$215,0))</f>
        <v>sun, day</v>
      </c>
      <c r="F2" s="8" t="n">
        <f aca="false">INDEX(Radicals!$D$2:$D$215,MATCH(C2,Radicals!$A$2:$A$215,0))</f>
        <v>4</v>
      </c>
      <c r="G2" s="8" t="n">
        <v>4</v>
      </c>
    </row>
    <row r="3" customFormat="false" ht="17.35" hidden="false" customHeight="false" outlineLevel="0" collapsed="false">
      <c r="A3" s="8" t="n">
        <v>2</v>
      </c>
      <c r="B3" s="9" t="s">
        <v>10</v>
      </c>
      <c r="C3" s="8" t="n">
        <v>1</v>
      </c>
      <c r="D3" s="9" t="str">
        <f aca="false">INDEX(Radicals!$B$2:$B$215,MATCH(C3,Radicals!$A$2:$A$215,0))</f>
        <v>一</v>
      </c>
      <c r="E3" s="10" t="str">
        <f aca="false">INDEX(Radicals!$G$2:$G$215,MATCH(C3,Radicals!$A$2:$A$215,0))</f>
        <v>one</v>
      </c>
      <c r="F3" s="8" t="n">
        <f aca="false">INDEX(Radicals!$D$2:$D$215,MATCH(C3,Radicals!$A$2:$A$215,0))</f>
        <v>1</v>
      </c>
      <c r="G3" s="8" t="n">
        <v>1</v>
      </c>
    </row>
    <row r="4" customFormat="false" ht="17.35" hidden="false" customHeight="false" outlineLevel="0" collapsed="false">
      <c r="A4" s="8" t="n">
        <v>3</v>
      </c>
      <c r="B4" s="9" t="s">
        <v>1114</v>
      </c>
      <c r="C4" s="8" t="n">
        <v>31</v>
      </c>
      <c r="D4" s="9" t="str">
        <f aca="false">INDEX(Radicals!$B$2:$B$215,MATCH(C4,Radicals!$A$2:$A$215,0))</f>
        <v>囗</v>
      </c>
      <c r="E4" s="10" t="str">
        <f aca="false">INDEX(Radicals!$G$2:$G$215,MATCH(C4,Radicals!$A$2:$A$215,0))</f>
        <v>enclosure</v>
      </c>
      <c r="F4" s="8" t="n">
        <f aca="false">INDEX(Radicals!$D$2:$D$215,MATCH(C4,Radicals!$A$2:$A$215,0))</f>
        <v>3</v>
      </c>
      <c r="G4" s="8" t="n">
        <v>8</v>
      </c>
    </row>
    <row r="5" customFormat="false" ht="17.35" hidden="false" customHeight="false" outlineLevel="0" collapsed="false">
      <c r="A5" s="8" t="n">
        <v>4</v>
      </c>
      <c r="B5" s="9" t="s">
        <v>1115</v>
      </c>
      <c r="C5" s="8" t="n">
        <v>9</v>
      </c>
      <c r="D5" s="9" t="str">
        <f aca="false">INDEX(Radicals!$B$2:$B$215,MATCH(C5,Radicals!$A$2:$A$215,0))</f>
        <v>人</v>
      </c>
      <c r="E5" s="10" t="str">
        <f aca="false">INDEX(Radicals!$G$2:$G$215,MATCH(C5,Radicals!$A$2:$A$215,0))</f>
        <v>person</v>
      </c>
      <c r="F5" s="8" t="n">
        <f aca="false">INDEX(Radicals!$D$2:$D$215,MATCH(C5,Radicals!$A$2:$A$215,0))</f>
        <v>2</v>
      </c>
      <c r="G5" s="8" t="n">
        <v>6</v>
      </c>
    </row>
    <row r="6" customFormat="false" ht="17.35" hidden="false" customHeight="false" outlineLevel="0" collapsed="false">
      <c r="A6" s="8" t="n">
        <v>5</v>
      </c>
      <c r="B6" s="9" t="s">
        <v>53</v>
      </c>
      <c r="C6" s="8" t="n">
        <v>9</v>
      </c>
      <c r="D6" s="9" t="str">
        <f aca="false">INDEX(Radicals!$B$2:$B$215,MATCH(C6,Radicals!$A$2:$A$215,0))</f>
        <v>人</v>
      </c>
      <c r="E6" s="10" t="str">
        <f aca="false">INDEX(Radicals!$G$2:$G$215,MATCH(C6,Radicals!$A$2:$A$215,0))</f>
        <v>person</v>
      </c>
      <c r="F6" s="8" t="n">
        <f aca="false">INDEX(Radicals!$D$2:$D$215,MATCH(C6,Radicals!$A$2:$A$215,0))</f>
        <v>2</v>
      </c>
      <c r="G6" s="8" t="n">
        <v>2</v>
      </c>
    </row>
    <row r="7" customFormat="false" ht="17.35" hidden="false" customHeight="false" outlineLevel="0" collapsed="false">
      <c r="A7" s="8" t="n">
        <v>6</v>
      </c>
      <c r="B7" s="9" t="s">
        <v>1116</v>
      </c>
      <c r="C7" s="8" t="n">
        <v>51</v>
      </c>
      <c r="D7" s="9" t="str">
        <f aca="false">INDEX(Radicals!$B$2:$B$215,MATCH(C7,Radicals!$A$2:$A$215,0))</f>
        <v>干</v>
      </c>
      <c r="E7" s="10" t="str">
        <f aca="false">INDEX(Radicals!$G$2:$G$215,MATCH(C7,Radicals!$A$2:$A$215,0))</f>
        <v>dry, to do with</v>
      </c>
      <c r="F7" s="8" t="n">
        <f aca="false">INDEX(Radicals!$D$2:$D$215,MATCH(C7,Radicals!$A$2:$A$215,0))</f>
        <v>3</v>
      </c>
      <c r="G7" s="8" t="n">
        <v>6</v>
      </c>
    </row>
    <row r="8" customFormat="false" ht="17.35" hidden="false" customHeight="false" outlineLevel="0" collapsed="false">
      <c r="A8" s="8" t="n">
        <v>7</v>
      </c>
      <c r="B8" s="9" t="s">
        <v>204</v>
      </c>
      <c r="C8" s="8" t="n">
        <v>37</v>
      </c>
      <c r="D8" s="9" t="str">
        <f aca="false">INDEX(Radicals!$B$2:$B$215,MATCH(C8,Radicals!$A$2:$A$215,0))</f>
        <v>大</v>
      </c>
      <c r="E8" s="10" t="str">
        <f aca="false">INDEX(Radicals!$G$2:$G$215,MATCH(C8,Radicals!$A$2:$A$215,0))</f>
        <v>big</v>
      </c>
      <c r="F8" s="8" t="n">
        <f aca="false">INDEX(Radicals!$D$2:$D$215,MATCH(C8,Radicals!$A$2:$A$215,0))</f>
        <v>3</v>
      </c>
      <c r="G8" s="8" t="n">
        <v>3</v>
      </c>
    </row>
    <row r="9" customFormat="false" ht="17.35" hidden="false" customHeight="false" outlineLevel="0" collapsed="false">
      <c r="A9" s="8" t="n">
        <v>8</v>
      </c>
      <c r="B9" s="9" t="s">
        <v>136</v>
      </c>
      <c r="C9" s="8" t="n">
        <v>24</v>
      </c>
      <c r="D9" s="9" t="str">
        <f aca="false">INDEX(Radicals!$B$2:$B$215,MATCH(C9,Radicals!$A$2:$A$215,0))</f>
        <v>十</v>
      </c>
      <c r="E9" s="10" t="str">
        <f aca="false">INDEX(Radicals!$G$2:$G$215,MATCH(C9,Radicals!$A$2:$A$215,0))</f>
        <v>ten</v>
      </c>
      <c r="F9" s="8" t="n">
        <f aca="false">INDEX(Radicals!$D$2:$D$215,MATCH(C9,Radicals!$A$2:$A$215,0))</f>
        <v>2</v>
      </c>
      <c r="G9" s="8" t="n">
        <v>2</v>
      </c>
    </row>
    <row r="10" customFormat="false" ht="17.35" hidden="false" customHeight="false" outlineLevel="0" collapsed="false">
      <c r="A10" s="8" t="n">
        <v>9</v>
      </c>
      <c r="B10" s="9" t="s">
        <v>42</v>
      </c>
      <c r="C10" s="8" t="n">
        <v>7</v>
      </c>
      <c r="D10" s="9" t="str">
        <f aca="false">INDEX(Radicals!$B$2:$B$215,MATCH(C10,Radicals!$A$2:$A$215,0))</f>
        <v>二</v>
      </c>
      <c r="E10" s="10" t="str">
        <f aca="false">INDEX(Radicals!$G$2:$G$215,MATCH(C10,Radicals!$A$2:$A$215,0))</f>
        <v>two</v>
      </c>
      <c r="F10" s="8" t="n">
        <f aca="false">INDEX(Radicals!$D$2:$D$215,MATCH(C10,Radicals!$A$2:$A$215,0))</f>
        <v>2</v>
      </c>
      <c r="G10" s="8" t="n">
        <v>2</v>
      </c>
    </row>
    <row r="11" customFormat="false" ht="17.35" hidden="false" customHeight="false" outlineLevel="0" collapsed="false">
      <c r="A11" s="8" t="n">
        <v>10</v>
      </c>
      <c r="B11" s="9" t="s">
        <v>1117</v>
      </c>
      <c r="C11" s="8" t="n">
        <v>75</v>
      </c>
      <c r="D11" s="9" t="str">
        <f aca="false">INDEX(Radicals!$B$2:$B$215,MATCH(C11,Radicals!$A$2:$A$215,0))</f>
        <v>木</v>
      </c>
      <c r="E11" s="10" t="str">
        <f aca="false">INDEX(Radicals!$G$2:$G$215,MATCH(C11,Radicals!$A$2:$A$215,0))</f>
        <v>tree, wood</v>
      </c>
      <c r="F11" s="8" t="n">
        <f aca="false">INDEX(Radicals!$D$2:$D$215,MATCH(C11,Radicals!$A$2:$A$215,0))</f>
        <v>4</v>
      </c>
      <c r="G11" s="8" t="n">
        <v>5</v>
      </c>
    </row>
    <row r="12" customFormat="false" ht="17.35" hidden="false" customHeight="false" outlineLevel="0" collapsed="false">
      <c r="A12" s="8" t="n">
        <v>11</v>
      </c>
      <c r="B12" s="9" t="s">
        <v>1118</v>
      </c>
      <c r="C12" s="8" t="n">
        <v>2</v>
      </c>
      <c r="D12" s="9" t="str">
        <f aca="false">INDEX(Radicals!$B$2:$B$215,MATCH(C12,Radicals!$A$2:$A$215,0))</f>
        <v>丨</v>
      </c>
      <c r="E12" s="10" t="str">
        <f aca="false">INDEX(Radicals!$G$2:$G$215,MATCH(C12,Radicals!$A$2:$A$215,0))</f>
        <v>vertical line</v>
      </c>
      <c r="F12" s="8" t="n">
        <f aca="false">INDEX(Radicals!$D$2:$D$215,MATCH(C12,Radicals!$A$2:$A$215,0))</f>
        <v>1</v>
      </c>
      <c r="G12" s="8" t="n">
        <v>4</v>
      </c>
    </row>
    <row r="13" customFormat="false" ht="17.35" hidden="false" customHeight="false" outlineLevel="0" collapsed="false">
      <c r="A13" s="8" t="n">
        <v>12</v>
      </c>
      <c r="B13" s="9" t="s">
        <v>883</v>
      </c>
      <c r="C13" s="8" t="n">
        <v>168</v>
      </c>
      <c r="D13" s="9" t="str">
        <f aca="false">INDEX(Radicals!$B$2:$B$215,MATCH(C13,Radicals!$A$2:$A$215,0))</f>
        <v>長</v>
      </c>
      <c r="E13" s="10" t="str">
        <f aca="false">INDEX(Radicals!$G$2:$G$215,MATCH(C13,Radicals!$A$2:$A$215,0))</f>
        <v>long</v>
      </c>
      <c r="F13" s="8" t="n">
        <f aca="false">INDEX(Radicals!$D$2:$D$215,MATCH(C13,Radicals!$A$2:$A$215,0))</f>
        <v>8</v>
      </c>
      <c r="G13" s="8" t="n">
        <v>8</v>
      </c>
    </row>
    <row r="14" customFormat="false" ht="17.35" hidden="false" customHeight="false" outlineLevel="0" collapsed="false">
      <c r="A14" s="8" t="n">
        <v>13</v>
      </c>
      <c r="B14" s="9" t="s">
        <v>1119</v>
      </c>
      <c r="C14" s="8" t="n">
        <v>17</v>
      </c>
      <c r="D14" s="9" t="str">
        <f aca="false">INDEX(Radicals!$B$2:$B$215,MATCH(C14,Radicals!$A$2:$A$215,0))</f>
        <v>凵</v>
      </c>
      <c r="E14" s="10" t="str">
        <f aca="false">INDEX(Radicals!$G$2:$G$215,MATCH(C14,Radicals!$A$2:$A$215,0))</f>
        <v>open box</v>
      </c>
      <c r="F14" s="8" t="n">
        <f aca="false">INDEX(Radicals!$D$2:$D$215,MATCH(C14,Radicals!$A$2:$A$215,0))</f>
        <v>2</v>
      </c>
      <c r="G14" s="8" t="n">
        <v>5</v>
      </c>
    </row>
    <row r="15" customFormat="false" ht="17.35" hidden="false" customHeight="false" outlineLevel="0" collapsed="false">
      <c r="A15" s="8" t="n">
        <v>14</v>
      </c>
      <c r="B15" s="9" t="s">
        <v>1120</v>
      </c>
      <c r="C15" s="8" t="n">
        <v>1</v>
      </c>
      <c r="D15" s="9" t="str">
        <f aca="false">INDEX(Radicals!$B$2:$B$215,MATCH(C15,Radicals!$A$2:$A$215,0))</f>
        <v>一</v>
      </c>
      <c r="E15" s="10" t="str">
        <f aca="false">INDEX(Radicals!$G$2:$G$215,MATCH(C15,Radicals!$A$2:$A$215,0))</f>
        <v>one</v>
      </c>
      <c r="F15" s="8" t="n">
        <f aca="false">INDEX(Radicals!$D$2:$D$215,MATCH(C15,Radicals!$A$2:$A$215,0))</f>
        <v>1</v>
      </c>
      <c r="G15" s="8" t="n">
        <v>3</v>
      </c>
    </row>
    <row r="16" customFormat="false" ht="17.35" hidden="false" customHeight="false" outlineLevel="0" collapsed="false">
      <c r="A16" s="8" t="n">
        <v>15</v>
      </c>
      <c r="B16" s="9" t="s">
        <v>1121</v>
      </c>
      <c r="C16" s="8" t="n">
        <v>30</v>
      </c>
      <c r="D16" s="9" t="str">
        <f aca="false">INDEX(Radicals!$B$2:$B$215,MATCH(C16,Radicals!$A$2:$A$215,0))</f>
        <v>口</v>
      </c>
      <c r="E16" s="10" t="str">
        <f aca="false">INDEX(Radicals!$G$2:$G$215,MATCH(C16,Radicals!$A$2:$A$215,0))</f>
        <v>mouth</v>
      </c>
      <c r="F16" s="8" t="n">
        <f aca="false">INDEX(Radicals!$D$2:$D$215,MATCH(C16,Radicals!$A$2:$A$215,0))</f>
        <v>3</v>
      </c>
      <c r="G16" s="8" t="n">
        <v>6</v>
      </c>
    </row>
    <row r="17" customFormat="false" ht="17.35" hidden="false" customHeight="false" outlineLevel="0" collapsed="false">
      <c r="A17" s="8" t="n">
        <v>16</v>
      </c>
      <c r="B17" s="9" t="s">
        <v>1122</v>
      </c>
      <c r="C17" s="8" t="n">
        <v>72</v>
      </c>
      <c r="D17" s="9" t="str">
        <f aca="false">INDEX(Radicals!$B$2:$B$215,MATCH(C17,Radicals!$A$2:$A$215,0))</f>
        <v>日</v>
      </c>
      <c r="E17" s="10" t="str">
        <f aca="false">INDEX(Radicals!$G$2:$G$215,MATCH(C17,Radicals!$A$2:$A$215,0))</f>
        <v>sun, day</v>
      </c>
      <c r="F17" s="8" t="n">
        <f aca="false">INDEX(Radicals!$D$2:$D$215,MATCH(C17,Radicals!$A$2:$A$215,0))</f>
        <v>4</v>
      </c>
      <c r="G17" s="8" t="n">
        <v>10</v>
      </c>
    </row>
    <row r="18" customFormat="false" ht="17.35" hidden="false" customHeight="false" outlineLevel="0" collapsed="false">
      <c r="A18" s="8" t="n">
        <v>17</v>
      </c>
      <c r="B18" s="9" t="s">
        <v>1123</v>
      </c>
      <c r="C18" s="8" t="n">
        <v>66</v>
      </c>
      <c r="D18" s="9" t="str">
        <f aca="false">INDEX(Radicals!$B$2:$B$215,MATCH(C18,Radicals!$A$2:$A$215,0))</f>
        <v>攴</v>
      </c>
      <c r="E18" s="10" t="str">
        <f aca="false">INDEX(Radicals!$G$2:$G$215,MATCH(C18,Radicals!$A$2:$A$215,0))</f>
        <v>rap, tap, strike</v>
      </c>
      <c r="F18" s="8" t="n">
        <f aca="false">INDEX(Radicals!$D$2:$D$215,MATCH(C18,Radicals!$A$2:$A$215,0))</f>
        <v>4</v>
      </c>
      <c r="G18" s="8" t="n">
        <v>9</v>
      </c>
    </row>
    <row r="19" customFormat="false" ht="17.35" hidden="false" customHeight="false" outlineLevel="0" collapsed="false">
      <c r="A19" s="8" t="n">
        <v>18</v>
      </c>
      <c r="B19" s="9" t="s">
        <v>1124</v>
      </c>
      <c r="C19" s="8" t="n">
        <v>6</v>
      </c>
      <c r="D19" s="9" t="str">
        <f aca="false">INDEX(Radicals!$B$2:$B$215,MATCH(C19,Radicals!$A$2:$A$215,0))</f>
        <v>亅</v>
      </c>
      <c r="E19" s="10" t="str">
        <f aca="false">INDEX(Radicals!$G$2:$G$215,MATCH(C19,Radicals!$A$2:$A$215,0))</f>
        <v>hook, barb</v>
      </c>
      <c r="F19" s="8" t="n">
        <f aca="false">INDEX(Radicals!$D$2:$D$215,MATCH(C19,Radicals!$A$2:$A$215,0))</f>
        <v>1</v>
      </c>
      <c r="G19" s="8" t="n">
        <v>8</v>
      </c>
    </row>
    <row r="20" customFormat="false" ht="17.35" hidden="false" customHeight="false" outlineLevel="0" collapsed="false">
      <c r="A20" s="8" t="n">
        <v>19</v>
      </c>
      <c r="B20" s="9" t="s">
        <v>698</v>
      </c>
      <c r="C20" s="8" t="n">
        <v>132</v>
      </c>
      <c r="D20" s="9" t="str">
        <f aca="false">INDEX(Radicals!$B$2:$B$215,MATCH(C20,Radicals!$A$2:$A$215,0))</f>
        <v>自</v>
      </c>
      <c r="E20" s="10" t="str">
        <f aca="false">INDEX(Radicals!$G$2:$G$215,MATCH(C20,Radicals!$A$2:$A$215,0))</f>
        <v>self</v>
      </c>
      <c r="F20" s="8" t="n">
        <f aca="false">INDEX(Radicals!$D$2:$D$215,MATCH(C20,Radicals!$A$2:$A$215,0))</f>
        <v>6</v>
      </c>
      <c r="G20" s="8" t="n">
        <v>6</v>
      </c>
    </row>
    <row r="21" customFormat="false" ht="17.35" hidden="false" customHeight="false" outlineLevel="0" collapsed="false">
      <c r="A21" s="8" t="n">
        <v>20</v>
      </c>
      <c r="B21" s="9" t="s">
        <v>759</v>
      </c>
      <c r="C21" s="8" t="n">
        <v>144</v>
      </c>
      <c r="D21" s="9" t="str">
        <f aca="false">INDEX(Radicals!$B$2:$B$215,MATCH(C21,Radicals!$A$2:$A$215,0))</f>
        <v>行</v>
      </c>
      <c r="E21" s="10" t="str">
        <f aca="false">INDEX(Radicals!$G$2:$G$215,MATCH(C21,Radicals!$A$2:$A$215,0))</f>
        <v>walk, go, line</v>
      </c>
      <c r="F21" s="8" t="n">
        <f aca="false">INDEX(Radicals!$D$2:$D$215,MATCH(C21,Radicals!$A$2:$A$215,0))</f>
        <v>6</v>
      </c>
      <c r="G21" s="8" t="n">
        <v>6</v>
      </c>
    </row>
    <row r="22" customFormat="false" ht="17.35" hidden="false" customHeight="false" outlineLevel="0" collapsed="false">
      <c r="A22" s="8" t="n">
        <v>21</v>
      </c>
      <c r="B22" s="9" t="s">
        <v>1125</v>
      </c>
      <c r="C22" s="8" t="n">
        <v>113</v>
      </c>
      <c r="D22" s="9" t="str">
        <f aca="false">INDEX(Radicals!$B$2:$B$215,MATCH(C22,Radicals!$A$2:$A$215,0))</f>
        <v>示</v>
      </c>
      <c r="E22" s="10" t="str">
        <f aca="false">INDEX(Radicals!$G$2:$G$215,MATCH(C22,Radicals!$A$2:$A$215,0))</f>
        <v>spirit, altar, show</v>
      </c>
      <c r="F22" s="8" t="n">
        <f aca="false">INDEX(Radicals!$D$2:$D$215,MATCH(C22,Radicals!$A$2:$A$215,0))</f>
        <v>5</v>
      </c>
      <c r="G22" s="8" t="n">
        <v>7</v>
      </c>
    </row>
    <row r="23" customFormat="false" ht="17.35" hidden="false" customHeight="false" outlineLevel="0" collapsed="false">
      <c r="A23" s="8" t="n">
        <v>22</v>
      </c>
      <c r="B23" s="9" t="s">
        <v>776</v>
      </c>
      <c r="C23" s="8" t="n">
        <v>147</v>
      </c>
      <c r="D23" s="9" t="str">
        <f aca="false">INDEX(Radicals!$B$2:$B$215,MATCH(C23,Radicals!$A$2:$A$215,0))</f>
        <v>見</v>
      </c>
      <c r="E23" s="10" t="str">
        <f aca="false">INDEX(Radicals!$G$2:$G$215,MATCH(C23,Radicals!$A$2:$A$215,0))</f>
        <v>see</v>
      </c>
      <c r="F23" s="8" t="n">
        <f aca="false">INDEX(Radicals!$D$2:$D$215,MATCH(C23,Radicals!$A$2:$A$215,0))</f>
        <v>7</v>
      </c>
      <c r="G23" s="8" t="n">
        <v>7</v>
      </c>
    </row>
    <row r="24" customFormat="false" ht="17.35" hidden="false" customHeight="false" outlineLevel="0" collapsed="false">
      <c r="A24" s="8" t="n">
        <v>23</v>
      </c>
      <c r="B24" s="9" t="s">
        <v>400</v>
      </c>
      <c r="C24" s="8" t="n">
        <v>74</v>
      </c>
      <c r="D24" s="9" t="str">
        <f aca="false">INDEX(Radicals!$B$2:$B$215,MATCH(C24,Radicals!$A$2:$A$215,0))</f>
        <v>月</v>
      </c>
      <c r="E24" s="10" t="str">
        <f aca="false">INDEX(Radicals!$G$2:$G$215,MATCH(C24,Radicals!$A$2:$A$215,0))</f>
        <v>moon, month</v>
      </c>
      <c r="F24" s="8" t="n">
        <f aca="false">INDEX(Radicals!$D$2:$D$215,MATCH(C24,Radicals!$A$2:$A$215,0))</f>
        <v>4</v>
      </c>
      <c r="G24" s="8" t="n">
        <v>4</v>
      </c>
    </row>
    <row r="25" customFormat="false" ht="17.35" hidden="false" customHeight="false" outlineLevel="0" collapsed="false">
      <c r="A25" s="8" t="n">
        <v>24</v>
      </c>
      <c r="B25" s="9" t="s">
        <v>1126</v>
      </c>
      <c r="C25" s="8" t="n">
        <v>18</v>
      </c>
      <c r="D25" s="9" t="str">
        <f aca="false">INDEX(Radicals!$B$2:$B$215,MATCH(C25,Radicals!$A$2:$A$215,0))</f>
        <v>刀</v>
      </c>
      <c r="E25" s="10" t="str">
        <f aca="false">INDEX(Radicals!$G$2:$G$215,MATCH(C25,Radicals!$A$2:$A$215,0))</f>
        <v>knife, sword</v>
      </c>
      <c r="F25" s="8" t="n">
        <f aca="false">INDEX(Radicals!$D$2:$D$215,MATCH(C25,Radicals!$A$2:$A$215,0))</f>
        <v>2</v>
      </c>
      <c r="G25" s="8" t="n">
        <v>4</v>
      </c>
    </row>
    <row r="26" customFormat="false" ht="17.35" hidden="false" customHeight="false" outlineLevel="0" collapsed="false">
      <c r="A26" s="8" t="n">
        <v>25</v>
      </c>
      <c r="B26" s="9" t="s">
        <v>1127</v>
      </c>
      <c r="C26" s="8" t="n">
        <v>149</v>
      </c>
      <c r="D26" s="9" t="str">
        <f aca="false">INDEX(Radicals!$B$2:$B$215,MATCH(C26,Radicals!$A$2:$A$215,0))</f>
        <v>言</v>
      </c>
      <c r="E26" s="10" t="str">
        <f aca="false">INDEX(Radicals!$G$2:$G$215,MATCH(C26,Radicals!$A$2:$A$215,0))</f>
        <v>speech, say</v>
      </c>
      <c r="F26" s="8" t="n">
        <f aca="false">INDEX(Radicals!$D$2:$D$215,MATCH(C26,Radicals!$A$2:$A$215,0))</f>
        <v>7</v>
      </c>
      <c r="G26" s="8" t="n">
        <v>20</v>
      </c>
    </row>
    <row r="27" customFormat="false" ht="17.35" hidden="false" customHeight="false" outlineLevel="0" collapsed="false">
      <c r="A27" s="8" t="n">
        <v>26</v>
      </c>
      <c r="B27" s="9" t="s">
        <v>1128</v>
      </c>
      <c r="C27" s="8" t="n">
        <v>60</v>
      </c>
      <c r="D27" s="9" t="str">
        <f aca="false">INDEX(Radicals!$B$2:$B$215,MATCH(C27,Radicals!$A$2:$A$215,0))</f>
        <v>彳</v>
      </c>
      <c r="E27" s="10" t="str">
        <f aca="false">INDEX(Radicals!$G$2:$G$215,MATCH(C27,Radicals!$A$2:$A$215,0))</f>
        <v>step, small step</v>
      </c>
      <c r="F27" s="8" t="n">
        <f aca="false">INDEX(Radicals!$D$2:$D$215,MATCH(C27,Radicals!$A$2:$A$215,0))</f>
        <v>3</v>
      </c>
      <c r="G27" s="8" t="n">
        <v>9</v>
      </c>
    </row>
    <row r="28" customFormat="false" ht="17.35" hidden="false" customHeight="false" outlineLevel="0" collapsed="false">
      <c r="A28" s="8" t="n">
        <v>27</v>
      </c>
      <c r="B28" s="9" t="s">
        <v>1129</v>
      </c>
      <c r="C28" s="8" t="n">
        <v>18</v>
      </c>
      <c r="D28" s="9" t="str">
        <f aca="false">INDEX(Radicals!$B$2:$B$215,MATCH(C28,Radicals!$A$2:$A$215,0))</f>
        <v>刀</v>
      </c>
      <c r="E28" s="10" t="str">
        <f aca="false">INDEX(Radicals!$G$2:$G$215,MATCH(C28,Radicals!$A$2:$A$215,0))</f>
        <v>knife, sword</v>
      </c>
      <c r="F28" s="8" t="n">
        <f aca="false">INDEX(Radicals!$D$2:$D$215,MATCH(C28,Radicals!$A$2:$A$215,0))</f>
        <v>2</v>
      </c>
      <c r="G28" s="8" t="n">
        <v>9</v>
      </c>
    </row>
    <row r="29" customFormat="false" ht="17.35" hidden="false" customHeight="false" outlineLevel="0" collapsed="false">
      <c r="A29" s="8" t="n">
        <v>28</v>
      </c>
      <c r="B29" s="9" t="s">
        <v>1130</v>
      </c>
      <c r="C29" s="8" t="n">
        <v>83</v>
      </c>
      <c r="D29" s="9" t="str">
        <f aca="false">INDEX(Radicals!$B$2:$B$215,MATCH(C29,Radicals!$A$2:$A$215,0))</f>
        <v>氏</v>
      </c>
      <c r="E29" s="10" t="str">
        <f aca="false">INDEX(Radicals!$G$2:$G$215,MATCH(C29,Radicals!$A$2:$A$215,0))</f>
        <v>clan</v>
      </c>
      <c r="F29" s="8" t="n">
        <f aca="false">INDEX(Radicals!$D$2:$D$215,MATCH(C29,Radicals!$A$2:$A$215,0))</f>
        <v>4</v>
      </c>
      <c r="G29" s="8" t="n">
        <v>5</v>
      </c>
    </row>
    <row r="30" customFormat="false" ht="17.35" hidden="false" customHeight="false" outlineLevel="0" collapsed="false">
      <c r="A30" s="8" t="n">
        <v>29</v>
      </c>
      <c r="B30" s="9" t="s">
        <v>533</v>
      </c>
      <c r="C30" s="8" t="n">
        <v>100</v>
      </c>
      <c r="D30" s="9" t="str">
        <f aca="false">INDEX(Radicals!$B$2:$B$215,MATCH(C30,Radicals!$A$2:$A$215,0))</f>
        <v>生</v>
      </c>
      <c r="E30" s="10" t="str">
        <f aca="false">INDEX(Radicals!$G$2:$G$215,MATCH(C30,Radicals!$A$2:$A$215,0))</f>
        <v>life, birth</v>
      </c>
      <c r="F30" s="8" t="n">
        <f aca="false">INDEX(Radicals!$D$2:$D$215,MATCH(C30,Radicals!$A$2:$A$215,0))</f>
        <v>5</v>
      </c>
      <c r="G30" s="8" t="n">
        <v>5</v>
      </c>
    </row>
    <row r="31" customFormat="false" ht="17.35" hidden="false" customHeight="false" outlineLevel="0" collapsed="false">
      <c r="A31" s="8" t="n">
        <v>30</v>
      </c>
      <c r="B31" s="9" t="s">
        <v>1131</v>
      </c>
      <c r="C31" s="8" t="n">
        <v>162</v>
      </c>
      <c r="D31" s="9" t="str">
        <f aca="false">INDEX(Radicals!$B$2:$B$215,MATCH(C31,Radicals!$A$2:$A$215,0))</f>
        <v>辵</v>
      </c>
      <c r="E31" s="10" t="str">
        <f aca="false">INDEX(Radicals!$G$2:$G$215,MATCH(C31,Radicals!$A$2:$A$215,0))</f>
        <v>walk, movement</v>
      </c>
      <c r="F31" s="8" t="n">
        <f aca="false">INDEX(Radicals!$D$2:$D$215,MATCH(C31,Radicals!$A$2:$A$215,0))</f>
        <v>7</v>
      </c>
      <c r="G31" s="8" t="n">
        <v>10</v>
      </c>
    </row>
    <row r="32" customFormat="false" ht="17.35" hidden="false" customHeight="false" outlineLevel="0" collapsed="false">
      <c r="A32" s="8" t="n">
        <v>31</v>
      </c>
      <c r="B32" s="9" t="s">
        <v>1132</v>
      </c>
      <c r="C32" s="8" t="n">
        <v>7</v>
      </c>
      <c r="D32" s="9" t="str">
        <f aca="false">INDEX(Radicals!$B$2:$B$215,MATCH(C32,Radicals!$A$2:$A$215,0))</f>
        <v>二</v>
      </c>
      <c r="E32" s="10" t="str">
        <f aca="false">INDEX(Radicals!$G$2:$G$215,MATCH(C32,Radicals!$A$2:$A$215,0))</f>
        <v>two</v>
      </c>
      <c r="F32" s="8" t="n">
        <f aca="false">INDEX(Radicals!$D$2:$D$215,MATCH(C32,Radicals!$A$2:$A$215,0))</f>
        <v>2</v>
      </c>
      <c r="G32" s="8" t="n">
        <v>4</v>
      </c>
    </row>
    <row r="33" customFormat="false" ht="17.35" hidden="false" customHeight="false" outlineLevel="0" collapsed="false">
      <c r="A33" s="8" t="n">
        <v>32</v>
      </c>
      <c r="B33" s="9" t="s">
        <v>1133</v>
      </c>
      <c r="C33" s="8" t="n">
        <v>105</v>
      </c>
      <c r="D33" s="9" t="str">
        <f aca="false">INDEX(Radicals!$B$2:$B$215,MATCH(C33,Radicals!$A$2:$A$215,0))</f>
        <v>癶</v>
      </c>
      <c r="E33" s="10" t="str">
        <f aca="false">INDEX(Radicals!$G$2:$G$215,MATCH(C33,Radicals!$A$2:$A$215,0))</f>
        <v>footsteps, legs spread</v>
      </c>
      <c r="F33" s="8" t="n">
        <f aca="false">INDEX(Radicals!$D$2:$D$215,MATCH(C33,Radicals!$A$2:$A$215,0))</f>
        <v>5</v>
      </c>
      <c r="G33" s="8" t="n">
        <v>9</v>
      </c>
    </row>
    <row r="34" customFormat="false" ht="17.35" hidden="false" customHeight="false" outlineLevel="0" collapsed="false">
      <c r="A34" s="8" t="n">
        <v>33</v>
      </c>
      <c r="B34" s="9" t="s">
        <v>1134</v>
      </c>
      <c r="C34" s="8" t="n">
        <v>169</v>
      </c>
      <c r="D34" s="9" t="str">
        <f aca="false">INDEX(Radicals!$B$2:$B$215,MATCH(C34,Radicals!$A$2:$A$215,0))</f>
        <v>門</v>
      </c>
      <c r="E34" s="10" t="str">
        <f aca="false">INDEX(Radicals!$G$2:$G$215,MATCH(C34,Radicals!$A$2:$A$215,0))</f>
        <v>gate</v>
      </c>
      <c r="F34" s="8" t="n">
        <f aca="false">INDEX(Radicals!$D$2:$D$215,MATCH(C34,Radicals!$A$2:$A$215,0))</f>
        <v>8</v>
      </c>
      <c r="G34" s="8" t="n">
        <v>12</v>
      </c>
    </row>
    <row r="35" customFormat="false" ht="17.35" hidden="false" customHeight="false" outlineLevel="0" collapsed="false">
      <c r="A35" s="8" t="n">
        <v>34</v>
      </c>
      <c r="B35" s="9" t="s">
        <v>1135</v>
      </c>
      <c r="C35" s="8" t="n">
        <v>41</v>
      </c>
      <c r="D35" s="9" t="str">
        <f aca="false">INDEX(Radicals!$B$2:$B$215,MATCH(C35,Radicals!$A$2:$A$215,0))</f>
        <v>寸</v>
      </c>
      <c r="E35" s="10" t="str">
        <f aca="false">INDEX(Radicals!$G$2:$G$215,MATCH(C35,Radicals!$A$2:$A$215,0))</f>
        <v>inch</v>
      </c>
      <c r="F35" s="8" t="n">
        <f aca="false">INDEX(Radicals!$D$2:$D$215,MATCH(C35,Radicals!$A$2:$A$215,0))</f>
        <v>3</v>
      </c>
      <c r="G35" s="8" t="n">
        <v>7</v>
      </c>
    </row>
    <row r="36" customFormat="false" ht="17.35" hidden="false" customHeight="false" outlineLevel="0" collapsed="false">
      <c r="A36" s="8" t="n">
        <v>35</v>
      </c>
      <c r="B36" s="9" t="s">
        <v>1136</v>
      </c>
      <c r="C36" s="8" t="n">
        <v>1</v>
      </c>
      <c r="D36" s="9" t="str">
        <f aca="false">INDEX(Radicals!$B$2:$B$215,MATCH(C36,Radicals!$A$2:$A$215,0))</f>
        <v>一</v>
      </c>
      <c r="E36" s="10" t="str">
        <f aca="false">INDEX(Radicals!$G$2:$G$215,MATCH(C36,Radicals!$A$2:$A$215,0))</f>
        <v>one</v>
      </c>
      <c r="F36" s="8" t="n">
        <f aca="false">INDEX(Radicals!$D$2:$D$215,MATCH(C36,Radicals!$A$2:$A$215,0))</f>
        <v>1</v>
      </c>
      <c r="G36" s="8" t="n">
        <v>3</v>
      </c>
    </row>
    <row r="37" customFormat="false" ht="17.35" hidden="false" customHeight="false" outlineLevel="0" collapsed="false">
      <c r="A37" s="8" t="n">
        <v>36</v>
      </c>
      <c r="B37" s="9" t="s">
        <v>1137</v>
      </c>
      <c r="C37" s="8" t="n">
        <v>163</v>
      </c>
      <c r="D37" s="9" t="str">
        <f aca="false">INDEX(Radicals!$B$2:$B$215,MATCH(C37,Radicals!$A$2:$A$215,0))</f>
        <v>邑</v>
      </c>
      <c r="E37" s="10" t="str">
        <f aca="false">INDEX(Radicals!$G$2:$G$215,MATCH(C37,Radicals!$A$2:$A$215,0))</f>
        <v>city, village</v>
      </c>
      <c r="F37" s="8" t="n">
        <f aca="false">INDEX(Radicals!$D$2:$D$215,MATCH(C37,Radicals!$A$2:$A$215,0))</f>
        <v>7</v>
      </c>
      <c r="G37" s="8" t="n">
        <v>11</v>
      </c>
    </row>
    <row r="38" customFormat="false" ht="17.35" hidden="false" customHeight="false" outlineLevel="0" collapsed="false">
      <c r="A38" s="8" t="n">
        <v>37</v>
      </c>
      <c r="B38" s="9" t="s">
        <v>1138</v>
      </c>
      <c r="C38" s="8" t="n">
        <v>75</v>
      </c>
      <c r="D38" s="9" t="str">
        <f aca="false">INDEX(Radicals!$B$2:$B$215,MATCH(C38,Radicals!$A$2:$A$215,0))</f>
        <v>木</v>
      </c>
      <c r="E38" s="10" t="str">
        <f aca="false">INDEX(Radicals!$G$2:$G$215,MATCH(C38,Radicals!$A$2:$A$215,0))</f>
        <v>tree, wood</v>
      </c>
      <c r="F38" s="8" t="n">
        <f aca="false">INDEX(Radicals!$D$2:$D$215,MATCH(C38,Radicals!$A$2:$A$215,0))</f>
        <v>4</v>
      </c>
      <c r="G38" s="8" t="n">
        <v>8</v>
      </c>
    </row>
    <row r="39" customFormat="false" ht="17.35" hidden="false" customHeight="false" outlineLevel="0" collapsed="false">
      <c r="A39" s="8" t="n">
        <v>38</v>
      </c>
      <c r="B39" s="9" t="s">
        <v>1139</v>
      </c>
      <c r="C39" s="8" t="n">
        <v>125</v>
      </c>
      <c r="D39" s="9" t="str">
        <f aca="false">INDEX(Radicals!$B$2:$B$215,MATCH(C39,Radicals!$A$2:$A$215,0))</f>
        <v>老</v>
      </c>
      <c r="E39" s="10" t="str">
        <f aca="false">INDEX(Radicals!$G$2:$G$215,MATCH(C39,Radicals!$A$2:$A$215,0))</f>
        <v>old</v>
      </c>
      <c r="F39" s="8" t="n">
        <f aca="false">INDEX(Radicals!$D$2:$D$215,MATCH(C39,Radicals!$A$2:$A$215,0))</f>
        <v>6</v>
      </c>
      <c r="G39" s="8" t="n">
        <v>8</v>
      </c>
    </row>
    <row r="40" customFormat="false" ht="17.35" hidden="false" customHeight="false" outlineLevel="0" collapsed="false">
      <c r="A40" s="8" t="n">
        <v>39</v>
      </c>
      <c r="B40" s="9" t="s">
        <v>1140</v>
      </c>
      <c r="C40" s="8" t="n">
        <v>10</v>
      </c>
      <c r="D40" s="9" t="str">
        <f aca="false">INDEX(Radicals!$B$2:$B$215,MATCH(C40,Radicals!$A$2:$A$215,0))</f>
        <v>儿</v>
      </c>
      <c r="E40" s="10" t="str">
        <f aca="false">INDEX(Radicals!$G$2:$G$215,MATCH(C40,Radicals!$A$2:$A$215,0))</f>
        <v>legs, walking person</v>
      </c>
      <c r="F40" s="8" t="n">
        <f aca="false">INDEX(Radicals!$D$2:$D$215,MATCH(C40,Radicals!$A$2:$A$215,0))</f>
        <v>2</v>
      </c>
      <c r="G40" s="8" t="n">
        <v>10</v>
      </c>
    </row>
    <row r="41" customFormat="false" ht="17.35" hidden="false" customHeight="false" outlineLevel="0" collapsed="false">
      <c r="A41" s="8" t="n">
        <v>40</v>
      </c>
      <c r="B41" s="9" t="s">
        <v>1141</v>
      </c>
      <c r="C41" s="8" t="n">
        <v>32</v>
      </c>
      <c r="D41" s="9" t="str">
        <f aca="false">INDEX(Radicals!$B$2:$B$215,MATCH(C41,Radicals!$A$2:$A$215,0))</f>
        <v>土</v>
      </c>
      <c r="E41" s="10" t="str">
        <f aca="false">INDEX(Radicals!$G$2:$G$215,MATCH(C41,Radicals!$A$2:$A$215,0))</f>
        <v>earth, soil</v>
      </c>
      <c r="F41" s="8" t="n">
        <f aca="false">INDEX(Radicals!$D$2:$D$215,MATCH(C41,Radicals!$A$2:$A$215,0))</f>
        <v>3</v>
      </c>
      <c r="G41" s="8" t="n">
        <v>6</v>
      </c>
    </row>
    <row r="42" customFormat="false" ht="17.35" hidden="false" customHeight="false" outlineLevel="0" collapsed="false">
      <c r="A42" s="8" t="n">
        <v>41</v>
      </c>
      <c r="B42" s="9" t="s">
        <v>1142</v>
      </c>
      <c r="C42" s="8" t="n">
        <v>30</v>
      </c>
      <c r="D42" s="9" t="str">
        <f aca="false">INDEX(Radicals!$B$2:$B$215,MATCH(C42,Radicals!$A$2:$A$215,0))</f>
        <v>口</v>
      </c>
      <c r="E42" s="10" t="str">
        <f aca="false">INDEX(Radicals!$G$2:$G$215,MATCH(C42,Radicals!$A$2:$A$215,0))</f>
        <v>mouth</v>
      </c>
      <c r="F42" s="8" t="n">
        <f aca="false">INDEX(Radicals!$D$2:$D$215,MATCH(C42,Radicals!$A$2:$A$215,0))</f>
        <v>3</v>
      </c>
      <c r="G42" s="8" t="n">
        <v>6</v>
      </c>
    </row>
    <row r="43" customFormat="false" ht="17.35" hidden="false" customHeight="false" outlineLevel="0" collapsed="false">
      <c r="A43" s="8" t="n">
        <v>42</v>
      </c>
      <c r="B43" s="9" t="s">
        <v>1143</v>
      </c>
      <c r="C43" s="8" t="n">
        <v>50</v>
      </c>
      <c r="D43" s="9" t="str">
        <f aca="false">INDEX(Radicals!$B$2:$B$215,MATCH(C43,Radicals!$A$2:$A$215,0))</f>
        <v>巾</v>
      </c>
      <c r="E43" s="10" t="str">
        <f aca="false">INDEX(Radicals!$G$2:$G$215,MATCH(C43,Radicals!$A$2:$A$215,0))</f>
        <v>turban, cloth</v>
      </c>
      <c r="F43" s="8" t="n">
        <f aca="false">INDEX(Radicals!$D$2:$D$215,MATCH(C43,Radicals!$A$2:$A$215,0))</f>
        <v>3</v>
      </c>
      <c r="G43" s="8" t="n">
        <v>5</v>
      </c>
    </row>
    <row r="44" customFormat="false" ht="17.35" hidden="false" customHeight="false" outlineLevel="0" collapsed="false">
      <c r="A44" s="8" t="n">
        <v>43</v>
      </c>
      <c r="B44" s="9" t="s">
        <v>1144</v>
      </c>
      <c r="C44" s="8" t="n">
        <v>75</v>
      </c>
      <c r="D44" s="9" t="str">
        <f aca="false">INDEX(Radicals!$B$2:$B$215,MATCH(C44,Radicals!$A$2:$A$215,0))</f>
        <v>木</v>
      </c>
      <c r="E44" s="10" t="str">
        <f aca="false">INDEX(Radicals!$G$2:$G$215,MATCH(C44,Radicals!$A$2:$A$215,0))</f>
        <v>tree, wood</v>
      </c>
      <c r="F44" s="8" t="n">
        <f aca="false">INDEX(Radicals!$D$2:$D$215,MATCH(C44,Radicals!$A$2:$A$215,0))</f>
        <v>4</v>
      </c>
      <c r="G44" s="8" t="n">
        <v>13</v>
      </c>
    </row>
    <row r="45" customFormat="false" ht="17.35" hidden="false" customHeight="false" outlineLevel="0" collapsed="false">
      <c r="A45" s="8" t="n">
        <v>44</v>
      </c>
      <c r="B45" s="9" t="s">
        <v>1145</v>
      </c>
      <c r="C45" s="8" t="n">
        <v>13</v>
      </c>
      <c r="D45" s="9" t="str">
        <f aca="false">INDEX(Radicals!$B$2:$B$215,MATCH(C45,Radicals!$A$2:$A$215,0))</f>
        <v>冂</v>
      </c>
      <c r="E45" s="10" t="str">
        <f aca="false">INDEX(Radicals!$G$2:$G$215,MATCH(C45,Radicals!$A$2:$A$215,0))</f>
        <v>down box, upside-down box</v>
      </c>
      <c r="F45" s="8" t="n">
        <f aca="false">INDEX(Radicals!$D$2:$D$215,MATCH(C45,Radicals!$A$2:$A$215,0))</f>
        <v>2</v>
      </c>
      <c r="G45" s="8" t="n">
        <v>4</v>
      </c>
    </row>
    <row r="46" customFormat="false" ht="17.35" hidden="false" customHeight="false" outlineLevel="0" collapsed="false">
      <c r="A46" s="8" t="n">
        <v>45</v>
      </c>
      <c r="B46" s="9" t="s">
        <v>1146</v>
      </c>
      <c r="C46" s="8" t="n">
        <v>109</v>
      </c>
      <c r="D46" s="9" t="str">
        <f aca="false">INDEX(Radicals!$B$2:$B$215,MATCH(C46,Radicals!$A$2:$A$215,0))</f>
        <v>目</v>
      </c>
      <c r="E46" s="10" t="str">
        <f aca="false">INDEX(Radicals!$G$2:$G$215,MATCH(C46,Radicals!$A$2:$A$215,0))</f>
        <v>eye</v>
      </c>
      <c r="F46" s="8" t="n">
        <f aca="false">INDEX(Radicals!$D$2:$D$215,MATCH(C46,Radicals!$A$2:$A$215,0))</f>
        <v>5</v>
      </c>
      <c r="G46" s="8" t="n">
        <v>9</v>
      </c>
    </row>
    <row r="47" customFormat="false" ht="17.35" hidden="false" customHeight="false" outlineLevel="0" collapsed="false">
      <c r="A47" s="8" t="n">
        <v>46</v>
      </c>
      <c r="B47" s="9" t="s">
        <v>379</v>
      </c>
      <c r="C47" s="8" t="n">
        <v>70</v>
      </c>
      <c r="D47" s="9" t="str">
        <f aca="false">INDEX(Radicals!$B$2:$B$215,MATCH(C47,Radicals!$A$2:$A$215,0))</f>
        <v>方</v>
      </c>
      <c r="E47" s="10" t="str">
        <f aca="false">INDEX(Radicals!$G$2:$G$215,MATCH(C47,Radicals!$A$2:$A$215,0))</f>
        <v>square, direction</v>
      </c>
      <c r="F47" s="8" t="n">
        <f aca="false">INDEX(Radicals!$D$2:$D$215,MATCH(C47,Radicals!$A$2:$A$215,0))</f>
        <v>4</v>
      </c>
      <c r="G47" s="8" t="n">
        <v>4</v>
      </c>
    </row>
    <row r="48" customFormat="false" ht="17.35" hidden="false" customHeight="false" outlineLevel="0" collapsed="false">
      <c r="A48" s="8" t="n">
        <v>47</v>
      </c>
      <c r="B48" s="9" t="s">
        <v>1147</v>
      </c>
      <c r="C48" s="8" t="n">
        <v>31</v>
      </c>
      <c r="D48" s="9" t="str">
        <f aca="false">INDEX(Radicals!$B$2:$B$215,MATCH(C48,Radicals!$A$2:$A$215,0))</f>
        <v>囗</v>
      </c>
      <c r="E48" s="10" t="str">
        <f aca="false">INDEX(Radicals!$G$2:$G$215,MATCH(C48,Radicals!$A$2:$A$215,0))</f>
        <v>enclosure</v>
      </c>
      <c r="F48" s="8" t="n">
        <f aca="false">INDEX(Radicals!$D$2:$D$215,MATCH(C48,Radicals!$A$2:$A$215,0))</f>
        <v>3</v>
      </c>
      <c r="G48" s="8" t="n">
        <v>5</v>
      </c>
    </row>
    <row r="49" customFormat="false" ht="17.35" hidden="false" customHeight="false" outlineLevel="0" collapsed="false">
      <c r="A49" s="8" t="n">
        <v>48</v>
      </c>
      <c r="B49" s="9" t="s">
        <v>1148</v>
      </c>
      <c r="C49" s="8" t="n">
        <v>40</v>
      </c>
      <c r="D49" s="9" t="str">
        <f aca="false">INDEX(Radicals!$B$2:$B$215,MATCH(C49,Radicals!$A$2:$A$215,0))</f>
        <v>宀</v>
      </c>
      <c r="E49" s="10" t="str">
        <f aca="false">INDEX(Radicals!$G$2:$G$215,MATCH(C49,Radicals!$A$2:$A$215,0))</f>
        <v>roof</v>
      </c>
      <c r="F49" s="8" t="n">
        <f aca="false">INDEX(Radicals!$D$2:$D$215,MATCH(C49,Radicals!$A$2:$A$215,0))</f>
        <v>3</v>
      </c>
      <c r="G49" s="8" t="n">
        <v>8</v>
      </c>
    </row>
    <row r="50" customFormat="false" ht="17.35" hidden="false" customHeight="false" outlineLevel="0" collapsed="false">
      <c r="A50" s="8" t="n">
        <v>49</v>
      </c>
      <c r="B50" s="9" t="s">
        <v>1149</v>
      </c>
      <c r="C50" s="8" t="n">
        <v>9</v>
      </c>
      <c r="D50" s="9" t="str">
        <f aca="false">INDEX(Radicals!$B$2:$B$215,MATCH(C50,Radicals!$A$2:$A$215,0))</f>
        <v>人</v>
      </c>
      <c r="E50" s="10" t="str">
        <f aca="false">INDEX(Radicals!$G$2:$G$215,MATCH(C50,Radicals!$A$2:$A$215,0))</f>
        <v>person</v>
      </c>
      <c r="F50" s="8" t="n">
        <f aca="false">INDEX(Radicals!$D$2:$D$215,MATCH(C50,Radicals!$A$2:$A$215,0))</f>
        <v>2</v>
      </c>
      <c r="G50" s="8" t="n">
        <v>4</v>
      </c>
    </row>
    <row r="51" customFormat="false" ht="17.35" hidden="false" customHeight="false" outlineLevel="0" collapsed="false">
      <c r="A51" s="8" t="n">
        <v>50</v>
      </c>
      <c r="B51" s="9" t="s">
        <v>1150</v>
      </c>
      <c r="C51" s="8" t="n">
        <v>31</v>
      </c>
      <c r="D51" s="9" t="str">
        <f aca="false">INDEX(Radicals!$B$2:$B$215,MATCH(C51,Radicals!$A$2:$A$215,0))</f>
        <v>囗</v>
      </c>
      <c r="E51" s="10" t="str">
        <f aca="false">INDEX(Radicals!$G$2:$G$215,MATCH(C51,Radicals!$A$2:$A$215,0))</f>
        <v>enclosure</v>
      </c>
      <c r="F51" s="8" t="n">
        <f aca="false">INDEX(Radicals!$D$2:$D$215,MATCH(C51,Radicals!$A$2:$A$215,0))</f>
        <v>3</v>
      </c>
      <c r="G51" s="8" t="n">
        <v>6</v>
      </c>
    </row>
    <row r="52" customFormat="false" ht="17.35" hidden="false" customHeight="false" outlineLevel="0" collapsed="false">
      <c r="A52" s="8" t="n">
        <v>51</v>
      </c>
      <c r="B52" s="9" t="s">
        <v>1151</v>
      </c>
      <c r="C52" s="8" t="n">
        <v>69</v>
      </c>
      <c r="D52" s="9" t="str">
        <f aca="false">INDEX(Radicals!$B$2:$B$215,MATCH(C52,Radicals!$A$2:$A$215,0))</f>
        <v>斤</v>
      </c>
      <c r="E52" s="10" t="str">
        <f aca="false">INDEX(Radicals!$G$2:$G$215,MATCH(C52,Radicals!$A$2:$A$215,0))</f>
        <v>axe</v>
      </c>
      <c r="F52" s="8" t="n">
        <f aca="false">INDEX(Radicals!$D$2:$D$215,MATCH(C52,Radicals!$A$2:$A$215,0))</f>
        <v>4</v>
      </c>
      <c r="G52" s="8" t="n">
        <v>13</v>
      </c>
    </row>
    <row r="53" customFormat="false" ht="17.35" hidden="false" customHeight="false" outlineLevel="0" collapsed="false">
      <c r="A53" s="8" t="n">
        <v>52</v>
      </c>
      <c r="B53" s="9" t="s">
        <v>1152</v>
      </c>
      <c r="C53" s="8" t="n">
        <v>32</v>
      </c>
      <c r="D53" s="9" t="str">
        <f aca="false">INDEX(Radicals!$B$2:$B$215,MATCH(C53,Radicals!$A$2:$A$215,0))</f>
        <v>土</v>
      </c>
      <c r="E53" s="10" t="str">
        <f aca="false">INDEX(Radicals!$G$2:$G$215,MATCH(C53,Radicals!$A$2:$A$215,0))</f>
        <v>earth, soil</v>
      </c>
      <c r="F53" s="8" t="n">
        <f aca="false">INDEX(Radicals!$D$2:$D$215,MATCH(C53,Radicals!$A$2:$A$215,0))</f>
        <v>3</v>
      </c>
      <c r="G53" s="8" t="n">
        <v>12</v>
      </c>
    </row>
    <row r="54" customFormat="false" ht="17.35" hidden="false" customHeight="false" outlineLevel="0" collapsed="false">
      <c r="A54" s="8" t="n">
        <v>53</v>
      </c>
      <c r="B54" s="9" t="s">
        <v>877</v>
      </c>
      <c r="C54" s="8" t="n">
        <v>167</v>
      </c>
      <c r="D54" s="9" t="str">
        <f aca="false">INDEX(Radicals!$B$2:$B$215,MATCH(C54,Radicals!$A$2:$A$215,0))</f>
        <v>金</v>
      </c>
      <c r="E54" s="10" t="str">
        <f aca="false">INDEX(Radicals!$G$2:$G$215,MATCH(C54,Radicals!$A$2:$A$215,0))</f>
        <v>metal, gold</v>
      </c>
      <c r="F54" s="8" t="n">
        <f aca="false">INDEX(Radicals!$D$2:$D$215,MATCH(C54,Radicals!$A$2:$A$215,0))</f>
        <v>8</v>
      </c>
      <c r="G54" s="8" t="n">
        <v>8</v>
      </c>
    </row>
    <row r="55" customFormat="false" ht="17.35" hidden="false" customHeight="false" outlineLevel="0" collapsed="false">
      <c r="A55" s="8" t="n">
        <v>54</v>
      </c>
      <c r="B55" s="9" t="s">
        <v>1153</v>
      </c>
      <c r="C55" s="8" t="n">
        <v>30</v>
      </c>
      <c r="D55" s="9" t="str">
        <f aca="false">INDEX(Radicals!$B$2:$B$215,MATCH(C55,Radicals!$A$2:$A$215,0))</f>
        <v>口</v>
      </c>
      <c r="E55" s="10" t="str">
        <f aca="false">INDEX(Radicals!$G$2:$G$215,MATCH(C55,Radicals!$A$2:$A$215,0))</f>
        <v>mouth</v>
      </c>
      <c r="F55" s="8" t="n">
        <f aca="false">INDEX(Radicals!$D$2:$D$215,MATCH(C55,Radicals!$A$2:$A$215,0))</f>
        <v>3</v>
      </c>
      <c r="G55" s="8" t="n">
        <v>10</v>
      </c>
    </row>
    <row r="56" customFormat="false" ht="17.35" hidden="false" customHeight="false" outlineLevel="0" collapsed="false">
      <c r="A56" s="8" t="n">
        <v>55</v>
      </c>
      <c r="B56" s="9" t="s">
        <v>1154</v>
      </c>
      <c r="C56" s="8" t="n">
        <v>5</v>
      </c>
      <c r="D56" s="9" t="str">
        <f aca="false">INDEX(Radicals!$B$2:$B$215,MATCH(C56,Radicals!$A$2:$A$215,0))</f>
        <v>乙</v>
      </c>
      <c r="E56" s="10" t="str">
        <f aca="false">INDEX(Radicals!$G$2:$G$215,MATCH(C56,Radicals!$A$2:$A$215,0))</f>
        <v>second, hook</v>
      </c>
      <c r="F56" s="8" t="n">
        <f aca="false">INDEX(Radicals!$D$2:$D$215,MATCH(C56,Radicals!$A$2:$A$215,0))</f>
        <v>1</v>
      </c>
      <c r="G56" s="8" t="n">
        <v>2</v>
      </c>
    </row>
    <row r="57" customFormat="false" ht="17.35" hidden="false" customHeight="false" outlineLevel="0" collapsed="false">
      <c r="A57" s="8" t="n">
        <v>56</v>
      </c>
      <c r="B57" s="9" t="s">
        <v>65</v>
      </c>
      <c r="C57" s="8" t="n">
        <v>11</v>
      </c>
      <c r="D57" s="9" t="str">
        <f aca="false">INDEX(Radicals!$B$2:$B$215,MATCH(C57,Radicals!$A$2:$A$215,0))</f>
        <v>入</v>
      </c>
      <c r="E57" s="10" t="str">
        <f aca="false">INDEX(Radicals!$G$2:$G$215,MATCH(C57,Radicals!$A$2:$A$215,0))</f>
        <v>enter</v>
      </c>
      <c r="F57" s="8" t="n">
        <f aca="false">INDEX(Radicals!$D$2:$D$215,MATCH(C57,Radicals!$A$2:$A$215,0))</f>
        <v>2</v>
      </c>
      <c r="G57" s="8" t="n">
        <v>2</v>
      </c>
    </row>
    <row r="58" customFormat="false" ht="17.35" hidden="false" customHeight="false" outlineLevel="0" collapsed="false">
      <c r="A58" s="8" t="n">
        <v>57</v>
      </c>
      <c r="B58" s="9" t="s">
        <v>1155</v>
      </c>
      <c r="C58" s="8" t="n">
        <v>162</v>
      </c>
      <c r="D58" s="9" t="str">
        <f aca="false">INDEX(Radicals!$B$2:$B$215,MATCH(C58,Radicals!$A$2:$A$215,0))</f>
        <v>辵</v>
      </c>
      <c r="E58" s="10" t="str">
        <f aca="false">INDEX(Radicals!$G$2:$G$215,MATCH(C58,Radicals!$A$2:$A$215,0))</f>
        <v>walk, movement</v>
      </c>
      <c r="F58" s="8" t="n">
        <f aca="false">INDEX(Radicals!$D$2:$D$215,MATCH(C58,Radicals!$A$2:$A$215,0))</f>
        <v>7</v>
      </c>
      <c r="G58" s="8" t="n">
        <v>15</v>
      </c>
    </row>
    <row r="59" customFormat="false" ht="17.35" hidden="false" customHeight="false" outlineLevel="0" collapsed="false">
      <c r="A59" s="8" t="n">
        <v>58</v>
      </c>
      <c r="B59" s="9" t="s">
        <v>617</v>
      </c>
      <c r="C59" s="8" t="n">
        <v>117</v>
      </c>
      <c r="D59" s="9" t="str">
        <f aca="false">INDEX(Radicals!$B$2:$B$215,MATCH(C59,Radicals!$A$2:$A$215,0))</f>
        <v>立</v>
      </c>
      <c r="E59" s="10" t="str">
        <f aca="false">INDEX(Radicals!$G$2:$G$215,MATCH(C59,Radicals!$A$2:$A$215,0))</f>
        <v>stand</v>
      </c>
      <c r="F59" s="8" t="n">
        <f aca="false">INDEX(Radicals!$D$2:$D$215,MATCH(C59,Radicals!$A$2:$A$215,0))</f>
        <v>5</v>
      </c>
      <c r="G59" s="8" t="n">
        <v>5</v>
      </c>
    </row>
    <row r="60" customFormat="false" ht="17.35" hidden="false" customHeight="false" outlineLevel="0" collapsed="false">
      <c r="A60" s="8" t="n">
        <v>59</v>
      </c>
      <c r="B60" s="9" t="s">
        <v>1156</v>
      </c>
      <c r="C60" s="8" t="n">
        <v>169</v>
      </c>
      <c r="D60" s="9" t="str">
        <f aca="false">INDEX(Radicals!$B$2:$B$215,MATCH(C60,Radicals!$A$2:$A$215,0))</f>
        <v>門</v>
      </c>
      <c r="E60" s="10" t="str">
        <f aca="false">INDEX(Radicals!$G$2:$G$215,MATCH(C60,Radicals!$A$2:$A$215,0))</f>
        <v>gate</v>
      </c>
      <c r="F60" s="8" t="n">
        <f aca="false">INDEX(Radicals!$D$2:$D$215,MATCH(C60,Radicals!$A$2:$A$215,0))</f>
        <v>8</v>
      </c>
      <c r="G60" s="8" t="n">
        <v>12</v>
      </c>
    </row>
    <row r="61" customFormat="false" ht="17.35" hidden="false" customHeight="false" outlineLevel="0" collapsed="false">
      <c r="A61" s="8" t="n">
        <v>60</v>
      </c>
      <c r="B61" s="9" t="s">
        <v>347</v>
      </c>
      <c r="C61" s="8" t="n">
        <v>64</v>
      </c>
      <c r="D61" s="9" t="str">
        <f aca="false">INDEX(Radicals!$B$2:$B$215,MATCH(C61,Radicals!$A$2:$A$215,0))</f>
        <v>手</v>
      </c>
      <c r="E61" s="10" t="str">
        <f aca="false">INDEX(Radicals!$G$2:$G$215,MATCH(C61,Radicals!$A$2:$A$215,0))</f>
        <v>hand</v>
      </c>
      <c r="F61" s="8" t="n">
        <f aca="false">INDEX(Radicals!$D$2:$D$215,MATCH(C61,Radicals!$A$2:$A$215,0))</f>
        <v>4</v>
      </c>
      <c r="G61" s="8" t="n">
        <v>4</v>
      </c>
    </row>
    <row r="62" customFormat="false" ht="17.35" hidden="false" customHeight="false" outlineLevel="0" collapsed="false">
      <c r="A62" s="8" t="n">
        <v>61</v>
      </c>
      <c r="B62" s="9" t="s">
        <v>628</v>
      </c>
      <c r="C62" s="8" t="n">
        <v>119</v>
      </c>
      <c r="D62" s="9" t="str">
        <f aca="false">INDEX(Radicals!$B$2:$B$215,MATCH(C62,Radicals!$A$2:$A$215,0))</f>
        <v>米</v>
      </c>
      <c r="E62" s="10" t="str">
        <f aca="false">INDEX(Radicals!$G$2:$G$215,MATCH(C62,Radicals!$A$2:$A$215,0))</f>
        <v>rice</v>
      </c>
      <c r="F62" s="8" t="n">
        <f aca="false">INDEX(Radicals!$D$2:$D$215,MATCH(C62,Radicals!$A$2:$A$215,0))</f>
        <v>6</v>
      </c>
      <c r="G62" s="8" t="n">
        <v>6</v>
      </c>
    </row>
    <row r="63" customFormat="false" ht="17.35" hidden="false" customHeight="false" outlineLevel="0" collapsed="false">
      <c r="A63" s="8" t="n">
        <v>62</v>
      </c>
      <c r="B63" s="9" t="s">
        <v>111</v>
      </c>
      <c r="C63" s="8" t="n">
        <v>19</v>
      </c>
      <c r="D63" s="9" t="str">
        <f aca="false">INDEX(Radicals!$B$2:$B$215,MATCH(C63,Radicals!$A$2:$A$215,0))</f>
        <v>力</v>
      </c>
      <c r="E63" s="10" t="str">
        <f aca="false">INDEX(Radicals!$G$2:$G$215,MATCH(C63,Radicals!$A$2:$A$215,0))</f>
        <v>power, strength</v>
      </c>
      <c r="F63" s="8" t="n">
        <f aca="false">INDEX(Radicals!$D$2:$D$215,MATCH(C63,Radicals!$A$2:$A$215,0))</f>
        <v>2</v>
      </c>
      <c r="G63" s="8" t="n">
        <v>2</v>
      </c>
    </row>
    <row r="64" customFormat="false" ht="17.35" hidden="false" customHeight="false" outlineLevel="0" collapsed="false">
      <c r="A64" s="8" t="n">
        <v>63</v>
      </c>
      <c r="B64" s="9" t="s">
        <v>1157</v>
      </c>
      <c r="C64" s="8" t="n">
        <v>39</v>
      </c>
      <c r="D64" s="9" t="str">
        <f aca="false">INDEX(Radicals!$B$2:$B$215,MATCH(C64,Radicals!$A$2:$A$215,0))</f>
        <v>子</v>
      </c>
      <c r="E64" s="10" t="str">
        <f aca="false">INDEX(Radicals!$G$2:$G$215,MATCH(C64,Radicals!$A$2:$A$215,0))</f>
        <v>child</v>
      </c>
      <c r="F64" s="8" t="n">
        <f aca="false">INDEX(Radicals!$D$2:$D$215,MATCH(C64,Radicals!$A$2:$A$215,0))</f>
        <v>3</v>
      </c>
      <c r="G64" s="8" t="n">
        <v>8</v>
      </c>
    </row>
    <row r="65" customFormat="false" ht="17.35" hidden="false" customHeight="false" outlineLevel="0" collapsed="false">
      <c r="A65" s="8" t="n">
        <v>64</v>
      </c>
      <c r="B65" s="9" t="s">
        <v>1158</v>
      </c>
      <c r="C65" s="8" t="n">
        <v>30</v>
      </c>
      <c r="D65" s="9" t="str">
        <f aca="false">INDEX(Radicals!$B$2:$B$215,MATCH(C65,Radicals!$A$2:$A$215,0))</f>
        <v>口</v>
      </c>
      <c r="E65" s="10" t="str">
        <f aca="false">INDEX(Radicals!$G$2:$G$215,MATCH(C65,Radicals!$A$2:$A$215,0))</f>
        <v>mouth</v>
      </c>
      <c r="F65" s="8" t="n">
        <f aca="false">INDEX(Radicals!$D$2:$D$215,MATCH(C65,Radicals!$A$2:$A$215,0))</f>
        <v>3</v>
      </c>
      <c r="G65" s="8" t="n">
        <v>11</v>
      </c>
    </row>
    <row r="66" customFormat="false" ht="17.35" hidden="false" customHeight="false" outlineLevel="0" collapsed="false">
      <c r="A66" s="8" t="n">
        <v>65</v>
      </c>
      <c r="B66" s="9" t="s">
        <v>986</v>
      </c>
      <c r="C66" s="8" t="n">
        <v>189</v>
      </c>
      <c r="D66" s="9" t="str">
        <f aca="false">INDEX(Radicals!$B$2:$B$215,MATCH(C66,Radicals!$A$2:$A$215,0))</f>
        <v>高</v>
      </c>
      <c r="E66" s="10" t="str">
        <f aca="false">INDEX(Radicals!$G$2:$G$215,MATCH(C66,Radicals!$A$2:$A$215,0))</f>
        <v>tall, high</v>
      </c>
      <c r="F66" s="8" t="n">
        <f aca="false">INDEX(Radicals!$D$2:$D$215,MATCH(C66,Radicals!$A$2:$A$215,0))</f>
        <v>10</v>
      </c>
      <c r="G66" s="8" t="n">
        <v>10</v>
      </c>
    </row>
    <row r="67" customFormat="false" ht="17.35" hidden="false" customHeight="false" outlineLevel="0" collapsed="false">
      <c r="A67" s="8" t="n">
        <v>66</v>
      </c>
      <c r="B67" s="9" t="s">
        <v>1159</v>
      </c>
      <c r="C67" s="8" t="n">
        <v>9</v>
      </c>
      <c r="D67" s="9" t="str">
        <f aca="false">INDEX(Radicals!$B$2:$B$215,MATCH(C67,Radicals!$A$2:$A$215,0))</f>
        <v>人</v>
      </c>
      <c r="E67" s="10" t="str">
        <f aca="false">INDEX(Radicals!$G$2:$G$215,MATCH(C67,Radicals!$A$2:$A$215,0))</f>
        <v>person</v>
      </c>
      <c r="F67" s="8" t="n">
        <f aca="false">INDEX(Radicals!$D$2:$D$215,MATCH(C67,Radicals!$A$2:$A$215,0))</f>
        <v>2</v>
      </c>
      <c r="G67" s="8" t="n">
        <v>5</v>
      </c>
    </row>
    <row r="68" customFormat="false" ht="17.35" hidden="false" customHeight="false" outlineLevel="0" collapsed="false">
      <c r="A68" s="8" t="n">
        <v>67</v>
      </c>
      <c r="B68" s="9" t="s">
        <v>1160</v>
      </c>
      <c r="C68" s="8" t="n">
        <v>72</v>
      </c>
      <c r="D68" s="9" t="str">
        <f aca="false">INDEX(Radicals!$B$2:$B$215,MATCH(C68,Radicals!$A$2:$A$215,0))</f>
        <v>日</v>
      </c>
      <c r="E68" s="10" t="str">
        <f aca="false">INDEX(Radicals!$G$2:$G$215,MATCH(C68,Radicals!$A$2:$A$215,0))</f>
        <v>sun, day</v>
      </c>
      <c r="F68" s="8" t="n">
        <f aca="false">INDEX(Radicals!$D$2:$D$215,MATCH(C68,Radicals!$A$2:$A$215,0))</f>
        <v>4</v>
      </c>
      <c r="G68" s="8" t="n">
        <v>8</v>
      </c>
    </row>
    <row r="69" customFormat="false" ht="17.35" hidden="false" customHeight="false" outlineLevel="0" collapsed="false">
      <c r="A69" s="8" t="n">
        <v>68</v>
      </c>
      <c r="B69" s="9" t="s">
        <v>1161</v>
      </c>
      <c r="C69" s="8" t="n">
        <v>40</v>
      </c>
      <c r="D69" s="9" t="str">
        <f aca="false">INDEX(Radicals!$B$2:$B$215,MATCH(C69,Radicals!$A$2:$A$215,0))</f>
        <v>宀</v>
      </c>
      <c r="E69" s="10" t="str">
        <f aca="false">INDEX(Radicals!$G$2:$G$215,MATCH(C69,Radicals!$A$2:$A$215,0))</f>
        <v>roof</v>
      </c>
      <c r="F69" s="8" t="n">
        <f aca="false">INDEX(Radicals!$D$2:$D$215,MATCH(C69,Radicals!$A$2:$A$215,0))</f>
        <v>3</v>
      </c>
      <c r="G69" s="8" t="n">
        <v>8</v>
      </c>
    </row>
    <row r="70" customFormat="false" ht="17.35" hidden="false" customHeight="false" outlineLevel="0" collapsed="false">
      <c r="A70" s="8" t="n">
        <v>69</v>
      </c>
      <c r="B70" s="9" t="s">
        <v>1162</v>
      </c>
      <c r="C70" s="8" t="n">
        <v>13</v>
      </c>
      <c r="D70" s="9" t="str">
        <f aca="false">INDEX(Radicals!$B$2:$B$215,MATCH(C70,Radicals!$A$2:$A$215,0))</f>
        <v>冂</v>
      </c>
      <c r="E70" s="10" t="str">
        <f aca="false">INDEX(Radicals!$G$2:$G$215,MATCH(C70,Radicals!$A$2:$A$215,0))</f>
        <v>down box, upside-down box</v>
      </c>
      <c r="F70" s="8" t="n">
        <f aca="false">INDEX(Radicals!$D$2:$D$215,MATCH(C70,Radicals!$A$2:$A$215,0))</f>
        <v>2</v>
      </c>
      <c r="G70" s="8" t="n">
        <v>4</v>
      </c>
    </row>
    <row r="71" customFormat="false" ht="17.35" hidden="false" customHeight="false" outlineLevel="0" collapsed="false">
      <c r="A71" s="8" t="n">
        <v>70</v>
      </c>
      <c r="B71" s="9" t="s">
        <v>1163</v>
      </c>
      <c r="C71" s="8" t="n">
        <v>169</v>
      </c>
      <c r="D71" s="9" t="str">
        <f aca="false">INDEX(Radicals!$B$2:$B$215,MATCH(C71,Radicals!$A$2:$A$215,0))</f>
        <v>門</v>
      </c>
      <c r="E71" s="10" t="str">
        <f aca="false">INDEX(Radicals!$G$2:$G$215,MATCH(C71,Radicals!$A$2:$A$215,0))</f>
        <v>gate</v>
      </c>
      <c r="F71" s="8" t="n">
        <f aca="false">INDEX(Radicals!$D$2:$D$215,MATCH(C71,Radicals!$A$2:$A$215,0))</f>
        <v>8</v>
      </c>
      <c r="G71" s="8" t="n">
        <v>14</v>
      </c>
    </row>
    <row r="72" customFormat="false" ht="17.35" hidden="false" customHeight="false" outlineLevel="0" collapsed="false">
      <c r="A72" s="8" t="n">
        <v>71</v>
      </c>
      <c r="B72" s="9" t="s">
        <v>1164</v>
      </c>
      <c r="C72" s="8" t="n">
        <v>85</v>
      </c>
      <c r="D72" s="9" t="str">
        <f aca="false">INDEX(Radicals!$B$2:$B$215,MATCH(C72,Radicals!$A$2:$A$215,0))</f>
        <v>水</v>
      </c>
      <c r="E72" s="10" t="str">
        <f aca="false">INDEX(Radicals!$G$2:$G$215,MATCH(C72,Radicals!$A$2:$A$215,0))</f>
        <v>water</v>
      </c>
      <c r="F72" s="8" t="n">
        <f aca="false">INDEX(Radicals!$D$2:$D$215,MATCH(C72,Radicals!$A$2:$A$215,0))</f>
        <v>4</v>
      </c>
      <c r="G72" s="8" t="n">
        <v>7</v>
      </c>
    </row>
    <row r="73" customFormat="false" ht="17.35" hidden="false" customHeight="false" outlineLevel="0" collapsed="false">
      <c r="A73" s="8" t="n">
        <v>72</v>
      </c>
      <c r="B73" s="9" t="s">
        <v>214</v>
      </c>
      <c r="C73" s="8" t="n">
        <v>39</v>
      </c>
      <c r="D73" s="9" t="str">
        <f aca="false">INDEX(Radicals!$B$2:$B$215,MATCH(C73,Radicals!$A$2:$A$215,0))</f>
        <v>子</v>
      </c>
      <c r="E73" s="10" t="str">
        <f aca="false">INDEX(Radicals!$G$2:$G$215,MATCH(C73,Radicals!$A$2:$A$215,0))</f>
        <v>child</v>
      </c>
      <c r="F73" s="8" t="n">
        <f aca="false">INDEX(Radicals!$D$2:$D$215,MATCH(C73,Radicals!$A$2:$A$215,0))</f>
        <v>3</v>
      </c>
      <c r="G73" s="8" t="n">
        <v>3</v>
      </c>
    </row>
    <row r="74" customFormat="false" ht="17.35" hidden="false" customHeight="false" outlineLevel="0" collapsed="false">
      <c r="A74" s="8" t="n">
        <v>73</v>
      </c>
      <c r="B74" s="9" t="s">
        <v>1165</v>
      </c>
      <c r="C74" s="8" t="n">
        <v>19</v>
      </c>
      <c r="D74" s="9" t="str">
        <f aca="false">INDEX(Radicals!$B$2:$B$215,MATCH(C74,Radicals!$A$2:$A$215,0))</f>
        <v>力</v>
      </c>
      <c r="E74" s="10" t="str">
        <f aca="false">INDEX(Radicals!$G$2:$G$215,MATCH(C74,Radicals!$A$2:$A$215,0))</f>
        <v>power, strength</v>
      </c>
      <c r="F74" s="8" t="n">
        <f aca="false">INDEX(Radicals!$D$2:$D$215,MATCH(C74,Radicals!$A$2:$A$215,0))</f>
        <v>2</v>
      </c>
      <c r="G74" s="8" t="n">
        <v>11</v>
      </c>
    </row>
    <row r="75" customFormat="false" ht="17.35" hidden="false" customHeight="false" outlineLevel="0" collapsed="false">
      <c r="A75" s="8" t="n">
        <v>74</v>
      </c>
      <c r="B75" s="9" t="s">
        <v>1166</v>
      </c>
      <c r="C75" s="8" t="n">
        <v>8</v>
      </c>
      <c r="D75" s="9" t="str">
        <f aca="false">INDEX(Radicals!$B$2:$B$215,MATCH(C75,Radicals!$A$2:$A$215,0))</f>
        <v>亠</v>
      </c>
      <c r="E75" s="10" t="str">
        <f aca="false">INDEX(Radicals!$G$2:$G$215,MATCH(C75,Radicals!$A$2:$A$215,0))</f>
        <v>lid, top</v>
      </c>
      <c r="F75" s="8" t="n">
        <f aca="false">INDEX(Radicals!$D$2:$D$215,MATCH(C75,Radicals!$A$2:$A$215,0))</f>
        <v>2</v>
      </c>
      <c r="G75" s="8" t="n">
        <v>8</v>
      </c>
    </row>
    <row r="76" customFormat="false" ht="17.35" hidden="false" customHeight="false" outlineLevel="0" collapsed="false">
      <c r="A76" s="8" t="n">
        <v>75</v>
      </c>
      <c r="B76" s="9" t="s">
        <v>1167</v>
      </c>
      <c r="C76" s="8" t="n">
        <v>11</v>
      </c>
      <c r="D76" s="9" t="str">
        <f aca="false">INDEX(Radicals!$B$2:$B$215,MATCH(C76,Radicals!$A$2:$A$215,0))</f>
        <v>入</v>
      </c>
      <c r="E76" s="10" t="str">
        <f aca="false">INDEX(Radicals!$G$2:$G$215,MATCH(C76,Radicals!$A$2:$A$215,0))</f>
        <v>enter</v>
      </c>
      <c r="F76" s="8" t="n">
        <f aca="false">INDEX(Radicals!$D$2:$D$215,MATCH(C76,Radicals!$A$2:$A$215,0))</f>
        <v>2</v>
      </c>
      <c r="G76" s="8" t="n">
        <v>6</v>
      </c>
    </row>
    <row r="77" customFormat="false" ht="17.35" hidden="false" customHeight="false" outlineLevel="0" collapsed="false">
      <c r="A77" s="8" t="n">
        <v>76</v>
      </c>
      <c r="B77" s="9" t="s">
        <v>578</v>
      </c>
      <c r="C77" s="8" t="n">
        <v>109</v>
      </c>
      <c r="D77" s="9" t="str">
        <f aca="false">INDEX(Radicals!$B$2:$B$215,MATCH(C77,Radicals!$A$2:$A$215,0))</f>
        <v>目</v>
      </c>
      <c r="E77" s="10" t="str">
        <f aca="false">INDEX(Radicals!$G$2:$G$215,MATCH(C77,Radicals!$A$2:$A$215,0))</f>
        <v>eye</v>
      </c>
      <c r="F77" s="8" t="n">
        <f aca="false">INDEX(Radicals!$D$2:$D$215,MATCH(C77,Radicals!$A$2:$A$215,0))</f>
        <v>5</v>
      </c>
      <c r="G77" s="8" t="n">
        <v>5</v>
      </c>
    </row>
    <row r="78" customFormat="false" ht="17.35" hidden="false" customHeight="false" outlineLevel="0" collapsed="false">
      <c r="A78" s="8" t="n">
        <v>77</v>
      </c>
      <c r="B78" s="9" t="s">
        <v>1168</v>
      </c>
      <c r="C78" s="8" t="n">
        <v>145</v>
      </c>
      <c r="D78" s="9" t="str">
        <f aca="false">INDEX(Radicals!$B$2:$B$215,MATCH(C78,Radicals!$A$2:$A$215,0))</f>
        <v>衣</v>
      </c>
      <c r="E78" s="10" t="str">
        <f aca="false">INDEX(Radicals!$G$2:$G$215,MATCH(C78,Radicals!$A$2:$A$215,0))</f>
        <v>clothes</v>
      </c>
      <c r="F78" s="8" t="n">
        <f aca="false">INDEX(Radicals!$D$2:$D$215,MATCH(C78,Radicals!$A$2:$A$215,0))</f>
        <v>6</v>
      </c>
      <c r="G78" s="8" t="n">
        <v>8</v>
      </c>
    </row>
    <row r="79" customFormat="false" ht="17.35" hidden="false" customHeight="false" outlineLevel="0" collapsed="false">
      <c r="A79" s="8" t="n">
        <v>78</v>
      </c>
      <c r="B79" s="9" t="s">
        <v>1169</v>
      </c>
      <c r="C79" s="8" t="n">
        <v>62</v>
      </c>
      <c r="D79" s="9" t="str">
        <f aca="false">INDEX(Radicals!$B$2:$B$215,MATCH(C79,Radicals!$A$2:$A$215,0))</f>
        <v>戈</v>
      </c>
      <c r="E79" s="10" t="str">
        <f aca="false">INDEX(Radicals!$G$2:$G$215,MATCH(C79,Radicals!$A$2:$A$215,0))</f>
        <v>halberd, spear</v>
      </c>
      <c r="F79" s="8" t="n">
        <f aca="false">INDEX(Radicals!$D$2:$D$215,MATCH(C79,Radicals!$A$2:$A$215,0))</f>
        <v>4</v>
      </c>
      <c r="G79" s="8" t="n">
        <v>13</v>
      </c>
    </row>
    <row r="80" customFormat="false" ht="17.35" hidden="false" customHeight="false" outlineLevel="0" collapsed="false">
      <c r="A80" s="8" t="n">
        <v>79</v>
      </c>
      <c r="B80" s="9" t="s">
        <v>1170</v>
      </c>
      <c r="C80" s="8" t="n">
        <v>120</v>
      </c>
      <c r="D80" s="9" t="str">
        <f aca="false">INDEX(Radicals!$B$2:$B$215,MATCH(C80,Radicals!$A$2:$A$215,0))</f>
        <v>糸</v>
      </c>
      <c r="E80" s="10" t="str">
        <f aca="false">INDEX(Radicals!$G$2:$G$215,MATCH(C80,Radicals!$A$2:$A$215,0))</f>
        <v>thread, silk</v>
      </c>
      <c r="F80" s="8" t="n">
        <f aca="false">INDEX(Radicals!$D$2:$D$215,MATCH(C80,Radicals!$A$2:$A$215,0))</f>
        <v>6</v>
      </c>
      <c r="G80" s="8" t="n">
        <v>11</v>
      </c>
    </row>
    <row r="81" customFormat="false" ht="17.35" hidden="false" customHeight="false" outlineLevel="0" collapsed="false">
      <c r="A81" s="8" t="n">
        <v>80</v>
      </c>
      <c r="B81" s="9" t="s">
        <v>1171</v>
      </c>
      <c r="C81" s="8" t="n">
        <v>162</v>
      </c>
      <c r="D81" s="9" t="str">
        <f aca="false">INDEX(Radicals!$B$2:$B$215,MATCH(C81,Radicals!$A$2:$A$215,0))</f>
        <v>辵</v>
      </c>
      <c r="E81" s="10" t="str">
        <f aca="false">INDEX(Radicals!$G$2:$G$215,MATCH(C81,Radicals!$A$2:$A$215,0))</f>
        <v>walk, movement</v>
      </c>
      <c r="F81" s="8" t="n">
        <f aca="false">INDEX(Radicals!$D$2:$D$215,MATCH(C81,Radicals!$A$2:$A$215,0))</f>
        <v>7</v>
      </c>
      <c r="G81" s="8" t="n">
        <v>10</v>
      </c>
    </row>
    <row r="82" customFormat="false" ht="17.35" hidden="false" customHeight="false" outlineLevel="0" collapsed="false">
      <c r="A82" s="8" t="n">
        <v>81</v>
      </c>
      <c r="B82" s="9" t="s">
        <v>1172</v>
      </c>
      <c r="C82" s="8" t="n">
        <v>36</v>
      </c>
      <c r="D82" s="9" t="str">
        <f aca="false">INDEX(Radicals!$B$2:$B$215,MATCH(C82,Radicals!$A$2:$A$215,0))</f>
        <v>夕</v>
      </c>
      <c r="E82" s="10" t="str">
        <f aca="false">INDEX(Radicals!$G$2:$G$215,MATCH(C82,Radicals!$A$2:$A$215,0))</f>
        <v>evening</v>
      </c>
      <c r="F82" s="8" t="n">
        <f aca="false">INDEX(Radicals!$D$2:$D$215,MATCH(C82,Radicals!$A$2:$A$215,0))</f>
        <v>3</v>
      </c>
      <c r="G82" s="8" t="n">
        <v>5</v>
      </c>
    </row>
    <row r="83" customFormat="false" ht="17.35" hidden="false" customHeight="false" outlineLevel="0" collapsed="false">
      <c r="A83" s="8" t="n">
        <v>82</v>
      </c>
      <c r="B83" s="9" t="s">
        <v>1173</v>
      </c>
      <c r="C83" s="8" t="n">
        <v>73</v>
      </c>
      <c r="D83" s="9" t="str">
        <f aca="false">INDEX(Radicals!$B$2:$B$215,MATCH(C83,Radicals!$A$2:$A$215,0))</f>
        <v>曰</v>
      </c>
      <c r="E83" s="10" t="str">
        <f aca="false">INDEX(Radicals!$G$2:$G$215,MATCH(C83,Radicals!$A$2:$A$215,0))</f>
        <v>say</v>
      </c>
      <c r="F83" s="8" t="n">
        <f aca="false">INDEX(Radicals!$D$2:$D$215,MATCH(C83,Radicals!$A$2:$A$215,0))</f>
        <v>4</v>
      </c>
      <c r="G83" s="8" t="n">
        <v>12</v>
      </c>
    </row>
    <row r="84" customFormat="false" ht="17.35" hidden="false" customHeight="false" outlineLevel="0" collapsed="false">
      <c r="A84" s="8" t="n">
        <v>83</v>
      </c>
      <c r="B84" s="9" t="s">
        <v>786</v>
      </c>
      <c r="C84" s="8" t="n">
        <v>149</v>
      </c>
      <c r="D84" s="9" t="str">
        <f aca="false">INDEX(Radicals!$B$2:$B$215,MATCH(C84,Radicals!$A$2:$A$215,0))</f>
        <v>言</v>
      </c>
      <c r="E84" s="10" t="str">
        <f aca="false">INDEX(Radicals!$G$2:$G$215,MATCH(C84,Radicals!$A$2:$A$215,0))</f>
        <v>speech, say</v>
      </c>
      <c r="F84" s="8" t="n">
        <f aca="false">INDEX(Radicals!$D$2:$D$215,MATCH(C84,Radicals!$A$2:$A$215,0))</f>
        <v>7</v>
      </c>
      <c r="G84" s="8" t="n">
        <v>7</v>
      </c>
    </row>
    <row r="85" customFormat="false" ht="17.35" hidden="false" customHeight="false" outlineLevel="0" collapsed="false">
      <c r="A85" s="8" t="n">
        <v>84</v>
      </c>
      <c r="B85" s="9" t="s">
        <v>445</v>
      </c>
      <c r="C85" s="8" t="n">
        <v>83</v>
      </c>
      <c r="D85" s="9" t="str">
        <f aca="false">INDEX(Radicals!$B$2:$B$215,MATCH(C85,Radicals!$A$2:$A$215,0))</f>
        <v>氏</v>
      </c>
      <c r="E85" s="10" t="str">
        <f aca="false">INDEX(Radicals!$G$2:$G$215,MATCH(C85,Radicals!$A$2:$A$215,0))</f>
        <v>clan</v>
      </c>
      <c r="F85" s="8" t="n">
        <f aca="false">INDEX(Radicals!$D$2:$D$215,MATCH(C85,Radicals!$A$2:$A$215,0))</f>
        <v>4</v>
      </c>
      <c r="G85" s="8" t="n">
        <v>4</v>
      </c>
    </row>
    <row r="86" customFormat="false" ht="17.35" hidden="false" customHeight="false" outlineLevel="0" collapsed="false">
      <c r="A86" s="8" t="n">
        <v>85</v>
      </c>
      <c r="B86" s="9" t="s">
        <v>1174</v>
      </c>
      <c r="C86" s="8" t="n">
        <v>96</v>
      </c>
      <c r="D86" s="9" t="str">
        <f aca="false">INDEX(Radicals!$B$2:$B$215,MATCH(C86,Radicals!$A$2:$A$215,0))</f>
        <v>玉</v>
      </c>
      <c r="E86" s="10" t="str">
        <f aca="false">INDEX(Radicals!$G$2:$G$215,MATCH(C86,Radicals!$A$2:$A$215,0))</f>
        <v>jade, king</v>
      </c>
      <c r="F86" s="8" t="n">
        <f aca="false">INDEX(Radicals!$D$2:$D$215,MATCH(C86,Radicals!$A$2:$A$215,0))</f>
        <v>5</v>
      </c>
      <c r="G86" s="8" t="n">
        <v>11</v>
      </c>
    </row>
    <row r="87" customFormat="false" ht="17.35" hidden="false" customHeight="false" outlineLevel="0" collapsed="false">
      <c r="A87" s="8" t="n">
        <v>86</v>
      </c>
      <c r="B87" s="9" t="s">
        <v>1175</v>
      </c>
      <c r="C87" s="8" t="n">
        <v>96</v>
      </c>
      <c r="D87" s="9" t="str">
        <f aca="false">INDEX(Radicals!$B$2:$B$215,MATCH(C87,Radicals!$A$2:$A$215,0))</f>
        <v>玉</v>
      </c>
      <c r="E87" s="10" t="str">
        <f aca="false">INDEX(Radicals!$G$2:$G$215,MATCH(C87,Radicals!$A$2:$A$215,0))</f>
        <v>jade, king</v>
      </c>
      <c r="F87" s="8" t="n">
        <f aca="false">INDEX(Radicals!$D$2:$D$215,MATCH(C87,Radicals!$A$2:$A$215,0))</f>
        <v>5</v>
      </c>
      <c r="G87" s="8" t="n">
        <v>11</v>
      </c>
    </row>
    <row r="88" customFormat="false" ht="17.35" hidden="false" customHeight="false" outlineLevel="0" collapsed="false">
      <c r="A88" s="8" t="n">
        <v>87</v>
      </c>
      <c r="B88" s="9" t="s">
        <v>1176</v>
      </c>
      <c r="C88" s="8" t="n">
        <v>149</v>
      </c>
      <c r="D88" s="9" t="str">
        <f aca="false">INDEX(Radicals!$B$2:$B$215,MATCH(C88,Radicals!$A$2:$A$215,0))</f>
        <v>言</v>
      </c>
      <c r="E88" s="10" t="str">
        <f aca="false">INDEX(Radicals!$G$2:$G$215,MATCH(C88,Radicals!$A$2:$A$215,0))</f>
        <v>speech, say</v>
      </c>
      <c r="F88" s="8" t="n">
        <f aca="false">INDEX(Radicals!$D$2:$D$215,MATCH(C88,Radicals!$A$2:$A$215,0))</f>
        <v>7</v>
      </c>
      <c r="G88" s="8" t="n">
        <v>15</v>
      </c>
    </row>
    <row r="89" customFormat="false" ht="17.35" hidden="false" customHeight="false" outlineLevel="0" collapsed="false">
      <c r="A89" s="8" t="n">
        <v>88</v>
      </c>
      <c r="B89" s="9" t="s">
        <v>1177</v>
      </c>
      <c r="C89" s="8" t="n">
        <v>9</v>
      </c>
      <c r="D89" s="9" t="str">
        <f aca="false">INDEX(Radicals!$B$2:$B$215,MATCH(C89,Radicals!$A$2:$A$215,0))</f>
        <v>人</v>
      </c>
      <c r="E89" s="10" t="str">
        <f aca="false">INDEX(Radicals!$G$2:$G$215,MATCH(C89,Radicals!$A$2:$A$215,0))</f>
        <v>person</v>
      </c>
      <c r="F89" s="8" t="n">
        <f aca="false">INDEX(Radicals!$D$2:$D$215,MATCH(C89,Radicals!$A$2:$A$215,0))</f>
        <v>2</v>
      </c>
      <c r="G89" s="8" t="n">
        <v>7</v>
      </c>
    </row>
    <row r="90" customFormat="false" ht="17.35" hidden="false" customHeight="false" outlineLevel="0" collapsed="false">
      <c r="A90" s="8" t="n">
        <v>89</v>
      </c>
      <c r="B90" s="9" t="s">
        <v>1178</v>
      </c>
      <c r="C90" s="8" t="n">
        <v>21</v>
      </c>
      <c r="D90" s="9" t="str">
        <f aca="false">INDEX(Radicals!$B$2:$B$215,MATCH(C90,Radicals!$A$2:$A$215,0))</f>
        <v>匕</v>
      </c>
      <c r="E90" s="10" t="str">
        <f aca="false">INDEX(Radicals!$G$2:$G$215,MATCH(C90,Radicals!$A$2:$A$215,0))</f>
        <v>spoon, ladle</v>
      </c>
      <c r="F90" s="8" t="n">
        <f aca="false">INDEX(Radicals!$D$2:$D$215,MATCH(C90,Radicals!$A$2:$A$215,0))</f>
        <v>2</v>
      </c>
      <c r="G90" s="8" t="n">
        <v>4</v>
      </c>
    </row>
    <row r="91" customFormat="false" ht="17.35" hidden="false" customHeight="false" outlineLevel="0" collapsed="false">
      <c r="A91" s="8" t="n">
        <v>90</v>
      </c>
      <c r="B91" s="9" t="s">
        <v>543</v>
      </c>
      <c r="C91" s="8" t="n">
        <v>102</v>
      </c>
      <c r="D91" s="9" t="str">
        <f aca="false">INDEX(Radicals!$B$2:$B$215,MATCH(C91,Radicals!$A$2:$A$215,0))</f>
        <v>田</v>
      </c>
      <c r="E91" s="10" t="str">
        <f aca="false">INDEX(Radicals!$G$2:$G$215,MATCH(C91,Radicals!$A$2:$A$215,0))</f>
        <v>field, paddy</v>
      </c>
      <c r="F91" s="8" t="n">
        <f aca="false">INDEX(Radicals!$D$2:$D$215,MATCH(C91,Radicals!$A$2:$A$215,0))</f>
        <v>5</v>
      </c>
      <c r="G91" s="8" t="n">
        <v>5</v>
      </c>
    </row>
    <row r="92" customFormat="false" ht="17.35" hidden="false" customHeight="false" outlineLevel="0" collapsed="false">
      <c r="A92" s="8" t="n">
        <v>91</v>
      </c>
      <c r="B92" s="9" t="s">
        <v>1179</v>
      </c>
      <c r="C92" s="8" t="n">
        <v>58</v>
      </c>
      <c r="D92" s="9" t="str">
        <f aca="false">INDEX(Radicals!$B$2:$B$215,MATCH(C92,Radicals!$A$2:$A$215,0))</f>
        <v>彐</v>
      </c>
      <c r="E92" s="10" t="str">
        <f aca="false">INDEX(Radicals!$G$2:$G$215,MATCH(C92,Radicals!$A$2:$A$215,0))</f>
        <v>pig snout</v>
      </c>
      <c r="F92" s="8" t="n">
        <f aca="false">INDEX(Radicals!$D$2:$D$215,MATCH(C92,Radicals!$A$2:$A$215,0))</f>
        <v>3</v>
      </c>
      <c r="G92" s="8" t="n">
        <v>6</v>
      </c>
    </row>
    <row r="93" customFormat="false" ht="17.35" hidden="false" customHeight="false" outlineLevel="0" collapsed="false">
      <c r="A93" s="8" t="n">
        <v>92</v>
      </c>
      <c r="B93" s="9" t="s">
        <v>72</v>
      </c>
      <c r="C93" s="8" t="n">
        <v>12</v>
      </c>
      <c r="D93" s="9" t="str">
        <f aca="false">INDEX(Radicals!$B$2:$B$215,MATCH(C93,Radicals!$A$2:$A$215,0))</f>
        <v>八</v>
      </c>
      <c r="E93" s="10" t="str">
        <f aca="false">INDEX(Radicals!$G$2:$G$215,MATCH(C93,Radicals!$A$2:$A$215,0))</f>
        <v>eight</v>
      </c>
      <c r="F93" s="8" t="n">
        <f aca="false">INDEX(Radicals!$D$2:$D$215,MATCH(C93,Radicals!$A$2:$A$215,0))</f>
        <v>2</v>
      </c>
      <c r="G93" s="8" t="n">
        <v>2</v>
      </c>
    </row>
    <row r="94" customFormat="false" ht="17.35" hidden="false" customHeight="false" outlineLevel="0" collapsed="false">
      <c r="A94" s="8" t="n">
        <v>93</v>
      </c>
      <c r="B94" s="9" t="s">
        <v>1180</v>
      </c>
      <c r="C94" s="8" t="n">
        <v>12</v>
      </c>
      <c r="D94" s="9" t="str">
        <f aca="false">INDEX(Radicals!$B$2:$B$215,MATCH(C94,Radicals!$A$2:$A$215,0))</f>
        <v>八</v>
      </c>
      <c r="E94" s="10" t="str">
        <f aca="false">INDEX(Radicals!$G$2:$G$215,MATCH(C94,Radicals!$A$2:$A$215,0))</f>
        <v>eight</v>
      </c>
      <c r="F94" s="8" t="n">
        <f aca="false">INDEX(Radicals!$D$2:$D$215,MATCH(C94,Radicals!$A$2:$A$215,0))</f>
        <v>2</v>
      </c>
      <c r="G94" s="8" t="n">
        <v>4</v>
      </c>
    </row>
    <row r="95" customFormat="false" ht="17.35" hidden="false" customHeight="false" outlineLevel="0" collapsed="false">
      <c r="A95" s="8" t="n">
        <v>94</v>
      </c>
      <c r="B95" s="9" t="s">
        <v>1181</v>
      </c>
      <c r="C95" s="8" t="n">
        <v>120</v>
      </c>
      <c r="D95" s="9" t="str">
        <f aca="false">INDEX(Radicals!$B$2:$B$215,MATCH(C95,Radicals!$A$2:$A$215,0))</f>
        <v>糸</v>
      </c>
      <c r="E95" s="10" t="str">
        <f aca="false">INDEX(Radicals!$G$2:$G$215,MATCH(C95,Radicals!$A$2:$A$215,0))</f>
        <v>thread, silk</v>
      </c>
      <c r="F95" s="8" t="n">
        <f aca="false">INDEX(Radicals!$D$2:$D$215,MATCH(C95,Radicals!$A$2:$A$215,0))</f>
        <v>6</v>
      </c>
      <c r="G95" s="8" t="n">
        <v>9</v>
      </c>
    </row>
    <row r="96" customFormat="false" ht="17.35" hidden="false" customHeight="false" outlineLevel="0" collapsed="false">
      <c r="A96" s="8" t="n">
        <v>95</v>
      </c>
      <c r="B96" s="9" t="s">
        <v>1182</v>
      </c>
      <c r="C96" s="8" t="n">
        <v>3</v>
      </c>
      <c r="D96" s="9" t="str">
        <f aca="false">INDEX(Radicals!$B$2:$B$215,MATCH(C96,Radicals!$A$2:$A$215,0))</f>
        <v>丶</v>
      </c>
      <c r="E96" s="10" t="str">
        <f aca="false">INDEX(Radicals!$G$2:$G$215,MATCH(C96,Radicals!$A$2:$A$215,0))</f>
        <v>dot</v>
      </c>
      <c r="F96" s="8" t="n">
        <f aca="false">INDEX(Radicals!$D$2:$D$215,MATCH(C96,Radicals!$A$2:$A$215,0))</f>
        <v>1</v>
      </c>
      <c r="G96" s="8" t="n">
        <v>5</v>
      </c>
    </row>
    <row r="97" customFormat="false" ht="17.35" hidden="false" customHeight="false" outlineLevel="0" collapsed="false">
      <c r="A97" s="8" t="n">
        <v>96</v>
      </c>
      <c r="B97" s="9" t="s">
        <v>1183</v>
      </c>
      <c r="C97" s="8" t="n">
        <v>181</v>
      </c>
      <c r="D97" s="9" t="str">
        <f aca="false">INDEX(Radicals!$B$2:$B$215,MATCH(C97,Radicals!$A$2:$A$215,0))</f>
        <v>頁</v>
      </c>
      <c r="E97" s="10" t="str">
        <f aca="false">INDEX(Radicals!$G$2:$G$215,MATCH(C97,Radicals!$A$2:$A$215,0))</f>
        <v>page, leaf (head)</v>
      </c>
      <c r="F97" s="8" t="n">
        <f aca="false">INDEX(Radicals!$D$2:$D$215,MATCH(C97,Radicals!$A$2:$A$215,0))</f>
        <v>9</v>
      </c>
      <c r="G97" s="8" t="n">
        <v>18</v>
      </c>
    </row>
    <row r="98" customFormat="false" ht="17.35" hidden="false" customHeight="false" outlineLevel="0" collapsed="false">
      <c r="A98" s="8" t="n">
        <v>97</v>
      </c>
      <c r="B98" s="9" t="s">
        <v>1184</v>
      </c>
      <c r="C98" s="8" t="n">
        <v>1</v>
      </c>
      <c r="D98" s="9" t="str">
        <f aca="false">INDEX(Radicals!$B$2:$B$215,MATCH(C98,Radicals!$A$2:$A$215,0))</f>
        <v>一</v>
      </c>
      <c r="E98" s="10" t="str">
        <f aca="false">INDEX(Radicals!$G$2:$G$215,MATCH(C98,Radicals!$A$2:$A$215,0))</f>
        <v>one</v>
      </c>
      <c r="F98" s="8" t="n">
        <f aca="false">INDEX(Radicals!$D$2:$D$215,MATCH(C98,Radicals!$A$2:$A$215,0))</f>
        <v>1</v>
      </c>
      <c r="G98" s="8" t="n">
        <v>3</v>
      </c>
    </row>
    <row r="99" customFormat="false" ht="17.35" hidden="false" customHeight="false" outlineLevel="0" collapsed="false">
      <c r="A99" s="8" t="n">
        <v>98</v>
      </c>
      <c r="B99" s="9" t="s">
        <v>967</v>
      </c>
      <c r="C99" s="8" t="n">
        <v>185</v>
      </c>
      <c r="D99" s="9" t="str">
        <f aca="false">INDEX(Radicals!$B$2:$B$215,MATCH(C99,Radicals!$A$2:$A$215,0))</f>
        <v>首</v>
      </c>
      <c r="E99" s="10" t="str">
        <f aca="false">INDEX(Radicals!$G$2:$G$215,MATCH(C99,Radicals!$A$2:$A$215,0))</f>
        <v>head, neck</v>
      </c>
      <c r="F99" s="8" t="n">
        <f aca="false">INDEX(Radicals!$D$2:$D$215,MATCH(C99,Radicals!$A$2:$A$215,0))</f>
        <v>9</v>
      </c>
      <c r="G99" s="8" t="n">
        <v>9</v>
      </c>
    </row>
    <row r="100" customFormat="false" ht="17.35" hidden="false" customHeight="false" outlineLevel="0" collapsed="false">
      <c r="A100" s="8" t="n">
        <v>99</v>
      </c>
      <c r="B100" s="9" t="s">
        <v>1185</v>
      </c>
      <c r="C100" s="8" t="n">
        <v>61</v>
      </c>
      <c r="D100" s="9" t="str">
        <f aca="false">INDEX(Radicals!$B$2:$B$215,MATCH(C100,Radicals!$A$2:$A$215,0))</f>
        <v>心</v>
      </c>
      <c r="E100" s="10" t="str">
        <f aca="false">INDEX(Radicals!$G$2:$G$215,MATCH(C100,Radicals!$A$2:$A$215,0))</f>
        <v>heart, mind</v>
      </c>
      <c r="F100" s="8" t="n">
        <f aca="false">INDEX(Radicals!$D$2:$D$215,MATCH(C100,Radicals!$A$2:$A$215,0))</f>
        <v>4</v>
      </c>
      <c r="G100" s="8" t="n">
        <v>13</v>
      </c>
    </row>
    <row r="101" customFormat="false" ht="17.35" hidden="false" customHeight="false" outlineLevel="0" collapsed="false">
      <c r="A101" s="8" t="n">
        <v>100</v>
      </c>
      <c r="B101" s="9" t="s">
        <v>1186</v>
      </c>
      <c r="C101" s="8" t="n">
        <v>85</v>
      </c>
      <c r="D101" s="9" t="str">
        <f aca="false">INDEX(Radicals!$B$2:$B$215,MATCH(C101,Radicals!$A$2:$A$215,0))</f>
        <v>水</v>
      </c>
      <c r="E101" s="10" t="str">
        <f aca="false">INDEX(Radicals!$G$2:$G$215,MATCH(C101,Radicals!$A$2:$A$215,0))</f>
        <v>water</v>
      </c>
      <c r="F101" s="8" t="n">
        <f aca="false">INDEX(Radicals!$D$2:$D$215,MATCH(C101,Radicals!$A$2:$A$215,0))</f>
        <v>4</v>
      </c>
      <c r="G101" s="8" t="n">
        <v>8</v>
      </c>
    </row>
    <row r="102" customFormat="false" ht="17.35" hidden="false" customHeight="false" outlineLevel="0" collapsed="false">
      <c r="A102" s="8" t="n">
        <v>101</v>
      </c>
      <c r="B102" s="9" t="s">
        <v>1187</v>
      </c>
      <c r="C102" s="8" t="n">
        <v>1</v>
      </c>
      <c r="D102" s="9" t="str">
        <f aca="false">INDEX(Radicals!$B$2:$B$215,MATCH(C102,Radicals!$A$2:$A$215,0))</f>
        <v>一</v>
      </c>
      <c r="E102" s="10" t="str">
        <f aca="false">INDEX(Radicals!$G$2:$G$215,MATCH(C102,Radicals!$A$2:$A$215,0))</f>
        <v>one</v>
      </c>
      <c r="F102" s="8" t="n">
        <f aca="false">INDEX(Radicals!$D$2:$D$215,MATCH(C102,Radicals!$A$2:$A$215,0))</f>
        <v>1</v>
      </c>
      <c r="G102" s="8" t="n">
        <v>4</v>
      </c>
    </row>
    <row r="103" customFormat="false" ht="17.35" hidden="false" customHeight="false" outlineLevel="0" collapsed="false">
      <c r="A103" s="8" t="n">
        <v>102</v>
      </c>
      <c r="B103" s="9" t="s">
        <v>1188</v>
      </c>
      <c r="C103" s="8" t="n">
        <v>75</v>
      </c>
      <c r="D103" s="9" t="str">
        <f aca="false">INDEX(Radicals!$B$2:$B$215,MATCH(C103,Radicals!$A$2:$A$215,0))</f>
        <v>木</v>
      </c>
      <c r="E103" s="10" t="str">
        <f aca="false">INDEX(Radicals!$G$2:$G$215,MATCH(C103,Radicals!$A$2:$A$215,0))</f>
        <v>tree, wood</v>
      </c>
      <c r="F103" s="8" t="n">
        <f aca="false">INDEX(Radicals!$D$2:$D$215,MATCH(C103,Radicals!$A$2:$A$215,0))</f>
        <v>4</v>
      </c>
      <c r="G103" s="8" t="n">
        <v>7</v>
      </c>
    </row>
    <row r="104" customFormat="false" ht="17.35" hidden="false" customHeight="false" outlineLevel="0" collapsed="false">
      <c r="A104" s="8" t="n">
        <v>103</v>
      </c>
      <c r="B104" s="9" t="s">
        <v>1189</v>
      </c>
      <c r="C104" s="8" t="n">
        <v>9</v>
      </c>
      <c r="D104" s="9" t="str">
        <f aca="false">INDEX(Radicals!$B$2:$B$215,MATCH(C104,Radicals!$A$2:$A$215,0))</f>
        <v>人</v>
      </c>
      <c r="E104" s="10" t="str">
        <f aca="false">INDEX(Radicals!$G$2:$G$215,MATCH(C104,Radicals!$A$2:$A$215,0))</f>
        <v>person</v>
      </c>
      <c r="F104" s="8" t="n">
        <f aca="false">INDEX(Radicals!$D$2:$D$215,MATCH(C104,Radicals!$A$2:$A$215,0))</f>
        <v>2</v>
      </c>
      <c r="G104" s="8" t="n">
        <v>7</v>
      </c>
    </row>
    <row r="105" customFormat="false" ht="17.35" hidden="false" customHeight="false" outlineLevel="0" collapsed="false">
      <c r="A105" s="8" t="n">
        <v>104</v>
      </c>
      <c r="B105" s="9" t="s">
        <v>1190</v>
      </c>
      <c r="C105" s="8" t="n">
        <v>61</v>
      </c>
      <c r="D105" s="9" t="str">
        <f aca="false">INDEX(Radicals!$B$2:$B$215,MATCH(C105,Radicals!$A$2:$A$215,0))</f>
        <v>心</v>
      </c>
      <c r="E105" s="10" t="str">
        <f aca="false">INDEX(Radicals!$G$2:$G$215,MATCH(C105,Radicals!$A$2:$A$215,0))</f>
        <v>heart, mind</v>
      </c>
      <c r="F105" s="8" t="n">
        <f aca="false">INDEX(Radicals!$D$2:$D$215,MATCH(C105,Radicals!$A$2:$A$215,0))</f>
        <v>4</v>
      </c>
      <c r="G105" s="8" t="n">
        <v>8</v>
      </c>
    </row>
    <row r="106" customFormat="false" ht="17.35" hidden="false" customHeight="false" outlineLevel="0" collapsed="false">
      <c r="A106" s="8" t="n">
        <v>105</v>
      </c>
      <c r="B106" s="9" t="s">
        <v>1191</v>
      </c>
      <c r="C106" s="8" t="n">
        <v>106</v>
      </c>
      <c r="D106" s="9" t="str">
        <f aca="false">INDEX(Radicals!$B$2:$B$215,MATCH(C106,Radicals!$A$2:$A$215,0))</f>
        <v>白</v>
      </c>
      <c r="E106" s="10" t="str">
        <f aca="false">INDEX(Radicals!$G$2:$G$215,MATCH(C106,Radicals!$A$2:$A$215,0))</f>
        <v>white</v>
      </c>
      <c r="F106" s="8" t="n">
        <f aca="false">INDEX(Radicals!$D$2:$D$215,MATCH(C106,Radicals!$A$2:$A$215,0))</f>
        <v>5</v>
      </c>
      <c r="G106" s="8" t="n">
        <v>8</v>
      </c>
    </row>
    <row r="107" customFormat="false" ht="17.35" hidden="false" customHeight="false" outlineLevel="0" collapsed="false">
      <c r="A107" s="8" t="n">
        <v>106</v>
      </c>
      <c r="B107" s="9" t="s">
        <v>1192</v>
      </c>
      <c r="C107" s="8" t="n">
        <v>146</v>
      </c>
      <c r="D107" s="9" t="str">
        <f aca="false">INDEX(Radicals!$B$2:$B$215,MATCH(C107,Radicals!$A$2:$A$215,0))</f>
        <v>襾</v>
      </c>
      <c r="E107" s="10" t="str">
        <f aca="false">INDEX(Radicals!$G$2:$G$215,MATCH(C107,Radicals!$A$2:$A$215,0))</f>
        <v>west, cover</v>
      </c>
      <c r="F107" s="8" t="n">
        <f aca="false">INDEX(Radicals!$D$2:$D$215,MATCH(C107,Radicals!$A$2:$A$215,0))</f>
        <v>6</v>
      </c>
      <c r="G107" s="8" t="n">
        <v>9</v>
      </c>
    </row>
    <row r="108" customFormat="false" ht="17.35" hidden="false" customHeight="false" outlineLevel="0" collapsed="false">
      <c r="A108" s="8" t="n">
        <v>107</v>
      </c>
      <c r="B108" s="9" t="s">
        <v>538</v>
      </c>
      <c r="C108" s="8" t="n">
        <v>101</v>
      </c>
      <c r="D108" s="9" t="str">
        <f aca="false">INDEX(Radicals!$B$2:$B$215,MATCH(C108,Radicals!$A$2:$A$215,0))</f>
        <v>用</v>
      </c>
      <c r="E108" s="10" t="str">
        <f aca="false">INDEX(Radicals!$G$2:$G$215,MATCH(C108,Radicals!$A$2:$A$215,0))</f>
        <v>use</v>
      </c>
      <c r="F108" s="8" t="n">
        <f aca="false">INDEX(Radicals!$D$2:$D$215,MATCH(C108,Radicals!$A$2:$A$215,0))</f>
        <v>5</v>
      </c>
      <c r="G108" s="8" t="n">
        <v>5</v>
      </c>
    </row>
    <row r="109" customFormat="false" ht="17.35" hidden="false" customHeight="false" outlineLevel="0" collapsed="false">
      <c r="A109" s="8" t="n">
        <v>108</v>
      </c>
      <c r="B109" s="9" t="s">
        <v>1193</v>
      </c>
      <c r="C109" s="8" t="n">
        <v>18</v>
      </c>
      <c r="D109" s="9" t="str">
        <f aca="false">INDEX(Radicals!$B$2:$B$215,MATCH(C109,Radicals!$A$2:$A$215,0))</f>
        <v>刀</v>
      </c>
      <c r="E109" s="10" t="str">
        <f aca="false">INDEX(Radicals!$G$2:$G$215,MATCH(C109,Radicals!$A$2:$A$215,0))</f>
        <v>knife, sword</v>
      </c>
      <c r="F109" s="8" t="n">
        <f aca="false">INDEX(Radicals!$D$2:$D$215,MATCH(C109,Radicals!$A$2:$A$215,0))</f>
        <v>2</v>
      </c>
      <c r="G109" s="8" t="n">
        <v>8</v>
      </c>
    </row>
    <row r="110" customFormat="false" ht="17.35" hidden="false" customHeight="false" outlineLevel="0" collapsed="false">
      <c r="A110" s="8" t="n">
        <v>109</v>
      </c>
      <c r="B110" s="9" t="s">
        <v>1194</v>
      </c>
      <c r="C110" s="8" t="n">
        <v>85</v>
      </c>
      <c r="D110" s="9" t="str">
        <f aca="false">INDEX(Radicals!$B$2:$B$215,MATCH(C110,Radicals!$A$2:$A$215,0))</f>
        <v>水</v>
      </c>
      <c r="E110" s="10" t="str">
        <f aca="false">INDEX(Radicals!$G$2:$G$215,MATCH(C110,Radicals!$A$2:$A$215,0))</f>
        <v>water</v>
      </c>
      <c r="F110" s="8" t="n">
        <f aca="false">INDEX(Radicals!$D$2:$D$215,MATCH(C110,Radicals!$A$2:$A$215,0))</f>
        <v>4</v>
      </c>
      <c r="G110" s="8" t="n">
        <v>8</v>
      </c>
    </row>
    <row r="111" customFormat="false" ht="17.35" hidden="false" customHeight="false" outlineLevel="0" collapsed="false">
      <c r="A111" s="8" t="n">
        <v>110</v>
      </c>
      <c r="B111" s="9" t="s">
        <v>1195</v>
      </c>
      <c r="C111" s="8" t="n">
        <v>53</v>
      </c>
      <c r="D111" s="9" t="str">
        <f aca="false">INDEX(Radicals!$B$2:$B$215,MATCH(C111,Radicals!$A$2:$A$215,0))</f>
        <v>广</v>
      </c>
      <c r="E111" s="10" t="str">
        <f aca="false">INDEX(Radicals!$G$2:$G$215,MATCH(C111,Radicals!$A$2:$A$215,0))</f>
        <v>dotted cliff, building</v>
      </c>
      <c r="F111" s="8" t="n">
        <f aca="false">INDEX(Radicals!$D$2:$D$215,MATCH(C111,Radicals!$A$2:$A$215,0))</f>
        <v>3</v>
      </c>
      <c r="G111" s="8" t="n">
        <v>9</v>
      </c>
    </row>
    <row r="112" customFormat="false" ht="17.35" hidden="false" customHeight="false" outlineLevel="0" collapsed="false">
      <c r="A112" s="8" t="n">
        <v>111</v>
      </c>
      <c r="B112" s="9" t="s">
        <v>1196</v>
      </c>
      <c r="C112" s="8" t="n">
        <v>19</v>
      </c>
      <c r="D112" s="9" t="str">
        <f aca="false">INDEX(Radicals!$B$2:$B$215,MATCH(C112,Radicals!$A$2:$A$215,0))</f>
        <v>力</v>
      </c>
      <c r="E112" s="10" t="str">
        <f aca="false">INDEX(Radicals!$G$2:$G$215,MATCH(C112,Radicals!$A$2:$A$215,0))</f>
        <v>power, strength</v>
      </c>
      <c r="F112" s="8" t="n">
        <f aca="false">INDEX(Radicals!$D$2:$D$215,MATCH(C112,Radicals!$A$2:$A$215,0))</f>
        <v>2</v>
      </c>
      <c r="G112" s="8" t="n">
        <v>11</v>
      </c>
    </row>
    <row r="113" customFormat="false" ht="17.35" hidden="false" customHeight="false" outlineLevel="0" collapsed="false">
      <c r="A113" s="8" t="n">
        <v>112</v>
      </c>
      <c r="B113" s="9" t="s">
        <v>1197</v>
      </c>
      <c r="C113" s="8" t="n">
        <v>57</v>
      </c>
      <c r="D113" s="9" t="str">
        <f aca="false">INDEX(Radicals!$B$2:$B$215,MATCH(C113,Radicals!$A$2:$A$215,0))</f>
        <v>弓</v>
      </c>
      <c r="E113" s="10" t="str">
        <f aca="false">INDEX(Radicals!$G$2:$G$215,MATCH(C113,Radicals!$A$2:$A$215,0))</f>
        <v>bow</v>
      </c>
      <c r="F113" s="8" t="n">
        <f aca="false">INDEX(Radicals!$D$2:$D$215,MATCH(C113,Radicals!$A$2:$A$215,0))</f>
        <v>3</v>
      </c>
      <c r="G113" s="8" t="n">
        <v>11</v>
      </c>
    </row>
    <row r="114" customFormat="false" ht="17.35" hidden="false" customHeight="false" outlineLevel="0" collapsed="false">
      <c r="A114" s="8" t="n">
        <v>113</v>
      </c>
      <c r="B114" s="9" t="s">
        <v>454</v>
      </c>
      <c r="C114" s="8" t="n">
        <v>84</v>
      </c>
      <c r="D114" s="9" t="str">
        <f aca="false">INDEX(Radicals!$B$2:$B$215,MATCH(C114,Radicals!$A$2:$A$215,0))</f>
        <v>气</v>
      </c>
      <c r="E114" s="10" t="str">
        <f aca="false">INDEX(Radicals!$G$2:$G$215,MATCH(C114,Radicals!$A$2:$A$215,0))</f>
        <v>steam, breath</v>
      </c>
      <c r="F114" s="8" t="n">
        <f aca="false">INDEX(Radicals!$D$2:$D$215,MATCH(C114,Radicals!$A$2:$A$215,0))</f>
        <v>4</v>
      </c>
      <c r="G114" s="8" t="n">
        <v>6</v>
      </c>
    </row>
    <row r="115" customFormat="false" ht="17.35" hidden="false" customHeight="false" outlineLevel="0" collapsed="false">
      <c r="A115" s="8" t="n">
        <v>114</v>
      </c>
      <c r="B115" s="9" t="s">
        <v>229</v>
      </c>
      <c r="C115" s="8" t="n">
        <v>42</v>
      </c>
      <c r="D115" s="9" t="str">
        <f aca="false">INDEX(Radicals!$B$2:$B$215,MATCH(C115,Radicals!$A$2:$A$215,0))</f>
        <v>小</v>
      </c>
      <c r="E115" s="10" t="str">
        <f aca="false">INDEX(Radicals!$G$2:$G$215,MATCH(C115,Radicals!$A$2:$A$215,0))</f>
        <v>small</v>
      </c>
      <c r="F115" s="8" t="n">
        <f aca="false">INDEX(Radicals!$D$2:$D$215,MATCH(C115,Radicals!$A$2:$A$215,0))</f>
        <v>3</v>
      </c>
      <c r="G115" s="8" t="n">
        <v>3</v>
      </c>
    </row>
    <row r="116" customFormat="false" ht="17.35" hidden="false" customHeight="false" outlineLevel="0" collapsed="false">
      <c r="A116" s="8" t="n">
        <v>115</v>
      </c>
      <c r="B116" s="9" t="s">
        <v>1198</v>
      </c>
      <c r="C116" s="8" t="n">
        <v>1</v>
      </c>
      <c r="D116" s="9" t="str">
        <f aca="false">INDEX(Radicals!$B$2:$B$215,MATCH(C116,Radicals!$A$2:$A$215,0))</f>
        <v>一</v>
      </c>
      <c r="E116" s="10" t="str">
        <f aca="false">INDEX(Radicals!$G$2:$G$215,MATCH(C116,Radicals!$A$2:$A$215,0))</f>
        <v>one</v>
      </c>
      <c r="F116" s="8" t="n">
        <f aca="false">INDEX(Radicals!$D$2:$D$215,MATCH(C116,Radicals!$A$2:$A$215,0))</f>
        <v>1</v>
      </c>
      <c r="G116" s="8" t="n">
        <v>2</v>
      </c>
    </row>
    <row r="117" customFormat="false" ht="17.35" hidden="false" customHeight="false" outlineLevel="0" collapsed="false">
      <c r="A117" s="8" t="n">
        <v>116</v>
      </c>
      <c r="B117" s="9" t="s">
        <v>1199</v>
      </c>
      <c r="C117" s="8" t="n">
        <v>62</v>
      </c>
      <c r="D117" s="9" t="str">
        <f aca="false">INDEX(Radicals!$B$2:$B$215,MATCH(C117,Radicals!$A$2:$A$215,0))</f>
        <v>戈</v>
      </c>
      <c r="E117" s="10" t="str">
        <f aca="false">INDEX(Radicals!$G$2:$G$215,MATCH(C117,Radicals!$A$2:$A$215,0))</f>
        <v>halberd, spear</v>
      </c>
      <c r="F117" s="8" t="n">
        <f aca="false">INDEX(Radicals!$D$2:$D$215,MATCH(C117,Radicals!$A$2:$A$215,0))</f>
        <v>4</v>
      </c>
      <c r="G117" s="8" t="n">
        <v>6</v>
      </c>
    </row>
    <row r="118" customFormat="false" ht="17.35" hidden="false" customHeight="false" outlineLevel="0" collapsed="false">
      <c r="A118" s="8" t="n">
        <v>117</v>
      </c>
      <c r="B118" s="9" t="s">
        <v>1200</v>
      </c>
      <c r="C118" s="8" t="n">
        <v>74</v>
      </c>
      <c r="D118" s="9" t="str">
        <f aca="false">INDEX(Radicals!$B$2:$B$215,MATCH(C118,Radicals!$A$2:$A$215,0))</f>
        <v>月</v>
      </c>
      <c r="E118" s="10" t="str">
        <f aca="false">INDEX(Radicals!$G$2:$G$215,MATCH(C118,Radicals!$A$2:$A$215,0))</f>
        <v>moon, month</v>
      </c>
      <c r="F118" s="8" t="n">
        <f aca="false">INDEX(Radicals!$D$2:$D$215,MATCH(C118,Radicals!$A$2:$A$215,0))</f>
        <v>4</v>
      </c>
      <c r="G118" s="8" t="n">
        <v>12</v>
      </c>
    </row>
    <row r="119" customFormat="false" ht="17.35" hidden="false" customHeight="false" outlineLevel="0" collapsed="false">
      <c r="A119" s="8" t="n">
        <v>118</v>
      </c>
      <c r="B119" s="9" t="s">
        <v>1201</v>
      </c>
      <c r="C119" s="8" t="n">
        <v>12</v>
      </c>
      <c r="D119" s="9" t="str">
        <f aca="false">INDEX(Radicals!$B$2:$B$215,MATCH(C119,Radicals!$A$2:$A$215,0))</f>
        <v>八</v>
      </c>
      <c r="E119" s="10" t="str">
        <f aca="false">INDEX(Radicals!$G$2:$G$215,MATCH(C119,Radicals!$A$2:$A$215,0))</f>
        <v>eight</v>
      </c>
      <c r="F119" s="8" t="n">
        <f aca="false">INDEX(Radicals!$D$2:$D$215,MATCH(C119,Radicals!$A$2:$A$215,0))</f>
        <v>2</v>
      </c>
      <c r="G119" s="8" t="n">
        <v>4</v>
      </c>
    </row>
    <row r="120" customFormat="false" ht="17.35" hidden="false" customHeight="false" outlineLevel="0" collapsed="false">
      <c r="A120" s="8" t="n">
        <v>119</v>
      </c>
      <c r="B120" s="9" t="s">
        <v>1202</v>
      </c>
      <c r="C120" s="8" t="n">
        <v>64</v>
      </c>
      <c r="D120" s="9" t="str">
        <f aca="false">INDEX(Radicals!$B$2:$B$215,MATCH(C120,Radicals!$A$2:$A$215,0))</f>
        <v>手</v>
      </c>
      <c r="E120" s="10" t="str">
        <f aca="false">INDEX(Radicals!$G$2:$G$215,MATCH(C120,Radicals!$A$2:$A$215,0))</f>
        <v>hand</v>
      </c>
      <c r="F120" s="8" t="n">
        <f aca="false">INDEX(Radicals!$D$2:$D$215,MATCH(C120,Radicals!$A$2:$A$215,0))</f>
        <v>4</v>
      </c>
      <c r="G120" s="8" t="n">
        <v>9</v>
      </c>
    </row>
    <row r="121" customFormat="false" ht="17.35" hidden="false" customHeight="false" outlineLevel="0" collapsed="false">
      <c r="A121" s="8" t="n">
        <v>120</v>
      </c>
      <c r="B121" s="9" t="s">
        <v>1203</v>
      </c>
      <c r="C121" s="8" t="n">
        <v>166</v>
      </c>
      <c r="D121" s="9" t="str">
        <f aca="false">INDEX(Radicals!$B$2:$B$215,MATCH(C121,Radicals!$A$2:$A$215,0))</f>
        <v>里</v>
      </c>
      <c r="E121" s="10" t="str">
        <f aca="false">INDEX(Radicals!$G$2:$G$215,MATCH(C121,Radicals!$A$2:$A$215,0))</f>
        <v>village, ri (distance)</v>
      </c>
      <c r="F121" s="8" t="n">
        <f aca="false">INDEX(Radicals!$D$2:$D$215,MATCH(C121,Radicals!$A$2:$A$215,0))</f>
        <v>7</v>
      </c>
      <c r="G121" s="8" t="n">
        <v>11</v>
      </c>
    </row>
    <row r="122" customFormat="false" ht="17.35" hidden="false" customHeight="false" outlineLevel="0" collapsed="false">
      <c r="A122" s="8" t="n">
        <v>121</v>
      </c>
      <c r="B122" s="9" t="s">
        <v>1204</v>
      </c>
      <c r="C122" s="8" t="n">
        <v>24</v>
      </c>
      <c r="D122" s="9" t="str">
        <f aca="false">INDEX(Radicals!$B$2:$B$215,MATCH(C122,Radicals!$A$2:$A$215,0))</f>
        <v>十</v>
      </c>
      <c r="E122" s="10" t="str">
        <f aca="false">INDEX(Radicals!$G$2:$G$215,MATCH(C122,Radicals!$A$2:$A$215,0))</f>
        <v>ten</v>
      </c>
      <c r="F122" s="8" t="n">
        <f aca="false">INDEX(Radicals!$D$2:$D$215,MATCH(C122,Radicals!$A$2:$A$215,0))</f>
        <v>2</v>
      </c>
      <c r="G122" s="8" t="n">
        <v>8</v>
      </c>
    </row>
    <row r="123" customFormat="false" ht="17.35" hidden="false" customHeight="false" outlineLevel="0" collapsed="false">
      <c r="A123" s="8" t="n">
        <v>122</v>
      </c>
      <c r="B123" s="9" t="s">
        <v>1205</v>
      </c>
      <c r="C123" s="8" t="n">
        <v>29</v>
      </c>
      <c r="D123" s="9" t="str">
        <f aca="false">INDEX(Radicals!$B$2:$B$215,MATCH(C123,Radicals!$A$2:$A$215,0))</f>
        <v>又</v>
      </c>
      <c r="E123" s="10" t="str">
        <f aca="false">INDEX(Radicals!$G$2:$G$215,MATCH(C123,Radicals!$A$2:$A$215,0))</f>
        <v>again, right hand</v>
      </c>
      <c r="F123" s="8" t="n">
        <f aca="false">INDEX(Radicals!$D$2:$D$215,MATCH(C123,Radicals!$A$2:$A$215,0))</f>
        <v>2</v>
      </c>
      <c r="G123" s="8" t="n">
        <v>8</v>
      </c>
    </row>
    <row r="124" customFormat="false" ht="17.35" hidden="false" customHeight="false" outlineLevel="0" collapsed="false">
      <c r="A124" s="8" t="n">
        <v>123</v>
      </c>
      <c r="B124" s="9" t="s">
        <v>1206</v>
      </c>
      <c r="C124" s="8" t="n">
        <v>163</v>
      </c>
      <c r="D124" s="9" t="str">
        <f aca="false">INDEX(Radicals!$B$2:$B$215,MATCH(C124,Radicals!$A$2:$A$215,0))</f>
        <v>邑</v>
      </c>
      <c r="E124" s="10" t="str">
        <f aca="false">INDEX(Radicals!$G$2:$G$215,MATCH(C124,Radicals!$A$2:$A$215,0))</f>
        <v>city, village</v>
      </c>
      <c r="F124" s="8" t="n">
        <f aca="false">INDEX(Radicals!$D$2:$D$215,MATCH(C124,Radicals!$A$2:$A$215,0))</f>
        <v>7</v>
      </c>
      <c r="G124" s="8" t="n">
        <v>11</v>
      </c>
    </row>
    <row r="125" customFormat="false" ht="17.35" hidden="false" customHeight="false" outlineLevel="0" collapsed="false">
      <c r="A125" s="8" t="n">
        <v>124</v>
      </c>
      <c r="B125" s="9" t="s">
        <v>1207</v>
      </c>
      <c r="C125" s="8" t="n">
        <v>30</v>
      </c>
      <c r="D125" s="9" t="str">
        <f aca="false">INDEX(Radicals!$B$2:$B$215,MATCH(C125,Radicals!$A$2:$A$215,0))</f>
        <v>口</v>
      </c>
      <c r="E125" s="10" t="str">
        <f aca="false">INDEX(Radicals!$G$2:$G$215,MATCH(C125,Radicals!$A$2:$A$215,0))</f>
        <v>mouth</v>
      </c>
      <c r="F125" s="8" t="n">
        <f aca="false">INDEX(Radicals!$D$2:$D$215,MATCH(C125,Radicals!$A$2:$A$215,0))</f>
        <v>3</v>
      </c>
      <c r="G125" s="8" t="n">
        <v>8</v>
      </c>
    </row>
    <row r="126" customFormat="false" ht="17.35" hidden="false" customHeight="false" outlineLevel="0" collapsed="false">
      <c r="A126" s="8" t="n">
        <v>125</v>
      </c>
      <c r="B126" s="9" t="s">
        <v>1208</v>
      </c>
      <c r="C126" s="8" t="n">
        <v>120</v>
      </c>
      <c r="D126" s="9" t="str">
        <f aca="false">INDEX(Radicals!$B$2:$B$215,MATCH(C126,Radicals!$A$2:$A$215,0))</f>
        <v>糸</v>
      </c>
      <c r="E126" s="10" t="str">
        <f aca="false">INDEX(Radicals!$G$2:$G$215,MATCH(C126,Radicals!$A$2:$A$215,0))</f>
        <v>thread, silk</v>
      </c>
      <c r="F126" s="8" t="n">
        <f aca="false">INDEX(Radicals!$D$2:$D$215,MATCH(C126,Radicals!$A$2:$A$215,0))</f>
        <v>6</v>
      </c>
      <c r="G126" s="8" t="n">
        <v>12</v>
      </c>
    </row>
    <row r="127" customFormat="false" ht="17.35" hidden="false" customHeight="false" outlineLevel="0" collapsed="false">
      <c r="A127" s="8" t="n">
        <v>126</v>
      </c>
      <c r="B127" s="9" t="s">
        <v>1209</v>
      </c>
      <c r="C127" s="8" t="n">
        <v>9</v>
      </c>
      <c r="D127" s="9" t="str">
        <f aca="false">INDEX(Radicals!$B$2:$B$215,MATCH(C127,Radicals!$A$2:$A$215,0))</f>
        <v>人</v>
      </c>
      <c r="E127" s="10" t="str">
        <f aca="false">INDEX(Radicals!$G$2:$G$215,MATCH(C127,Radicals!$A$2:$A$215,0))</f>
        <v>person</v>
      </c>
      <c r="F127" s="8" t="n">
        <f aca="false">INDEX(Radicals!$D$2:$D$215,MATCH(C127,Radicals!$A$2:$A$215,0))</f>
        <v>2</v>
      </c>
      <c r="G127" s="8" t="n">
        <v>5</v>
      </c>
    </row>
    <row r="128" customFormat="false" ht="17.35" hidden="false" customHeight="false" outlineLevel="0" collapsed="false">
      <c r="A128" s="8" t="n">
        <v>127</v>
      </c>
      <c r="B128" s="9" t="s">
        <v>1210</v>
      </c>
      <c r="C128" s="8" t="n">
        <v>75</v>
      </c>
      <c r="D128" s="9" t="str">
        <f aca="false">INDEX(Radicals!$B$2:$B$215,MATCH(C128,Radicals!$A$2:$A$215,0))</f>
        <v>木</v>
      </c>
      <c r="E128" s="10" t="str">
        <f aca="false">INDEX(Radicals!$G$2:$G$215,MATCH(C128,Radicals!$A$2:$A$215,0))</f>
        <v>tree, wood</v>
      </c>
      <c r="F128" s="8" t="n">
        <f aca="false">INDEX(Radicals!$D$2:$D$215,MATCH(C128,Radicals!$A$2:$A$215,0))</f>
        <v>4</v>
      </c>
      <c r="G128" s="8" t="n">
        <v>16</v>
      </c>
    </row>
    <row r="129" customFormat="false" ht="17.35" hidden="false" customHeight="false" outlineLevel="0" collapsed="false">
      <c r="A129" s="8" t="n">
        <v>128</v>
      </c>
      <c r="B129" s="9" t="s">
        <v>1211</v>
      </c>
      <c r="C129" s="8" t="n">
        <v>51</v>
      </c>
      <c r="D129" s="9" t="str">
        <f aca="false">INDEX(Radicals!$B$2:$B$215,MATCH(C129,Radicals!$A$2:$A$215,0))</f>
        <v>干</v>
      </c>
      <c r="E129" s="10" t="str">
        <f aca="false">INDEX(Radicals!$G$2:$G$215,MATCH(C129,Radicals!$A$2:$A$215,0))</f>
        <v>dry, to do with</v>
      </c>
      <c r="F129" s="8" t="n">
        <f aca="false">INDEX(Radicals!$D$2:$D$215,MATCH(C129,Radicals!$A$2:$A$215,0))</f>
        <v>3</v>
      </c>
      <c r="G129" s="8" t="n">
        <v>5</v>
      </c>
    </row>
    <row r="130" customFormat="false" ht="17.35" hidden="false" customHeight="false" outlineLevel="0" collapsed="false">
      <c r="A130" s="8" t="n">
        <v>129</v>
      </c>
      <c r="B130" s="9" t="s">
        <v>1212</v>
      </c>
      <c r="C130" s="8" t="n">
        <v>120</v>
      </c>
      <c r="D130" s="9" t="str">
        <f aca="false">INDEX(Radicals!$B$2:$B$215,MATCH(C130,Radicals!$A$2:$A$215,0))</f>
        <v>糸</v>
      </c>
      <c r="E130" s="10" t="str">
        <f aca="false">INDEX(Radicals!$G$2:$G$215,MATCH(C130,Radicals!$A$2:$A$215,0))</f>
        <v>thread, silk</v>
      </c>
      <c r="F130" s="8" t="n">
        <f aca="false">INDEX(Radicals!$D$2:$D$215,MATCH(C130,Radicals!$A$2:$A$215,0))</f>
        <v>6</v>
      </c>
      <c r="G130" s="8" t="n">
        <v>14</v>
      </c>
    </row>
    <row r="131" customFormat="false" ht="17.35" hidden="false" customHeight="false" outlineLevel="0" collapsed="false">
      <c r="A131" s="8" t="n">
        <v>130</v>
      </c>
      <c r="B131" s="9" t="s">
        <v>1213</v>
      </c>
      <c r="C131" s="8" t="n">
        <v>19</v>
      </c>
      <c r="D131" s="9" t="str">
        <f aca="false">INDEX(Radicals!$B$2:$B$215,MATCH(C131,Radicals!$A$2:$A$215,0))</f>
        <v>力</v>
      </c>
      <c r="E131" s="10" t="str">
        <f aca="false">INDEX(Radicals!$G$2:$G$215,MATCH(C131,Radicals!$A$2:$A$215,0))</f>
        <v>power, strength</v>
      </c>
      <c r="F131" s="8" t="n">
        <f aca="false">INDEX(Radicals!$D$2:$D$215,MATCH(C131,Radicals!$A$2:$A$215,0))</f>
        <v>2</v>
      </c>
      <c r="G131" s="8" t="n">
        <v>5</v>
      </c>
    </row>
    <row r="132" customFormat="false" ht="17.35" hidden="false" customHeight="false" outlineLevel="0" collapsed="false">
      <c r="A132" s="8" t="n">
        <v>131</v>
      </c>
      <c r="B132" s="9" t="s">
        <v>253</v>
      </c>
      <c r="C132" s="8" t="n">
        <v>46</v>
      </c>
      <c r="D132" s="9" t="str">
        <f aca="false">INDEX(Radicals!$B$2:$B$215,MATCH(C132,Radicals!$A$2:$A$215,0))</f>
        <v>山</v>
      </c>
      <c r="E132" s="10" t="str">
        <f aca="false">INDEX(Radicals!$G$2:$G$215,MATCH(C132,Radicals!$A$2:$A$215,0))</f>
        <v>mountain</v>
      </c>
      <c r="F132" s="8" t="n">
        <f aca="false">INDEX(Radicals!$D$2:$D$215,MATCH(C132,Radicals!$A$2:$A$215,0))</f>
        <v>3</v>
      </c>
      <c r="G132" s="8" t="n">
        <v>3</v>
      </c>
    </row>
    <row r="133" customFormat="false" ht="17.35" hidden="false" customHeight="false" outlineLevel="0" collapsed="false">
      <c r="A133" s="8" t="n">
        <v>132</v>
      </c>
      <c r="B133" s="9" t="s">
        <v>1214</v>
      </c>
      <c r="C133" s="8" t="n">
        <v>61</v>
      </c>
      <c r="D133" s="9" t="str">
        <f aca="false">INDEX(Radicals!$B$2:$B$215,MATCH(C133,Radicals!$A$2:$A$215,0))</f>
        <v>心</v>
      </c>
      <c r="E133" s="10" t="str">
        <f aca="false">INDEX(Radicals!$G$2:$G$215,MATCH(C133,Radicals!$A$2:$A$215,0))</f>
        <v>heart, mind</v>
      </c>
      <c r="F133" s="8" t="n">
        <f aca="false">INDEX(Radicals!$D$2:$D$215,MATCH(C133,Radicals!$A$2:$A$215,0))</f>
        <v>4</v>
      </c>
      <c r="G133" s="8" t="n">
        <v>9</v>
      </c>
    </row>
    <row r="134" customFormat="false" ht="17.35" hidden="false" customHeight="false" outlineLevel="0" collapsed="false">
      <c r="A134" s="8" t="n">
        <v>133</v>
      </c>
      <c r="B134" s="9" t="s">
        <v>1215</v>
      </c>
      <c r="C134" s="8" t="n">
        <v>40</v>
      </c>
      <c r="D134" s="9" t="str">
        <f aca="false">INDEX(Radicals!$B$2:$B$215,MATCH(C134,Radicals!$A$2:$A$215,0))</f>
        <v>宀</v>
      </c>
      <c r="E134" s="10" t="str">
        <f aca="false">INDEX(Radicals!$G$2:$G$215,MATCH(C134,Radicals!$A$2:$A$215,0))</f>
        <v>roof</v>
      </c>
      <c r="F134" s="8" t="n">
        <f aca="false">INDEX(Radicals!$D$2:$D$215,MATCH(C134,Radicals!$A$2:$A$215,0))</f>
        <v>3</v>
      </c>
      <c r="G134" s="8" t="n">
        <v>10</v>
      </c>
    </row>
    <row r="135" customFormat="false" ht="17.35" hidden="false" customHeight="false" outlineLevel="0" collapsed="false">
      <c r="A135" s="8" t="n">
        <v>134</v>
      </c>
      <c r="B135" s="9" t="s">
        <v>1216</v>
      </c>
      <c r="C135" s="8" t="n">
        <v>149</v>
      </c>
      <c r="D135" s="9" t="str">
        <f aca="false">INDEX(Radicals!$B$2:$B$215,MATCH(C135,Radicals!$A$2:$A$215,0))</f>
        <v>言</v>
      </c>
      <c r="E135" s="10" t="str">
        <f aca="false">INDEX(Radicals!$G$2:$G$215,MATCH(C135,Radicals!$A$2:$A$215,0))</f>
        <v>speech, say</v>
      </c>
      <c r="F135" s="8" t="n">
        <f aca="false">INDEX(Radicals!$D$2:$D$215,MATCH(C135,Radicals!$A$2:$A$215,0))</f>
        <v>7</v>
      </c>
      <c r="G135" s="8" t="n">
        <v>13</v>
      </c>
    </row>
    <row r="136" customFormat="false" ht="17.35" hidden="false" customHeight="false" outlineLevel="0" collapsed="false">
      <c r="A136" s="8" t="n">
        <v>135</v>
      </c>
      <c r="B136" s="9" t="s">
        <v>1217</v>
      </c>
      <c r="C136" s="8" t="n">
        <v>1</v>
      </c>
      <c r="D136" s="9" t="str">
        <f aca="false">INDEX(Radicals!$B$2:$B$215,MATCH(C136,Radicals!$A$2:$A$215,0))</f>
        <v>一</v>
      </c>
      <c r="E136" s="10" t="str">
        <f aca="false">INDEX(Radicals!$G$2:$G$215,MATCH(C136,Radicals!$A$2:$A$215,0))</f>
        <v>one</v>
      </c>
      <c r="F136" s="8" t="n">
        <f aca="false">INDEX(Radicals!$D$2:$D$215,MATCH(C136,Radicals!$A$2:$A$215,0))</f>
        <v>1</v>
      </c>
      <c r="G136" s="8" t="n">
        <v>5</v>
      </c>
    </row>
    <row r="137" customFormat="false" ht="17.35" hidden="false" customHeight="false" outlineLevel="0" collapsed="false">
      <c r="A137" s="8" t="n">
        <v>136</v>
      </c>
      <c r="B137" s="9" t="s">
        <v>1218</v>
      </c>
      <c r="C137" s="8" t="n">
        <v>29</v>
      </c>
      <c r="D137" s="9" t="str">
        <f aca="false">INDEX(Radicals!$B$2:$B$215,MATCH(C137,Radicals!$A$2:$A$215,0))</f>
        <v>又</v>
      </c>
      <c r="E137" s="10" t="str">
        <f aca="false">INDEX(Radicals!$G$2:$G$215,MATCH(C137,Radicals!$A$2:$A$215,0))</f>
        <v>again, right hand</v>
      </c>
      <c r="F137" s="8" t="n">
        <f aca="false">INDEX(Radicals!$D$2:$D$215,MATCH(C137,Radicals!$A$2:$A$215,0))</f>
        <v>2</v>
      </c>
      <c r="G137" s="8" t="n">
        <v>8</v>
      </c>
    </row>
    <row r="138" customFormat="false" ht="17.35" hidden="false" customHeight="false" outlineLevel="0" collapsed="false">
      <c r="A138" s="8" t="n">
        <v>137</v>
      </c>
      <c r="B138" s="9" t="s">
        <v>1219</v>
      </c>
      <c r="C138" s="8" t="n">
        <v>23</v>
      </c>
      <c r="D138" s="9" t="str">
        <f aca="false">INDEX(Radicals!$B$2:$B$215,MATCH(C138,Radicals!$A$2:$A$215,0))</f>
        <v>匸</v>
      </c>
      <c r="E138" s="10" t="str">
        <f aca="false">INDEX(Radicals!$G$2:$G$215,MATCH(C138,Radicals!$A$2:$A$215,0))</f>
        <v>hiding enclosure</v>
      </c>
      <c r="F138" s="8" t="n">
        <f aca="false">INDEX(Radicals!$D$2:$D$215,MATCH(C138,Radicals!$A$2:$A$215,0))</f>
        <v>2</v>
      </c>
      <c r="G138" s="8" t="n">
        <v>4</v>
      </c>
    </row>
    <row r="139" customFormat="false" ht="17.35" hidden="false" customHeight="false" outlineLevel="0" collapsed="false">
      <c r="A139" s="8" t="n">
        <v>138</v>
      </c>
      <c r="B139" s="9" t="s">
        <v>1220</v>
      </c>
      <c r="C139" s="8" t="n">
        <v>181</v>
      </c>
      <c r="D139" s="9" t="str">
        <f aca="false">INDEX(Radicals!$B$2:$B$215,MATCH(C139,Radicals!$A$2:$A$215,0))</f>
        <v>頁</v>
      </c>
      <c r="E139" s="10" t="str">
        <f aca="false">INDEX(Radicals!$G$2:$G$215,MATCH(C139,Radicals!$A$2:$A$215,0))</f>
        <v>page, leaf (head)</v>
      </c>
      <c r="F139" s="8" t="n">
        <f aca="false">INDEX(Radicals!$D$2:$D$215,MATCH(C139,Radicals!$A$2:$A$215,0))</f>
        <v>9</v>
      </c>
      <c r="G139" s="8" t="n">
        <v>14</v>
      </c>
    </row>
    <row r="140" customFormat="false" ht="17.35" hidden="false" customHeight="false" outlineLevel="0" collapsed="false">
      <c r="A140" s="8" t="n">
        <v>139</v>
      </c>
      <c r="B140" s="9" t="s">
        <v>1221</v>
      </c>
      <c r="C140" s="8" t="n">
        <v>36</v>
      </c>
      <c r="D140" s="9" t="str">
        <f aca="false">INDEX(Radicals!$B$2:$B$215,MATCH(C140,Radicals!$A$2:$A$215,0))</f>
        <v>夕</v>
      </c>
      <c r="E140" s="10" t="str">
        <f aca="false">INDEX(Radicals!$G$2:$G$215,MATCH(C140,Radicals!$A$2:$A$215,0))</f>
        <v>evening</v>
      </c>
      <c r="F140" s="8" t="n">
        <f aca="false">INDEX(Radicals!$D$2:$D$215,MATCH(C140,Radicals!$A$2:$A$215,0))</f>
        <v>3</v>
      </c>
      <c r="G140" s="8" t="n">
        <v>6</v>
      </c>
    </row>
    <row r="141" customFormat="false" ht="17.35" hidden="false" customHeight="false" outlineLevel="0" collapsed="false">
      <c r="A141" s="8" t="n">
        <v>140</v>
      </c>
      <c r="B141" s="9" t="s">
        <v>1222</v>
      </c>
      <c r="C141" s="8" t="n">
        <v>109</v>
      </c>
      <c r="D141" s="9" t="str">
        <f aca="false">INDEX(Radicals!$B$2:$B$215,MATCH(C141,Radicals!$A$2:$A$215,0))</f>
        <v>目</v>
      </c>
      <c r="E141" s="10" t="str">
        <f aca="false">INDEX(Radicals!$G$2:$G$215,MATCH(C141,Radicals!$A$2:$A$215,0))</f>
        <v>eye</v>
      </c>
      <c r="F141" s="8" t="n">
        <f aca="false">INDEX(Radicals!$D$2:$D$215,MATCH(C141,Radicals!$A$2:$A$215,0))</f>
        <v>5</v>
      </c>
      <c r="G141" s="8" t="n">
        <v>9</v>
      </c>
    </row>
    <row r="142" customFormat="false" ht="17.35" hidden="false" customHeight="false" outlineLevel="0" collapsed="false">
      <c r="A142" s="8" t="n">
        <v>141</v>
      </c>
      <c r="B142" s="9" t="s">
        <v>1223</v>
      </c>
      <c r="C142" s="8" t="n">
        <v>120</v>
      </c>
      <c r="D142" s="9" t="str">
        <f aca="false">INDEX(Radicals!$B$2:$B$215,MATCH(C142,Radicals!$A$2:$A$215,0))</f>
        <v>糸</v>
      </c>
      <c r="E142" s="10" t="str">
        <f aca="false">INDEX(Radicals!$G$2:$G$215,MATCH(C142,Radicals!$A$2:$A$215,0))</f>
        <v>thread, silk</v>
      </c>
      <c r="F142" s="8" t="n">
        <f aca="false">INDEX(Radicals!$D$2:$D$215,MATCH(C142,Radicals!$A$2:$A$215,0))</f>
        <v>6</v>
      </c>
      <c r="G142" s="8" t="n">
        <v>13</v>
      </c>
    </row>
    <row r="143" customFormat="false" ht="17.35" hidden="false" customHeight="false" outlineLevel="0" collapsed="false">
      <c r="A143" s="8" t="n">
        <v>142</v>
      </c>
      <c r="B143" s="9" t="s">
        <v>1224</v>
      </c>
      <c r="C143" s="8" t="n">
        <v>162</v>
      </c>
      <c r="D143" s="9" t="str">
        <f aca="false">INDEX(Radicals!$B$2:$B$215,MATCH(C143,Radicals!$A$2:$A$215,0))</f>
        <v>辵</v>
      </c>
      <c r="E143" s="10" t="str">
        <f aca="false">INDEX(Radicals!$G$2:$G$215,MATCH(C143,Radicals!$A$2:$A$215,0))</f>
        <v>walk, movement</v>
      </c>
      <c r="F143" s="8" t="n">
        <f aca="false">INDEX(Radicals!$D$2:$D$215,MATCH(C143,Radicals!$A$2:$A$215,0))</f>
        <v>7</v>
      </c>
      <c r="G143" s="8" t="n">
        <v>11</v>
      </c>
    </row>
    <row r="144" customFormat="false" ht="17.35" hidden="false" customHeight="false" outlineLevel="0" collapsed="false">
      <c r="A144" s="8" t="n">
        <v>143</v>
      </c>
      <c r="B144" s="9" t="s">
        <v>1225</v>
      </c>
      <c r="C144" s="8" t="n">
        <v>77</v>
      </c>
      <c r="D144" s="9" t="str">
        <f aca="false">INDEX(Radicals!$B$2:$B$215,MATCH(C144,Radicals!$A$2:$A$215,0))</f>
        <v>止</v>
      </c>
      <c r="E144" s="10" t="str">
        <f aca="false">INDEX(Radicals!$G$2:$G$215,MATCH(C144,Radicals!$A$2:$A$215,0))</f>
        <v>stop</v>
      </c>
      <c r="F144" s="8" t="n">
        <f aca="false">INDEX(Radicals!$D$2:$D$215,MATCH(C144,Radicals!$A$2:$A$215,0))</f>
        <v>4</v>
      </c>
      <c r="G144" s="8" t="n">
        <v>5</v>
      </c>
    </row>
    <row r="145" customFormat="false" ht="17.35" hidden="false" customHeight="false" outlineLevel="0" collapsed="false">
      <c r="A145" s="8" t="n">
        <v>144</v>
      </c>
      <c r="B145" s="9" t="s">
        <v>1226</v>
      </c>
      <c r="C145" s="8" t="n">
        <v>40</v>
      </c>
      <c r="D145" s="9" t="str">
        <f aca="false">INDEX(Radicals!$B$2:$B$215,MATCH(C145,Radicals!$A$2:$A$215,0))</f>
        <v>宀</v>
      </c>
      <c r="E145" s="10" t="str">
        <f aca="false">INDEX(Radicals!$G$2:$G$215,MATCH(C145,Radicals!$A$2:$A$215,0))</f>
        <v>roof</v>
      </c>
      <c r="F145" s="8" t="n">
        <f aca="false">INDEX(Radicals!$D$2:$D$215,MATCH(C145,Radicals!$A$2:$A$215,0))</f>
        <v>3</v>
      </c>
      <c r="G145" s="8" t="n">
        <v>6</v>
      </c>
    </row>
    <row r="146" customFormat="false" ht="17.35" hidden="false" customHeight="false" outlineLevel="0" collapsed="false">
      <c r="A146" s="8" t="n">
        <v>145</v>
      </c>
      <c r="B146" s="9" t="s">
        <v>1227</v>
      </c>
      <c r="C146" s="8" t="n">
        <v>149</v>
      </c>
      <c r="D146" s="9" t="str">
        <f aca="false">INDEX(Radicals!$B$2:$B$215,MATCH(C146,Radicals!$A$2:$A$215,0))</f>
        <v>言</v>
      </c>
      <c r="E146" s="10" t="str">
        <f aca="false">INDEX(Radicals!$G$2:$G$215,MATCH(C146,Radicals!$A$2:$A$215,0))</f>
        <v>speech, say</v>
      </c>
      <c r="F146" s="8" t="n">
        <f aca="false">INDEX(Radicals!$D$2:$D$215,MATCH(C146,Radicals!$A$2:$A$215,0))</f>
        <v>7</v>
      </c>
      <c r="G146" s="8" t="n">
        <v>11</v>
      </c>
    </row>
    <row r="147" customFormat="false" ht="17.35" hidden="false" customHeight="false" outlineLevel="0" collapsed="false">
      <c r="A147" s="8" t="n">
        <v>146</v>
      </c>
      <c r="B147" s="9" t="s">
        <v>1228</v>
      </c>
      <c r="C147" s="8" t="n">
        <v>9</v>
      </c>
      <c r="D147" s="9" t="str">
        <f aca="false">INDEX(Radicals!$B$2:$B$215,MATCH(C147,Radicals!$A$2:$A$215,0))</f>
        <v>人</v>
      </c>
      <c r="E147" s="10" t="str">
        <f aca="false">INDEX(Radicals!$G$2:$G$215,MATCH(C147,Radicals!$A$2:$A$215,0))</f>
        <v>person</v>
      </c>
      <c r="F147" s="8" t="n">
        <f aca="false">INDEX(Radicals!$D$2:$D$215,MATCH(C147,Radicals!$A$2:$A$215,0))</f>
        <v>2</v>
      </c>
      <c r="G147" s="8" t="n">
        <v>9</v>
      </c>
    </row>
    <row r="148" customFormat="false" ht="17.35" hidden="false" customHeight="false" outlineLevel="0" collapsed="false">
      <c r="A148" s="8" t="n">
        <v>147</v>
      </c>
      <c r="B148" s="9" t="s">
        <v>1229</v>
      </c>
      <c r="C148" s="8" t="n">
        <v>66</v>
      </c>
      <c r="D148" s="9" t="str">
        <f aca="false">INDEX(Radicals!$B$2:$B$215,MATCH(C148,Radicals!$A$2:$A$215,0))</f>
        <v>攴</v>
      </c>
      <c r="E148" s="10" t="str">
        <f aca="false">INDEX(Radicals!$G$2:$G$215,MATCH(C148,Radicals!$A$2:$A$215,0))</f>
        <v>rap, tap, strike</v>
      </c>
      <c r="F148" s="8" t="n">
        <f aca="false">INDEX(Radicals!$D$2:$D$215,MATCH(C148,Radicals!$A$2:$A$215,0))</f>
        <v>4</v>
      </c>
      <c r="G148" s="8" t="n">
        <v>7</v>
      </c>
    </row>
    <row r="149" customFormat="false" ht="17.35" hidden="false" customHeight="false" outlineLevel="0" collapsed="false">
      <c r="A149" s="8" t="n">
        <v>148</v>
      </c>
      <c r="B149" s="9" t="s">
        <v>1230</v>
      </c>
      <c r="C149" s="8" t="n">
        <v>66</v>
      </c>
      <c r="D149" s="9" t="str">
        <f aca="false">INDEX(Radicals!$B$2:$B$215,MATCH(C149,Radicals!$A$2:$A$215,0))</f>
        <v>攴</v>
      </c>
      <c r="E149" s="10" t="str">
        <f aca="false">INDEX(Radicals!$G$2:$G$215,MATCH(C149,Radicals!$A$2:$A$215,0))</f>
        <v>rap, tap, strike</v>
      </c>
      <c r="F149" s="8" t="n">
        <f aca="false">INDEX(Radicals!$D$2:$D$215,MATCH(C149,Radicals!$A$2:$A$215,0))</f>
        <v>4</v>
      </c>
      <c r="G149" s="8" t="n">
        <v>13</v>
      </c>
    </row>
    <row r="150" customFormat="false" ht="17.35" hidden="false" customHeight="false" outlineLevel="0" collapsed="false">
      <c r="A150" s="8" t="n">
        <v>149</v>
      </c>
      <c r="B150" s="9" t="s">
        <v>1231</v>
      </c>
      <c r="C150" s="8" t="n">
        <v>149</v>
      </c>
      <c r="D150" s="9" t="str">
        <f aca="false">INDEX(Radicals!$B$2:$B$215,MATCH(C150,Radicals!$A$2:$A$215,0))</f>
        <v>言</v>
      </c>
      <c r="E150" s="10" t="str">
        <f aca="false">INDEX(Radicals!$G$2:$G$215,MATCH(C150,Radicals!$A$2:$A$215,0))</f>
        <v>speech, say</v>
      </c>
      <c r="F150" s="8" t="n">
        <f aca="false">INDEX(Radicals!$D$2:$D$215,MATCH(C150,Radicals!$A$2:$A$215,0))</f>
        <v>7</v>
      </c>
      <c r="G150" s="8" t="n">
        <v>10</v>
      </c>
    </row>
    <row r="151" customFormat="false" ht="17.35" hidden="false" customHeight="false" outlineLevel="0" collapsed="false">
      <c r="A151" s="8" t="n">
        <v>150</v>
      </c>
      <c r="B151" s="9" t="s">
        <v>1232</v>
      </c>
      <c r="C151" s="8" t="n">
        <v>170</v>
      </c>
      <c r="D151" s="9" t="str">
        <f aca="false">INDEX(Radicals!$B$2:$B$215,MATCH(C151,Radicals!$A$2:$A$215,0))</f>
        <v>阜</v>
      </c>
      <c r="E151" s="10" t="str">
        <f aca="false">INDEX(Radicals!$G$2:$G$215,MATCH(C151,Radicals!$A$2:$A$215,0))</f>
        <v>mound, hill</v>
      </c>
      <c r="F151" s="8" t="n">
        <f aca="false">INDEX(Radicals!$D$2:$D$215,MATCH(C151,Radicals!$A$2:$A$215,0))</f>
        <v>8</v>
      </c>
      <c r="G151" s="8" t="n">
        <v>10</v>
      </c>
    </row>
    <row r="152" customFormat="false" ht="17.35" hidden="false" customHeight="false" outlineLevel="0" collapsed="false">
      <c r="A152" s="8" t="n">
        <v>151</v>
      </c>
      <c r="B152" s="9" t="s">
        <v>209</v>
      </c>
      <c r="C152" s="8" t="n">
        <v>38</v>
      </c>
      <c r="D152" s="9" t="str">
        <f aca="false">INDEX(Radicals!$B$2:$B$215,MATCH(C152,Radicals!$A$2:$A$215,0))</f>
        <v>女</v>
      </c>
      <c r="E152" s="10" t="str">
        <f aca="false">INDEX(Radicals!$G$2:$G$215,MATCH(C152,Radicals!$A$2:$A$215,0))</f>
        <v>woman</v>
      </c>
      <c r="F152" s="8" t="n">
        <f aca="false">INDEX(Radicals!$D$2:$D$215,MATCH(C152,Radicals!$A$2:$A$215,0))</f>
        <v>3</v>
      </c>
      <c r="G152" s="8" t="n">
        <v>3</v>
      </c>
    </row>
    <row r="153" customFormat="false" ht="17.35" hidden="false" customHeight="false" outlineLevel="0" collapsed="false">
      <c r="A153" s="8" t="n">
        <v>152</v>
      </c>
      <c r="B153" s="9" t="s">
        <v>1233</v>
      </c>
      <c r="C153" s="8" t="n">
        <v>18</v>
      </c>
      <c r="D153" s="9" t="str">
        <f aca="false">INDEX(Radicals!$B$2:$B$215,MATCH(C153,Radicals!$A$2:$A$215,0))</f>
        <v>刀</v>
      </c>
      <c r="E153" s="10" t="str">
        <f aca="false">INDEX(Radicals!$G$2:$G$215,MATCH(C153,Radicals!$A$2:$A$215,0))</f>
        <v>knife, sword</v>
      </c>
      <c r="F153" s="8" t="n">
        <f aca="false">INDEX(Radicals!$D$2:$D$215,MATCH(C153,Radicals!$A$2:$A$215,0))</f>
        <v>2</v>
      </c>
      <c r="G153" s="8" t="n">
        <v>7</v>
      </c>
    </row>
    <row r="154" customFormat="false" ht="17.35" hidden="false" customHeight="false" outlineLevel="0" collapsed="false">
      <c r="A154" s="8" t="n">
        <v>153</v>
      </c>
      <c r="B154" s="9" t="s">
        <v>1234</v>
      </c>
      <c r="C154" s="8" t="n">
        <v>21</v>
      </c>
      <c r="D154" s="9" t="str">
        <f aca="false">INDEX(Radicals!$B$2:$B$215,MATCH(C154,Radicals!$A$2:$A$215,0))</f>
        <v>匕</v>
      </c>
      <c r="E154" s="10" t="str">
        <f aca="false">INDEX(Radicals!$G$2:$G$215,MATCH(C154,Radicals!$A$2:$A$215,0))</f>
        <v>spoon, ladle</v>
      </c>
      <c r="F154" s="8" t="n">
        <f aca="false">INDEX(Radicals!$D$2:$D$215,MATCH(C154,Radicals!$A$2:$A$215,0))</f>
        <v>2</v>
      </c>
      <c r="G154" s="8" t="n">
        <v>5</v>
      </c>
    </row>
    <row r="155" customFormat="false" ht="17.35" hidden="false" customHeight="false" outlineLevel="0" collapsed="false">
      <c r="A155" s="8" t="n">
        <v>154</v>
      </c>
      <c r="B155" s="9" t="s">
        <v>1235</v>
      </c>
      <c r="C155" s="8" t="n">
        <v>24</v>
      </c>
      <c r="D155" s="9" t="str">
        <f aca="false">INDEX(Radicals!$B$2:$B$215,MATCH(C155,Radicals!$A$2:$A$215,0))</f>
        <v>十</v>
      </c>
      <c r="E155" s="10" t="str">
        <f aca="false">INDEX(Radicals!$G$2:$G$215,MATCH(C155,Radicals!$A$2:$A$215,0))</f>
        <v>ten</v>
      </c>
      <c r="F155" s="8" t="n">
        <f aca="false">INDEX(Radicals!$D$2:$D$215,MATCH(C155,Radicals!$A$2:$A$215,0))</f>
        <v>2</v>
      </c>
      <c r="G155" s="8" t="n">
        <v>4</v>
      </c>
    </row>
    <row r="156" customFormat="false" ht="17.35" hidden="false" customHeight="false" outlineLevel="0" collapsed="false">
      <c r="A156" s="8" t="n">
        <v>155</v>
      </c>
      <c r="B156" s="9" t="s">
        <v>1236</v>
      </c>
      <c r="C156" s="8" t="n">
        <v>64</v>
      </c>
      <c r="D156" s="9" t="str">
        <f aca="false">INDEX(Radicals!$B$2:$B$215,MATCH(C156,Radicals!$A$2:$A$215,0))</f>
        <v>手</v>
      </c>
      <c r="E156" s="10" t="str">
        <f aca="false">INDEX(Radicals!$G$2:$G$215,MATCH(C156,Radicals!$A$2:$A$215,0))</f>
        <v>hand</v>
      </c>
      <c r="F156" s="8" t="n">
        <f aca="false">INDEX(Radicals!$D$2:$D$215,MATCH(C156,Radicals!$A$2:$A$215,0))</f>
        <v>4</v>
      </c>
      <c r="G156" s="8" t="n">
        <v>9</v>
      </c>
    </row>
    <row r="157" customFormat="false" ht="17.35" hidden="false" customHeight="false" outlineLevel="0" collapsed="false">
      <c r="A157" s="8" t="n">
        <v>156</v>
      </c>
      <c r="B157" s="9" t="s">
        <v>1237</v>
      </c>
      <c r="C157" s="8" t="n">
        <v>75</v>
      </c>
      <c r="D157" s="9" t="str">
        <f aca="false">INDEX(Radicals!$B$2:$B$215,MATCH(C157,Radicals!$A$2:$A$215,0))</f>
        <v>木</v>
      </c>
      <c r="E157" s="10" t="str">
        <f aca="false">INDEX(Radicals!$G$2:$G$215,MATCH(C157,Radicals!$A$2:$A$215,0))</f>
        <v>tree, wood</v>
      </c>
      <c r="F157" s="8" t="n">
        <f aca="false">INDEX(Radicals!$D$2:$D$215,MATCH(C157,Radicals!$A$2:$A$215,0))</f>
        <v>4</v>
      </c>
      <c r="G157" s="8" t="n">
        <v>15</v>
      </c>
    </row>
    <row r="158" customFormat="false" ht="17.35" hidden="false" customHeight="false" outlineLevel="0" collapsed="false">
      <c r="A158" s="8" t="n">
        <v>157</v>
      </c>
      <c r="B158" s="9" t="s">
        <v>330</v>
      </c>
      <c r="C158" s="8" t="n">
        <v>61</v>
      </c>
      <c r="D158" s="9" t="str">
        <f aca="false">INDEX(Radicals!$B$2:$B$215,MATCH(C158,Radicals!$A$2:$A$215,0))</f>
        <v>心</v>
      </c>
      <c r="E158" s="10" t="str">
        <f aca="false">INDEX(Radicals!$G$2:$G$215,MATCH(C158,Radicals!$A$2:$A$215,0))</f>
        <v>heart, mind</v>
      </c>
      <c r="F158" s="8" t="n">
        <f aca="false">INDEX(Radicals!$D$2:$D$215,MATCH(C158,Radicals!$A$2:$A$215,0))</f>
        <v>4</v>
      </c>
      <c r="G158" s="8" t="n">
        <v>4</v>
      </c>
    </row>
    <row r="159" customFormat="false" ht="17.35" hidden="false" customHeight="false" outlineLevel="0" collapsed="false">
      <c r="A159" s="8" t="n">
        <v>158</v>
      </c>
      <c r="B159" s="9" t="s">
        <v>1238</v>
      </c>
      <c r="C159" s="8" t="n">
        <v>102</v>
      </c>
      <c r="D159" s="9" t="str">
        <f aca="false">INDEX(Radicals!$B$2:$B$215,MATCH(C159,Radicals!$A$2:$A$215,0))</f>
        <v>田</v>
      </c>
      <c r="E159" s="10" t="str">
        <f aca="false">INDEX(Radicals!$G$2:$G$215,MATCH(C159,Radicals!$A$2:$A$215,0))</f>
        <v>field, paddy</v>
      </c>
      <c r="F159" s="8" t="n">
        <f aca="false">INDEX(Radicals!$D$2:$D$215,MATCH(C159,Radicals!$A$2:$A$215,0))</f>
        <v>5</v>
      </c>
      <c r="G159" s="8" t="n">
        <v>9</v>
      </c>
    </row>
    <row r="160" customFormat="false" ht="17.35" hidden="false" customHeight="false" outlineLevel="0" collapsed="false">
      <c r="A160" s="8" t="n">
        <v>159</v>
      </c>
      <c r="B160" s="9" t="s">
        <v>353</v>
      </c>
      <c r="C160" s="8" t="n">
        <v>65</v>
      </c>
      <c r="D160" s="9" t="str">
        <f aca="false">INDEX(Radicals!$B$2:$B$215,MATCH(C160,Radicals!$A$2:$A$215,0))</f>
        <v>支</v>
      </c>
      <c r="E160" s="10" t="str">
        <f aca="false">INDEX(Radicals!$G$2:$G$215,MATCH(C160,Radicals!$A$2:$A$215,0))</f>
        <v>branch</v>
      </c>
      <c r="F160" s="8" t="n">
        <f aca="false">INDEX(Radicals!$D$2:$D$215,MATCH(C160,Radicals!$A$2:$A$215,0))</f>
        <v>4</v>
      </c>
      <c r="G160" s="8" t="n">
        <v>4</v>
      </c>
    </row>
    <row r="161" customFormat="false" ht="17.35" hidden="false" customHeight="false" outlineLevel="0" collapsed="false">
      <c r="A161" s="8" t="n">
        <v>160</v>
      </c>
      <c r="B161" s="9" t="s">
        <v>1239</v>
      </c>
      <c r="C161" s="8" t="n">
        <v>118</v>
      </c>
      <c r="D161" s="9" t="str">
        <f aca="false">INDEX(Radicals!$B$2:$B$215,MATCH(C161,Radicals!$A$2:$A$215,0))</f>
        <v>竹</v>
      </c>
      <c r="E161" s="10" t="str">
        <f aca="false">INDEX(Radicals!$G$2:$G$215,MATCH(C161,Radicals!$A$2:$A$215,0))</f>
        <v>bamboo</v>
      </c>
      <c r="F161" s="8" t="n">
        <f aca="false">INDEX(Radicals!$D$2:$D$215,MATCH(C161,Radicals!$A$2:$A$215,0))</f>
        <v>6</v>
      </c>
      <c r="G161" s="8" t="n">
        <v>11</v>
      </c>
    </row>
    <row r="162" customFormat="false" ht="17.35" hidden="false" customHeight="false" outlineLevel="0" collapsed="false">
      <c r="A162" s="8" t="n">
        <v>161</v>
      </c>
      <c r="B162" s="9" t="s">
        <v>1240</v>
      </c>
      <c r="C162" s="8" t="n">
        <v>100</v>
      </c>
      <c r="D162" s="9" t="str">
        <f aca="false">INDEX(Radicals!$B$2:$B$215,MATCH(C162,Radicals!$A$2:$A$215,0))</f>
        <v>生</v>
      </c>
      <c r="E162" s="10" t="str">
        <f aca="false">INDEX(Radicals!$G$2:$G$215,MATCH(C162,Radicals!$A$2:$A$215,0))</f>
        <v>life, birth</v>
      </c>
      <c r="F162" s="8" t="n">
        <f aca="false">INDEX(Radicals!$D$2:$D$215,MATCH(C162,Radicals!$A$2:$A$215,0))</f>
        <v>5</v>
      </c>
      <c r="G162" s="8" t="n">
        <v>11</v>
      </c>
    </row>
    <row r="163" customFormat="false" ht="17.35" hidden="false" customHeight="false" outlineLevel="0" collapsed="false">
      <c r="A163" s="8" t="n">
        <v>162</v>
      </c>
      <c r="B163" s="9" t="s">
        <v>1241</v>
      </c>
      <c r="C163" s="8" t="n">
        <v>120</v>
      </c>
      <c r="D163" s="9" t="str">
        <f aca="false">INDEX(Radicals!$B$2:$B$215,MATCH(C163,Radicals!$A$2:$A$215,0))</f>
        <v>糸</v>
      </c>
      <c r="E163" s="10" t="str">
        <f aca="false">INDEX(Radicals!$G$2:$G$215,MATCH(C163,Radicals!$A$2:$A$215,0))</f>
        <v>thread, silk</v>
      </c>
      <c r="F163" s="8" t="n">
        <f aca="false">INDEX(Radicals!$D$2:$D$215,MATCH(C163,Radicals!$A$2:$A$215,0))</f>
        <v>6</v>
      </c>
      <c r="G163" s="8" t="n">
        <v>12</v>
      </c>
    </row>
    <row r="164" customFormat="false" ht="17.35" hidden="false" customHeight="false" outlineLevel="0" collapsed="false">
      <c r="A164" s="8" t="n">
        <v>163</v>
      </c>
      <c r="B164" s="9" t="s">
        <v>1242</v>
      </c>
      <c r="C164" s="8" t="n">
        <v>106</v>
      </c>
      <c r="D164" s="9" t="str">
        <f aca="false">INDEX(Radicals!$B$2:$B$215,MATCH(C164,Radicals!$A$2:$A$215,0))</f>
        <v>白</v>
      </c>
      <c r="E164" s="10" t="str">
        <f aca="false">INDEX(Radicals!$G$2:$G$215,MATCH(C164,Radicals!$A$2:$A$215,0))</f>
        <v>white</v>
      </c>
      <c r="F164" s="8" t="n">
        <f aca="false">INDEX(Radicals!$D$2:$D$215,MATCH(C164,Radicals!$A$2:$A$215,0))</f>
        <v>5</v>
      </c>
      <c r="G164" s="8" t="n">
        <v>6</v>
      </c>
    </row>
    <row r="165" customFormat="false" ht="17.35" hidden="false" customHeight="false" outlineLevel="0" collapsed="false">
      <c r="A165" s="8" t="n">
        <v>164</v>
      </c>
      <c r="B165" s="9" t="s">
        <v>1243</v>
      </c>
      <c r="C165" s="8" t="n">
        <v>85</v>
      </c>
      <c r="D165" s="9" t="str">
        <f aca="false">INDEX(Radicals!$B$2:$B$215,MATCH(C165,Radicals!$A$2:$A$215,0))</f>
        <v>水</v>
      </c>
      <c r="E165" s="10" t="str">
        <f aca="false">INDEX(Radicals!$G$2:$G$215,MATCH(C165,Radicals!$A$2:$A$215,0))</f>
        <v>water</v>
      </c>
      <c r="F165" s="8" t="n">
        <f aca="false">INDEX(Radicals!$D$2:$D$215,MATCH(C165,Radicals!$A$2:$A$215,0))</f>
        <v>4</v>
      </c>
      <c r="G165" s="8" t="n">
        <v>9</v>
      </c>
    </row>
    <row r="166" customFormat="false" ht="17.35" hidden="false" customHeight="false" outlineLevel="0" collapsed="false">
      <c r="A166" s="8" t="n">
        <v>165</v>
      </c>
      <c r="B166" s="9" t="s">
        <v>1244</v>
      </c>
      <c r="C166" s="8" t="n">
        <v>86</v>
      </c>
      <c r="D166" s="9" t="str">
        <f aca="false">INDEX(Radicals!$B$2:$B$215,MATCH(C166,Radicals!$A$2:$A$215,0))</f>
        <v>火</v>
      </c>
      <c r="E166" s="10" t="str">
        <f aca="false">INDEX(Radicals!$G$2:$G$215,MATCH(C166,Radicals!$A$2:$A$215,0))</f>
        <v>fire</v>
      </c>
      <c r="F166" s="8" t="n">
        <f aca="false">INDEX(Radicals!$D$2:$D$215,MATCH(C166,Radicals!$A$2:$A$215,0))</f>
        <v>4</v>
      </c>
      <c r="G166" s="8" t="n">
        <v>9</v>
      </c>
    </row>
    <row r="167" customFormat="false" ht="17.35" hidden="false" customHeight="false" outlineLevel="0" collapsed="false">
      <c r="A167" s="8" t="n">
        <v>166</v>
      </c>
      <c r="B167" s="9" t="s">
        <v>1245</v>
      </c>
      <c r="C167" s="8" t="n">
        <v>66</v>
      </c>
      <c r="D167" s="9" t="str">
        <f aca="false">INDEX(Radicals!$B$2:$B$215,MATCH(C167,Radicals!$A$2:$A$215,0))</f>
        <v>攴</v>
      </c>
      <c r="E167" s="10" t="str">
        <f aca="false">INDEX(Radicals!$G$2:$G$215,MATCH(C167,Radicals!$A$2:$A$215,0))</f>
        <v>rap, tap, strike</v>
      </c>
      <c r="F167" s="8" t="n">
        <f aca="false">INDEX(Radicals!$D$2:$D$215,MATCH(C167,Radicals!$A$2:$A$215,0))</f>
        <v>4</v>
      </c>
      <c r="G167" s="8" t="n">
        <v>11</v>
      </c>
    </row>
    <row r="168" customFormat="false" ht="17.35" hidden="false" customHeight="false" outlineLevel="0" collapsed="false">
      <c r="A168" s="8" t="n">
        <v>167</v>
      </c>
      <c r="B168" s="9" t="s">
        <v>1246</v>
      </c>
      <c r="C168" s="8" t="n">
        <v>32</v>
      </c>
      <c r="D168" s="9" t="str">
        <f aca="false">INDEX(Radicals!$B$2:$B$215,MATCH(C168,Radicals!$A$2:$A$215,0))</f>
        <v>土</v>
      </c>
      <c r="E168" s="10" t="str">
        <f aca="false">INDEX(Radicals!$G$2:$G$215,MATCH(C168,Radicals!$A$2:$A$215,0))</f>
        <v>earth, soil</v>
      </c>
      <c r="F168" s="8" t="n">
        <f aca="false">INDEX(Radicals!$D$2:$D$215,MATCH(C168,Radicals!$A$2:$A$215,0))</f>
        <v>3</v>
      </c>
      <c r="G168" s="8" t="n">
        <v>12</v>
      </c>
    </row>
    <row r="169" customFormat="false" ht="17.35" hidden="false" customHeight="false" outlineLevel="0" collapsed="false">
      <c r="A169" s="8" t="n">
        <v>168</v>
      </c>
      <c r="B169" s="9" t="s">
        <v>1247</v>
      </c>
      <c r="C169" s="8" t="n">
        <v>85</v>
      </c>
      <c r="D169" s="9" t="str">
        <f aca="false">INDEX(Radicals!$B$2:$B$215,MATCH(C169,Radicals!$A$2:$A$215,0))</f>
        <v>水</v>
      </c>
      <c r="E169" s="10" t="str">
        <f aca="false">INDEX(Radicals!$G$2:$G$215,MATCH(C169,Radicals!$A$2:$A$215,0))</f>
        <v>water</v>
      </c>
      <c r="F169" s="8" t="n">
        <f aca="false">INDEX(Radicals!$D$2:$D$215,MATCH(C169,Radicals!$A$2:$A$215,0))</f>
        <v>4</v>
      </c>
      <c r="G169" s="8" t="n">
        <v>11</v>
      </c>
    </row>
    <row r="170" customFormat="false" ht="17.35" hidden="false" customHeight="false" outlineLevel="0" collapsed="false">
      <c r="A170" s="8" t="n">
        <v>169</v>
      </c>
      <c r="B170" s="9" t="s">
        <v>1248</v>
      </c>
      <c r="C170" s="8" t="n">
        <v>73</v>
      </c>
      <c r="D170" s="9" t="str">
        <f aca="false">INDEX(Radicals!$B$2:$B$215,MATCH(C170,Radicals!$A$2:$A$215,0))</f>
        <v>曰</v>
      </c>
      <c r="E170" s="10" t="str">
        <f aca="false">INDEX(Radicals!$G$2:$G$215,MATCH(C170,Radicals!$A$2:$A$215,0))</f>
        <v>say</v>
      </c>
      <c r="F170" s="8" t="n">
        <f aca="false">INDEX(Radicals!$D$2:$D$215,MATCH(C170,Radicals!$A$2:$A$215,0))</f>
        <v>4</v>
      </c>
      <c r="G170" s="8" t="n">
        <v>10</v>
      </c>
    </row>
    <row r="171" customFormat="false" ht="17.35" hidden="false" customHeight="false" outlineLevel="0" collapsed="false">
      <c r="A171" s="8" t="n">
        <v>170</v>
      </c>
      <c r="B171" s="9" t="s">
        <v>1249</v>
      </c>
      <c r="C171" s="8" t="n">
        <v>53</v>
      </c>
      <c r="D171" s="9" t="str">
        <f aca="false">INDEX(Radicals!$B$2:$B$215,MATCH(C171,Radicals!$A$2:$A$215,0))</f>
        <v>广</v>
      </c>
      <c r="E171" s="10" t="str">
        <f aca="false">INDEX(Radicals!$G$2:$G$215,MATCH(C171,Radicals!$A$2:$A$215,0))</f>
        <v>dotted cliff, building</v>
      </c>
      <c r="F171" s="8" t="n">
        <f aca="false">INDEX(Radicals!$D$2:$D$215,MATCH(C171,Radicals!$A$2:$A$215,0))</f>
        <v>3</v>
      </c>
      <c r="G171" s="8" t="n">
        <v>8</v>
      </c>
    </row>
    <row r="172" customFormat="false" ht="17.35" hidden="false" customHeight="false" outlineLevel="0" collapsed="false">
      <c r="A172" s="8" t="n">
        <v>171</v>
      </c>
      <c r="B172" s="9" t="s">
        <v>1250</v>
      </c>
      <c r="C172" s="8" t="n">
        <v>85</v>
      </c>
      <c r="D172" s="9" t="str">
        <f aca="false">INDEX(Radicals!$B$2:$B$215,MATCH(C172,Radicals!$A$2:$A$215,0))</f>
        <v>水</v>
      </c>
      <c r="E172" s="10" t="str">
        <f aca="false">INDEX(Radicals!$G$2:$G$215,MATCH(C172,Radicals!$A$2:$A$215,0))</f>
        <v>water</v>
      </c>
      <c r="F172" s="8" t="n">
        <f aca="false">INDEX(Radicals!$D$2:$D$215,MATCH(C172,Radicals!$A$2:$A$215,0))</f>
        <v>4</v>
      </c>
      <c r="G172" s="8" t="n">
        <v>9</v>
      </c>
    </row>
    <row r="173" customFormat="false" ht="17.35" hidden="false" customHeight="false" outlineLevel="0" collapsed="false">
      <c r="A173" s="8" t="n">
        <v>172</v>
      </c>
      <c r="B173" s="9" t="s">
        <v>1251</v>
      </c>
      <c r="C173" s="8" t="n">
        <v>27</v>
      </c>
      <c r="D173" s="9" t="str">
        <f aca="false">INDEX(Radicals!$B$2:$B$215,MATCH(C173,Radicals!$A$2:$A$215,0))</f>
        <v>厂</v>
      </c>
      <c r="E173" s="10" t="str">
        <f aca="false">INDEX(Radicals!$G$2:$G$215,MATCH(C173,Radicals!$A$2:$A$215,0))</f>
        <v>cliff</v>
      </c>
      <c r="F173" s="8" t="n">
        <f aca="false">INDEX(Radicals!$D$2:$D$215,MATCH(C173,Radicals!$A$2:$A$215,0))</f>
        <v>2</v>
      </c>
      <c r="G173" s="8" t="n">
        <v>10</v>
      </c>
    </row>
    <row r="174" customFormat="false" ht="17.35" hidden="false" customHeight="false" outlineLevel="0" collapsed="false">
      <c r="A174" s="8" t="n">
        <v>173</v>
      </c>
      <c r="B174" s="9" t="s">
        <v>1252</v>
      </c>
      <c r="C174" s="8" t="n">
        <v>10</v>
      </c>
      <c r="D174" s="9" t="str">
        <f aca="false">INDEX(Radicals!$B$2:$B$215,MATCH(C174,Radicals!$A$2:$A$215,0))</f>
        <v>儿</v>
      </c>
      <c r="E174" s="10" t="str">
        <f aca="false">INDEX(Radicals!$G$2:$G$215,MATCH(C174,Radicals!$A$2:$A$215,0))</f>
        <v>legs, walking person</v>
      </c>
      <c r="F174" s="8" t="n">
        <f aca="false">INDEX(Radicals!$D$2:$D$215,MATCH(C174,Radicals!$A$2:$A$215,0))</f>
        <v>2</v>
      </c>
      <c r="G174" s="8" t="n">
        <v>6</v>
      </c>
    </row>
    <row r="175" customFormat="false" ht="17.35" hidden="false" customHeight="false" outlineLevel="0" collapsed="false">
      <c r="A175" s="8" t="n">
        <v>174</v>
      </c>
      <c r="B175" s="9" t="s">
        <v>1253</v>
      </c>
      <c r="C175" s="8" t="n">
        <v>12</v>
      </c>
      <c r="D175" s="9" t="str">
        <f aca="false">INDEX(Radicals!$B$2:$B$215,MATCH(C175,Radicals!$A$2:$A$215,0))</f>
        <v>八</v>
      </c>
      <c r="E175" s="10" t="str">
        <f aca="false">INDEX(Radicals!$G$2:$G$215,MATCH(C175,Radicals!$A$2:$A$215,0))</f>
        <v>eight</v>
      </c>
      <c r="F175" s="8" t="n">
        <f aca="false">INDEX(Radicals!$D$2:$D$215,MATCH(C175,Radicals!$A$2:$A$215,0))</f>
        <v>2</v>
      </c>
      <c r="G175" s="8" t="n">
        <v>6</v>
      </c>
    </row>
    <row r="176" customFormat="false" ht="17.35" hidden="false" customHeight="false" outlineLevel="0" collapsed="false">
      <c r="A176" s="8" t="n">
        <v>175</v>
      </c>
      <c r="B176" s="9" t="s">
        <v>1254</v>
      </c>
      <c r="C176" s="8" t="n">
        <v>60</v>
      </c>
      <c r="D176" s="9" t="str">
        <f aca="false">INDEX(Radicals!$B$2:$B$215,MATCH(C176,Radicals!$A$2:$A$215,0))</f>
        <v>彳</v>
      </c>
      <c r="E176" s="10" t="str">
        <f aca="false">INDEX(Radicals!$G$2:$G$215,MATCH(C176,Radicals!$A$2:$A$215,0))</f>
        <v>step, small step</v>
      </c>
      <c r="F176" s="8" t="n">
        <f aca="false">INDEX(Radicals!$D$2:$D$215,MATCH(C176,Radicals!$A$2:$A$215,0))</f>
        <v>3</v>
      </c>
      <c r="G176" s="8" t="n">
        <v>11</v>
      </c>
    </row>
    <row r="177" customFormat="false" ht="17.35" hidden="false" customHeight="false" outlineLevel="0" collapsed="false">
      <c r="A177" s="8" t="n">
        <v>176</v>
      </c>
      <c r="B177" s="9" t="s">
        <v>1255</v>
      </c>
      <c r="C177" s="8" t="n">
        <v>148</v>
      </c>
      <c r="D177" s="9" t="str">
        <f aca="false">INDEX(Radicals!$B$2:$B$215,MATCH(C177,Radicals!$A$2:$A$215,0))</f>
        <v>角</v>
      </c>
      <c r="E177" s="10" t="str">
        <f aca="false">INDEX(Radicals!$G$2:$G$215,MATCH(C177,Radicals!$A$2:$A$215,0))</f>
        <v>horn, corner</v>
      </c>
      <c r="F177" s="8" t="n">
        <f aca="false">INDEX(Radicals!$D$2:$D$215,MATCH(C177,Radicals!$A$2:$A$215,0))</f>
        <v>7</v>
      </c>
      <c r="G177" s="8" t="n">
        <v>13</v>
      </c>
    </row>
    <row r="178" customFormat="false" ht="17.35" hidden="false" customHeight="false" outlineLevel="0" collapsed="false">
      <c r="A178" s="8" t="n">
        <v>177</v>
      </c>
      <c r="B178" s="9" t="s">
        <v>1256</v>
      </c>
      <c r="C178" s="8" t="n">
        <v>30</v>
      </c>
      <c r="D178" s="9" t="str">
        <f aca="false">INDEX(Radicals!$B$2:$B$215,MATCH(C178,Radicals!$A$2:$A$215,0))</f>
        <v>口</v>
      </c>
      <c r="E178" s="10" t="str">
        <f aca="false">INDEX(Radicals!$G$2:$G$215,MATCH(C178,Radicals!$A$2:$A$215,0))</f>
        <v>mouth</v>
      </c>
      <c r="F178" s="8" t="n">
        <f aca="false">INDEX(Radicals!$D$2:$D$215,MATCH(C178,Radicals!$A$2:$A$215,0))</f>
        <v>3</v>
      </c>
      <c r="G178" s="8" t="n">
        <v>6</v>
      </c>
    </row>
    <row r="179" customFormat="false" ht="17.35" hidden="false" customHeight="false" outlineLevel="0" collapsed="false">
      <c r="A179" s="8" t="n">
        <v>178</v>
      </c>
      <c r="B179" s="9" t="s">
        <v>1257</v>
      </c>
      <c r="C179" s="8" t="n">
        <v>8</v>
      </c>
      <c r="D179" s="9" t="str">
        <f aca="false">INDEX(Radicals!$B$2:$B$215,MATCH(C179,Radicals!$A$2:$A$215,0))</f>
        <v>亠</v>
      </c>
      <c r="E179" s="10" t="str">
        <f aca="false">INDEX(Radicals!$G$2:$G$215,MATCH(C179,Radicals!$A$2:$A$215,0))</f>
        <v>lid, top</v>
      </c>
      <c r="F179" s="8" t="n">
        <f aca="false">INDEX(Radicals!$D$2:$D$215,MATCH(C179,Radicals!$A$2:$A$215,0))</f>
        <v>2</v>
      </c>
      <c r="G179" s="8" t="n">
        <v>6</v>
      </c>
    </row>
    <row r="180" customFormat="false" ht="17.35" hidden="false" customHeight="false" outlineLevel="0" collapsed="false">
      <c r="A180" s="8" t="n">
        <v>179</v>
      </c>
      <c r="B180" s="9" t="s">
        <v>1258</v>
      </c>
      <c r="C180" s="8" t="n">
        <v>154</v>
      </c>
      <c r="D180" s="9" t="str">
        <f aca="false">INDEX(Radicals!$B$2:$B$215,MATCH(C180,Radicals!$A$2:$A$215,0))</f>
        <v>貝</v>
      </c>
      <c r="E180" s="10" t="str">
        <f aca="false">INDEX(Radicals!$G$2:$G$215,MATCH(C180,Radicals!$A$2:$A$215,0))</f>
        <v>shell, money</v>
      </c>
      <c r="F180" s="8" t="n">
        <f aca="false">INDEX(Radicals!$D$2:$D$215,MATCH(C180,Radicals!$A$2:$A$215,0))</f>
        <v>7</v>
      </c>
      <c r="G180" s="8" t="n">
        <v>13</v>
      </c>
    </row>
    <row r="181" customFormat="false" ht="17.35" hidden="false" customHeight="false" outlineLevel="0" collapsed="false">
      <c r="A181" s="8" t="n">
        <v>180</v>
      </c>
      <c r="B181" s="9" t="s">
        <v>1259</v>
      </c>
      <c r="C181" s="8" t="n">
        <v>6</v>
      </c>
      <c r="D181" s="9" t="str">
        <f aca="false">INDEX(Radicals!$B$2:$B$215,MATCH(C181,Radicals!$A$2:$A$215,0))</f>
        <v>亅</v>
      </c>
      <c r="E181" s="10" t="str">
        <f aca="false">INDEX(Radicals!$G$2:$G$215,MATCH(C181,Radicals!$A$2:$A$215,0))</f>
        <v>hook, barb</v>
      </c>
      <c r="F181" s="8" t="n">
        <f aca="false">INDEX(Radicals!$D$2:$D$215,MATCH(C181,Radicals!$A$2:$A$215,0))</f>
        <v>1</v>
      </c>
      <c r="G181" s="8" t="n">
        <v>4</v>
      </c>
    </row>
    <row r="182" customFormat="false" ht="17.35" hidden="false" customHeight="false" outlineLevel="0" collapsed="false">
      <c r="A182" s="8" t="n">
        <v>181</v>
      </c>
      <c r="B182" s="9" t="s">
        <v>1260</v>
      </c>
      <c r="C182" s="8" t="n">
        <v>47</v>
      </c>
      <c r="D182" s="9" t="str">
        <f aca="false">INDEX(Radicals!$B$2:$B$215,MATCH(C182,Radicals!$A$2:$A$215,0))</f>
        <v>巛</v>
      </c>
      <c r="E182" s="10" t="str">
        <f aca="false">INDEX(Radicals!$G$2:$G$215,MATCH(C182,Radicals!$A$2:$A$215,0))</f>
        <v>river</v>
      </c>
      <c r="F182" s="8" t="n">
        <f aca="false">INDEX(Radicals!$D$2:$D$215,MATCH(C182,Radicals!$A$2:$A$215,0))</f>
        <v>3</v>
      </c>
      <c r="G182" s="8" t="n">
        <v>3</v>
      </c>
    </row>
    <row r="183" customFormat="false" ht="17.35" hidden="false" customHeight="false" outlineLevel="0" collapsed="false">
      <c r="A183" s="8" t="n">
        <v>182</v>
      </c>
      <c r="B183" s="9" t="s">
        <v>1261</v>
      </c>
      <c r="C183" s="8" t="n">
        <v>30</v>
      </c>
      <c r="D183" s="9" t="str">
        <f aca="false">INDEX(Radicals!$B$2:$B$215,MATCH(C183,Radicals!$A$2:$A$215,0))</f>
        <v>口</v>
      </c>
      <c r="E183" s="10" t="str">
        <f aca="false">INDEX(Radicals!$G$2:$G$215,MATCH(C183,Radicals!$A$2:$A$215,0))</f>
        <v>mouth</v>
      </c>
      <c r="F183" s="8" t="n">
        <f aca="false">INDEX(Radicals!$D$2:$D$215,MATCH(C183,Radicals!$A$2:$A$215,0))</f>
        <v>3</v>
      </c>
      <c r="G183" s="8" t="n">
        <v>6</v>
      </c>
    </row>
    <row r="184" customFormat="false" ht="17.35" hidden="false" customHeight="false" outlineLevel="0" collapsed="false">
      <c r="A184" s="8" t="n">
        <v>183</v>
      </c>
      <c r="B184" s="9" t="s">
        <v>1262</v>
      </c>
      <c r="C184" s="8" t="n">
        <v>170</v>
      </c>
      <c r="D184" s="9" t="str">
        <f aca="false">INDEX(Radicals!$B$2:$B$215,MATCH(C184,Radicals!$A$2:$A$215,0))</f>
        <v>阜</v>
      </c>
      <c r="E184" s="10" t="str">
        <f aca="false">INDEX(Radicals!$G$2:$G$215,MATCH(C184,Radicals!$A$2:$A$215,0))</f>
        <v>mound, hill</v>
      </c>
      <c r="F184" s="8" t="n">
        <f aca="false">INDEX(Radicals!$D$2:$D$215,MATCH(C184,Radicals!$A$2:$A$215,0))</f>
        <v>8</v>
      </c>
      <c r="G184" s="8" t="n">
        <v>14</v>
      </c>
    </row>
    <row r="185" customFormat="false" ht="17.35" hidden="false" customHeight="false" outlineLevel="0" collapsed="false">
      <c r="A185" s="8" t="n">
        <v>184</v>
      </c>
      <c r="B185" s="9" t="s">
        <v>1263</v>
      </c>
      <c r="C185" s="8" t="n">
        <v>75</v>
      </c>
      <c r="D185" s="9" t="str">
        <f aca="false">INDEX(Radicals!$B$2:$B$215,MATCH(C185,Radicals!$A$2:$A$215,0))</f>
        <v>木</v>
      </c>
      <c r="E185" s="10" t="str">
        <f aca="false">INDEX(Radicals!$G$2:$G$215,MATCH(C185,Radicals!$A$2:$A$215,0))</f>
        <v>tree, wood</v>
      </c>
      <c r="F185" s="8" t="n">
        <f aca="false">INDEX(Radicals!$D$2:$D$215,MATCH(C185,Radicals!$A$2:$A$215,0))</f>
        <v>4</v>
      </c>
      <c r="G185" s="8" t="n">
        <v>9</v>
      </c>
    </row>
    <row r="186" customFormat="false" ht="17.35" hidden="false" customHeight="false" outlineLevel="0" collapsed="false">
      <c r="A186" s="8" t="n">
        <v>185</v>
      </c>
      <c r="B186" s="9" t="s">
        <v>1264</v>
      </c>
      <c r="C186" s="8" t="n">
        <v>19</v>
      </c>
      <c r="D186" s="9" t="str">
        <f aca="false">INDEX(Radicals!$B$2:$B$215,MATCH(C186,Radicals!$A$2:$A$215,0))</f>
        <v>力</v>
      </c>
      <c r="E186" s="10" t="str">
        <f aca="false">INDEX(Radicals!$G$2:$G$215,MATCH(C186,Radicals!$A$2:$A$215,0))</f>
        <v>power, strength</v>
      </c>
      <c r="F186" s="8" t="n">
        <f aca="false">INDEX(Radicals!$D$2:$D$215,MATCH(C186,Radicals!$A$2:$A$215,0))</f>
        <v>2</v>
      </c>
      <c r="G186" s="8" t="n">
        <v>12</v>
      </c>
    </row>
    <row r="187" customFormat="false" ht="17.35" hidden="false" customHeight="false" outlineLevel="0" collapsed="false">
      <c r="A187" s="8" t="n">
        <v>186</v>
      </c>
      <c r="B187" s="9" t="s">
        <v>924</v>
      </c>
      <c r="C187" s="8" t="n">
        <v>176</v>
      </c>
      <c r="D187" s="9" t="str">
        <f aca="false">INDEX(Radicals!$B$2:$B$215,MATCH(C187,Radicals!$A$2:$A$215,0))</f>
        <v>面</v>
      </c>
      <c r="E187" s="10" t="str">
        <f aca="false">INDEX(Radicals!$G$2:$G$215,MATCH(C187,Radicals!$A$2:$A$215,0))</f>
        <v>face</v>
      </c>
      <c r="F187" s="8" t="n">
        <f aca="false">INDEX(Radicals!$D$2:$D$215,MATCH(C187,Radicals!$A$2:$A$215,0))</f>
        <v>9</v>
      </c>
      <c r="G187" s="8" t="n">
        <v>9</v>
      </c>
    </row>
    <row r="188" customFormat="false" ht="17.35" hidden="false" customHeight="false" outlineLevel="0" collapsed="false">
      <c r="A188" s="8" t="n">
        <v>187</v>
      </c>
      <c r="B188" s="9" t="s">
        <v>1265</v>
      </c>
      <c r="C188" s="8" t="n">
        <v>38</v>
      </c>
      <c r="D188" s="9" t="str">
        <f aca="false">INDEX(Radicals!$B$2:$B$215,MATCH(C188,Radicals!$A$2:$A$215,0))</f>
        <v>女</v>
      </c>
      <c r="E188" s="10" t="str">
        <f aca="false">INDEX(Radicals!$G$2:$G$215,MATCH(C188,Radicals!$A$2:$A$215,0))</f>
        <v>woman</v>
      </c>
      <c r="F188" s="8" t="n">
        <f aca="false">INDEX(Radicals!$D$2:$D$215,MATCH(C188,Radicals!$A$2:$A$215,0))</f>
        <v>3</v>
      </c>
      <c r="G188" s="8" t="n">
        <v>8</v>
      </c>
    </row>
    <row r="189" customFormat="false" ht="17.35" hidden="false" customHeight="false" outlineLevel="0" collapsed="false">
      <c r="A189" s="8" t="n">
        <v>188</v>
      </c>
      <c r="B189" s="9" t="s">
        <v>1266</v>
      </c>
      <c r="C189" s="8" t="n">
        <v>30</v>
      </c>
      <c r="D189" s="9" t="str">
        <f aca="false">INDEX(Radicals!$B$2:$B$215,MATCH(C189,Radicals!$A$2:$A$215,0))</f>
        <v>口</v>
      </c>
      <c r="E189" s="10" t="str">
        <f aca="false">INDEX(Radicals!$G$2:$G$215,MATCH(C189,Radicals!$A$2:$A$215,0))</f>
        <v>mouth</v>
      </c>
      <c r="F189" s="8" t="n">
        <f aca="false">INDEX(Radicals!$D$2:$D$215,MATCH(C189,Radicals!$A$2:$A$215,0))</f>
        <v>3</v>
      </c>
      <c r="G189" s="8" t="n">
        <v>7</v>
      </c>
    </row>
    <row r="190" customFormat="false" ht="17.35" hidden="false" customHeight="false" outlineLevel="0" collapsed="false">
      <c r="A190" s="8" t="n">
        <v>189</v>
      </c>
      <c r="B190" s="9" t="s">
        <v>1267</v>
      </c>
      <c r="C190" s="8" t="n">
        <v>159</v>
      </c>
      <c r="D190" s="9" t="str">
        <f aca="false">INDEX(Radicals!$B$2:$B$215,MATCH(C190,Radicals!$A$2:$A$215,0))</f>
        <v>車</v>
      </c>
      <c r="E190" s="10" t="str">
        <f aca="false">INDEX(Radicals!$G$2:$G$215,MATCH(C190,Radicals!$A$2:$A$215,0))</f>
        <v>cart, vehicle</v>
      </c>
      <c r="F190" s="8" t="n">
        <f aca="false">INDEX(Radicals!$D$2:$D$215,MATCH(C190,Radicals!$A$2:$A$215,0))</f>
        <v>7</v>
      </c>
      <c r="G190" s="8" t="n">
        <v>9</v>
      </c>
    </row>
    <row r="191" customFormat="false" ht="17.35" hidden="false" customHeight="false" outlineLevel="0" collapsed="false">
      <c r="A191" s="8" t="n">
        <v>190</v>
      </c>
      <c r="B191" s="9" t="s">
        <v>363</v>
      </c>
      <c r="C191" s="8" t="n">
        <v>67</v>
      </c>
      <c r="D191" s="9" t="str">
        <f aca="false">INDEX(Radicals!$B$2:$B$215,MATCH(C191,Radicals!$A$2:$A$215,0))</f>
        <v>文</v>
      </c>
      <c r="E191" s="10" t="str">
        <f aca="false">INDEX(Radicals!$G$2:$G$215,MATCH(C191,Radicals!$A$2:$A$215,0))</f>
        <v>script, literature</v>
      </c>
      <c r="F191" s="8" t="n">
        <f aca="false">INDEX(Radicals!$D$2:$D$215,MATCH(C191,Radicals!$A$2:$A$215,0))</f>
        <v>4</v>
      </c>
      <c r="G191" s="8" t="n">
        <v>4</v>
      </c>
    </row>
    <row r="192" customFormat="false" ht="17.35" hidden="false" customHeight="false" outlineLevel="0" collapsed="false">
      <c r="A192" s="8" t="n">
        <v>191</v>
      </c>
      <c r="B192" s="9" t="s">
        <v>1268</v>
      </c>
      <c r="C192" s="8" t="n">
        <v>29</v>
      </c>
      <c r="D192" s="9" t="str">
        <f aca="false">INDEX(Radicals!$B$2:$B$215,MATCH(C192,Radicals!$A$2:$A$215,0))</f>
        <v>又</v>
      </c>
      <c r="E192" s="10" t="str">
        <f aca="false">INDEX(Radicals!$G$2:$G$215,MATCH(C192,Radicals!$A$2:$A$215,0))</f>
        <v>again, right hand</v>
      </c>
      <c r="F192" s="8" t="n">
        <f aca="false">INDEX(Radicals!$D$2:$D$215,MATCH(C192,Radicals!$A$2:$A$215,0))</f>
        <v>2</v>
      </c>
      <c r="G192" s="8" t="n">
        <v>4</v>
      </c>
    </row>
    <row r="193" customFormat="false" ht="17.35" hidden="false" customHeight="false" outlineLevel="0" collapsed="false">
      <c r="A193" s="8" t="n">
        <v>192</v>
      </c>
      <c r="B193" s="9" t="s">
        <v>1269</v>
      </c>
      <c r="C193" s="8" t="n">
        <v>10</v>
      </c>
      <c r="D193" s="9" t="str">
        <f aca="false">INDEX(Radicals!$B$2:$B$215,MATCH(C193,Radicals!$A$2:$A$215,0))</f>
        <v>儿</v>
      </c>
      <c r="E193" s="10" t="str">
        <f aca="false">INDEX(Radicals!$G$2:$G$215,MATCH(C193,Radicals!$A$2:$A$215,0))</f>
        <v>legs, walking person</v>
      </c>
      <c r="F193" s="8" t="n">
        <f aca="false">INDEX(Radicals!$D$2:$D$215,MATCH(C193,Radicals!$A$2:$A$215,0))</f>
        <v>2</v>
      </c>
      <c r="G193" s="8" t="n">
        <v>4</v>
      </c>
    </row>
    <row r="194" customFormat="false" ht="17.35" hidden="false" customHeight="false" outlineLevel="0" collapsed="false">
      <c r="A194" s="8" t="n">
        <v>193</v>
      </c>
      <c r="B194" s="9" t="s">
        <v>1270</v>
      </c>
      <c r="C194" s="8" t="n">
        <v>166</v>
      </c>
      <c r="D194" s="9" t="str">
        <f aca="false">INDEX(Radicals!$B$2:$B$215,MATCH(C194,Radicals!$A$2:$A$215,0))</f>
        <v>里</v>
      </c>
      <c r="E194" s="10" t="str">
        <f aca="false">INDEX(Radicals!$G$2:$G$215,MATCH(C194,Radicals!$A$2:$A$215,0))</f>
        <v>village, ri (distance)</v>
      </c>
      <c r="F194" s="8" t="n">
        <f aca="false">INDEX(Radicals!$D$2:$D$215,MATCH(C194,Radicals!$A$2:$A$215,0))</f>
        <v>7</v>
      </c>
      <c r="G194" s="8" t="n">
        <v>9</v>
      </c>
    </row>
    <row r="195" customFormat="false" ht="17.35" hidden="false" customHeight="false" outlineLevel="0" collapsed="false">
      <c r="A195" s="8" t="n">
        <v>194</v>
      </c>
      <c r="B195" s="9" t="s">
        <v>1271</v>
      </c>
      <c r="C195" s="8" t="n">
        <v>162</v>
      </c>
      <c r="D195" s="9" t="str">
        <f aca="false">INDEX(Radicals!$B$2:$B$215,MATCH(C195,Radicals!$A$2:$A$215,0))</f>
        <v>辵</v>
      </c>
      <c r="E195" s="10" t="str">
        <f aca="false">INDEX(Radicals!$G$2:$G$215,MATCH(C195,Radicals!$A$2:$A$215,0))</f>
        <v>walk, movement</v>
      </c>
      <c r="F195" s="8" t="n">
        <f aca="false">INDEX(Radicals!$D$2:$D$215,MATCH(C195,Radicals!$A$2:$A$215,0))</f>
        <v>7</v>
      </c>
      <c r="G195" s="8" t="n">
        <v>7</v>
      </c>
    </row>
    <row r="196" customFormat="false" ht="17.35" hidden="false" customHeight="false" outlineLevel="0" collapsed="false">
      <c r="A196" s="8" t="n">
        <v>195</v>
      </c>
      <c r="B196" s="9" t="s">
        <v>1272</v>
      </c>
      <c r="C196" s="8" t="n">
        <v>24</v>
      </c>
      <c r="D196" s="9" t="str">
        <f aca="false">INDEX(Radicals!$B$2:$B$215,MATCH(C196,Radicals!$A$2:$A$215,0))</f>
        <v>十</v>
      </c>
      <c r="E196" s="10" t="str">
        <f aca="false">INDEX(Radicals!$G$2:$G$215,MATCH(C196,Radicals!$A$2:$A$215,0))</f>
        <v>ten</v>
      </c>
      <c r="F196" s="8" t="n">
        <f aca="false">INDEX(Radicals!$D$2:$D$215,MATCH(C196,Radicals!$A$2:$A$215,0))</f>
        <v>2</v>
      </c>
      <c r="G196" s="8" t="n">
        <v>3</v>
      </c>
    </row>
    <row r="197" customFormat="false" ht="17.35" hidden="false" customHeight="false" outlineLevel="0" collapsed="false">
      <c r="A197" s="8" t="n">
        <v>196</v>
      </c>
      <c r="B197" s="9" t="s">
        <v>1273</v>
      </c>
      <c r="C197" s="8" t="n">
        <v>125</v>
      </c>
      <c r="D197" s="9" t="str">
        <f aca="false">INDEX(Radicals!$B$2:$B$215,MATCH(C197,Radicals!$A$2:$A$215,0))</f>
        <v>老</v>
      </c>
      <c r="E197" s="10" t="str">
        <f aca="false">INDEX(Radicals!$G$2:$G$215,MATCH(C197,Radicals!$A$2:$A$215,0))</f>
        <v>old</v>
      </c>
      <c r="F197" s="8" t="n">
        <f aca="false">INDEX(Radicals!$D$2:$D$215,MATCH(C197,Radicals!$A$2:$A$215,0))</f>
        <v>6</v>
      </c>
      <c r="G197" s="8" t="n">
        <v>6</v>
      </c>
    </row>
    <row r="198" customFormat="false" ht="17.35" hidden="false" customHeight="false" outlineLevel="0" collapsed="false">
      <c r="A198" s="8" t="n">
        <v>197</v>
      </c>
      <c r="B198" s="9" t="s">
        <v>1274</v>
      </c>
      <c r="C198" s="8" t="n">
        <v>18</v>
      </c>
      <c r="D198" s="9" t="str">
        <f aca="false">INDEX(Radicals!$B$2:$B$215,MATCH(C198,Radicals!$A$2:$A$215,0))</f>
        <v>刀</v>
      </c>
      <c r="E198" s="10" t="str">
        <f aca="false">INDEX(Radicals!$G$2:$G$215,MATCH(C198,Radicals!$A$2:$A$215,0))</f>
        <v>knife, sword</v>
      </c>
      <c r="F198" s="8" t="n">
        <f aca="false">INDEX(Radicals!$D$2:$D$215,MATCH(C198,Radicals!$A$2:$A$215,0))</f>
        <v>2</v>
      </c>
      <c r="G198" s="8" t="n">
        <v>7</v>
      </c>
    </row>
    <row r="199" customFormat="false" ht="17.35" hidden="false" customHeight="false" outlineLevel="0" collapsed="false">
      <c r="A199" s="8" t="n">
        <v>198</v>
      </c>
      <c r="B199" s="9" t="s">
        <v>1275</v>
      </c>
      <c r="C199" s="8" t="n">
        <v>149</v>
      </c>
      <c r="D199" s="9" t="str">
        <f aca="false">INDEX(Radicals!$B$2:$B$215,MATCH(C199,Radicals!$A$2:$A$215,0))</f>
        <v>言</v>
      </c>
      <c r="E199" s="10" t="str">
        <f aca="false">INDEX(Radicals!$G$2:$G$215,MATCH(C199,Radicals!$A$2:$A$215,0))</f>
        <v>speech, say</v>
      </c>
      <c r="F199" s="8" t="n">
        <f aca="false">INDEX(Radicals!$D$2:$D$215,MATCH(C199,Radicals!$A$2:$A$215,0))</f>
        <v>7</v>
      </c>
      <c r="G199" s="8" t="n">
        <v>14</v>
      </c>
    </row>
    <row r="200" customFormat="false" ht="17.35" hidden="false" customHeight="false" outlineLevel="0" collapsed="false">
      <c r="A200" s="8" t="n">
        <v>199</v>
      </c>
      <c r="B200" s="9" t="s">
        <v>1276</v>
      </c>
      <c r="C200" s="8" t="n">
        <v>102</v>
      </c>
      <c r="D200" s="9" t="str">
        <f aca="false">INDEX(Radicals!$B$2:$B$215,MATCH(C200,Radicals!$A$2:$A$215,0))</f>
        <v>田</v>
      </c>
      <c r="E200" s="10" t="str">
        <f aca="false">INDEX(Radicals!$G$2:$G$215,MATCH(C200,Radicals!$A$2:$A$215,0))</f>
        <v>field, paddy</v>
      </c>
      <c r="F200" s="8" t="n">
        <f aca="false">INDEX(Radicals!$D$2:$D$215,MATCH(C200,Radicals!$A$2:$A$215,0))</f>
        <v>5</v>
      </c>
      <c r="G200" s="8" t="n">
        <v>8</v>
      </c>
    </row>
    <row r="201" customFormat="false" ht="17.35" hidden="false" customHeight="false" outlineLevel="0" collapsed="false">
      <c r="A201" s="8" t="n">
        <v>200</v>
      </c>
      <c r="B201" s="9" t="s">
        <v>1277</v>
      </c>
      <c r="C201" s="8" t="n">
        <v>85</v>
      </c>
      <c r="D201" s="9" t="str">
        <f aca="false">INDEX(Radicals!$B$2:$B$215,MATCH(C201,Radicals!$A$2:$A$215,0))</f>
        <v>水</v>
      </c>
      <c r="E201" s="10" t="str">
        <f aca="false">INDEX(Radicals!$G$2:$G$215,MATCH(C201,Radicals!$A$2:$A$215,0))</f>
        <v>water</v>
      </c>
      <c r="F201" s="8" t="n">
        <f aca="false">INDEX(Radicals!$D$2:$D$215,MATCH(C201,Radicals!$A$2:$A$215,0))</f>
        <v>4</v>
      </c>
      <c r="G201" s="8" t="n">
        <v>9</v>
      </c>
    </row>
    <row r="202" customFormat="false" ht="17.35" hidden="false" customHeight="false" outlineLevel="0" collapsed="false">
      <c r="A202" s="8" t="n">
        <v>201</v>
      </c>
      <c r="B202" s="9" t="s">
        <v>1278</v>
      </c>
      <c r="C202" s="8" t="n">
        <v>28</v>
      </c>
      <c r="D202" s="9" t="str">
        <f aca="false">INDEX(Radicals!$B$2:$B$215,MATCH(C202,Radicals!$A$2:$A$215,0))</f>
        <v>厶</v>
      </c>
      <c r="E202" s="10" t="str">
        <f aca="false">INDEX(Radicals!$G$2:$G$215,MATCH(C202,Radicals!$A$2:$A$215,0))</f>
        <v>private</v>
      </c>
      <c r="F202" s="8" t="n">
        <f aca="false">INDEX(Radicals!$D$2:$D$215,MATCH(C202,Radicals!$A$2:$A$215,0))</f>
        <v>2</v>
      </c>
      <c r="G202" s="8" t="n">
        <v>8</v>
      </c>
    </row>
    <row r="203" customFormat="false" ht="17.35" hidden="false" customHeight="false" outlineLevel="0" collapsed="false">
      <c r="A203" s="8" t="n">
        <v>202</v>
      </c>
      <c r="B203" s="9" t="s">
        <v>1279</v>
      </c>
      <c r="C203" s="8" t="n">
        <v>33</v>
      </c>
      <c r="D203" s="9" t="str">
        <f aca="false">INDEX(Radicals!$B$2:$B$215,MATCH(C203,Radicals!$A$2:$A$215,0))</f>
        <v>士</v>
      </c>
      <c r="E203" s="10" t="str">
        <f aca="false">INDEX(Radicals!$G$2:$G$215,MATCH(C203,Radicals!$A$2:$A$215,0))</f>
        <v>scholar, samurai</v>
      </c>
      <c r="F203" s="8" t="n">
        <f aca="false">INDEX(Radicals!$D$2:$D$215,MATCH(C203,Radicals!$A$2:$A$215,0))</f>
        <v>3</v>
      </c>
      <c r="G203" s="8" t="n">
        <v>7</v>
      </c>
    </row>
    <row r="204" customFormat="false" ht="17.35" hidden="false" customHeight="false" outlineLevel="0" collapsed="false">
      <c r="A204" s="8" t="n">
        <v>203</v>
      </c>
      <c r="B204" s="9" t="s">
        <v>1280</v>
      </c>
      <c r="C204" s="8" t="n">
        <v>18</v>
      </c>
      <c r="D204" s="9" t="str">
        <f aca="false">INDEX(Radicals!$B$2:$B$215,MATCH(C204,Radicals!$A$2:$A$215,0))</f>
        <v>刀</v>
      </c>
      <c r="E204" s="10" t="str">
        <f aca="false">INDEX(Radicals!$G$2:$G$215,MATCH(C204,Radicals!$A$2:$A$215,0))</f>
        <v>knife, sword</v>
      </c>
      <c r="F204" s="8" t="n">
        <f aca="false">INDEX(Radicals!$D$2:$D$215,MATCH(C204,Radicals!$A$2:$A$215,0))</f>
        <v>2</v>
      </c>
      <c r="G204" s="8" t="n">
        <v>7</v>
      </c>
    </row>
    <row r="205" customFormat="false" ht="17.35" hidden="false" customHeight="false" outlineLevel="0" collapsed="false">
      <c r="A205" s="8" t="n">
        <v>204</v>
      </c>
      <c r="B205" s="9" t="s">
        <v>1281</v>
      </c>
      <c r="C205" s="8" t="n">
        <v>120</v>
      </c>
      <c r="D205" s="9" t="str">
        <f aca="false">INDEX(Radicals!$B$2:$B$215,MATCH(C205,Radicals!$A$2:$A$215,0))</f>
        <v>糸</v>
      </c>
      <c r="E205" s="10" t="str">
        <f aca="false">INDEX(Radicals!$G$2:$G$215,MATCH(C205,Radicals!$A$2:$A$215,0))</f>
        <v>thread, silk</v>
      </c>
      <c r="F205" s="8" t="n">
        <f aca="false">INDEX(Radicals!$D$2:$D$215,MATCH(C205,Radicals!$A$2:$A$215,0))</f>
        <v>6</v>
      </c>
      <c r="G205" s="8" t="n">
        <v>11</v>
      </c>
    </row>
    <row r="206" customFormat="false" ht="17.35" hidden="false" customHeight="false" outlineLevel="0" collapsed="false">
      <c r="A206" s="8" t="n">
        <v>205</v>
      </c>
      <c r="B206" s="9" t="s">
        <v>1282</v>
      </c>
      <c r="C206" s="8" t="n">
        <v>111</v>
      </c>
      <c r="D206" s="9" t="str">
        <f aca="false">INDEX(Radicals!$B$2:$B$215,MATCH(C206,Radicals!$A$2:$A$215,0))</f>
        <v>矢</v>
      </c>
      <c r="E206" s="10" t="str">
        <f aca="false">INDEX(Radicals!$G$2:$G$215,MATCH(C206,Radicals!$A$2:$A$215,0))</f>
        <v>arrow</v>
      </c>
      <c r="F206" s="8" t="n">
        <f aca="false">INDEX(Radicals!$D$2:$D$215,MATCH(C206,Radicals!$A$2:$A$215,0))</f>
        <v>5</v>
      </c>
      <c r="G206" s="8" t="n">
        <v>8</v>
      </c>
    </row>
    <row r="207" customFormat="false" ht="17.35" hidden="false" customHeight="false" outlineLevel="0" collapsed="false">
      <c r="A207" s="8" t="n">
        <v>206</v>
      </c>
      <c r="B207" s="9" t="s">
        <v>1283</v>
      </c>
      <c r="C207" s="8" t="n">
        <v>75</v>
      </c>
      <c r="D207" s="9" t="str">
        <f aca="false">INDEX(Radicals!$B$2:$B$215,MATCH(C207,Radicals!$A$2:$A$215,0))</f>
        <v>木</v>
      </c>
      <c r="E207" s="10" t="str">
        <f aca="false">INDEX(Radicals!$G$2:$G$215,MATCH(C207,Radicals!$A$2:$A$215,0))</f>
        <v>tree, wood</v>
      </c>
      <c r="F207" s="8" t="n">
        <f aca="false">INDEX(Radicals!$D$2:$D$215,MATCH(C207,Radicals!$A$2:$A$215,0))</f>
        <v>4</v>
      </c>
      <c r="G207" s="8" t="n">
        <v>10</v>
      </c>
    </row>
    <row r="208" customFormat="false" ht="17.35" hidden="false" customHeight="false" outlineLevel="0" collapsed="false">
      <c r="A208" s="8" t="n">
        <v>207</v>
      </c>
      <c r="B208" s="9" t="s">
        <v>1284</v>
      </c>
      <c r="C208" s="8" t="n">
        <v>162</v>
      </c>
      <c r="D208" s="9" t="str">
        <f aca="false">INDEX(Radicals!$B$2:$B$215,MATCH(C208,Radicals!$A$2:$A$215,0))</f>
        <v>辵</v>
      </c>
      <c r="E208" s="10" t="str">
        <f aca="false">INDEX(Radicals!$G$2:$G$215,MATCH(C208,Radicals!$A$2:$A$215,0))</f>
        <v>walk, movement</v>
      </c>
      <c r="F208" s="8" t="n">
        <f aca="false">INDEX(Radicals!$D$2:$D$215,MATCH(C208,Radicals!$A$2:$A$215,0))</f>
        <v>7</v>
      </c>
      <c r="G208" s="8" t="n">
        <v>12</v>
      </c>
    </row>
    <row r="209" customFormat="false" ht="17.35" hidden="false" customHeight="false" outlineLevel="0" collapsed="false">
      <c r="A209" s="8" t="n">
        <v>208</v>
      </c>
      <c r="B209" s="9" t="s">
        <v>1285</v>
      </c>
      <c r="C209" s="8" t="n">
        <v>9</v>
      </c>
      <c r="D209" s="9" t="str">
        <f aca="false">INDEX(Radicals!$B$2:$B$215,MATCH(C209,Radicals!$A$2:$A$215,0))</f>
        <v>人</v>
      </c>
      <c r="E209" s="10" t="str">
        <f aca="false">INDEX(Radicals!$G$2:$G$215,MATCH(C209,Radicals!$A$2:$A$215,0))</f>
        <v>person</v>
      </c>
      <c r="F209" s="8" t="n">
        <f aca="false">INDEX(Radicals!$D$2:$D$215,MATCH(C209,Radicals!$A$2:$A$215,0))</f>
        <v>2</v>
      </c>
      <c r="G209" s="8" t="n">
        <v>9</v>
      </c>
    </row>
    <row r="210" customFormat="false" ht="17.35" hidden="false" customHeight="false" outlineLevel="0" collapsed="false">
      <c r="A210" s="8" t="n">
        <v>209</v>
      </c>
      <c r="B210" s="9" t="s">
        <v>1286</v>
      </c>
      <c r="C210" s="8" t="n">
        <v>118</v>
      </c>
      <c r="D210" s="9" t="str">
        <f aca="false">INDEX(Radicals!$B$2:$B$215,MATCH(C210,Radicals!$A$2:$A$215,0))</f>
        <v>竹</v>
      </c>
      <c r="E210" s="10" t="str">
        <f aca="false">INDEX(Radicals!$G$2:$G$215,MATCH(C210,Radicals!$A$2:$A$215,0))</f>
        <v>bamboo</v>
      </c>
      <c r="F210" s="8" t="n">
        <f aca="false">INDEX(Radicals!$D$2:$D$215,MATCH(C210,Radicals!$A$2:$A$215,0))</f>
        <v>6</v>
      </c>
      <c r="G210" s="8" t="n">
        <v>12</v>
      </c>
    </row>
    <row r="211" customFormat="false" ht="17.35" hidden="false" customHeight="false" outlineLevel="0" collapsed="false">
      <c r="A211" s="8" t="n">
        <v>210</v>
      </c>
      <c r="B211" s="9" t="s">
        <v>1287</v>
      </c>
      <c r="C211" s="8" t="n">
        <v>172</v>
      </c>
      <c r="D211" s="9" t="str">
        <f aca="false">INDEX(Radicals!$B$2:$B$215,MATCH(C211,Radicals!$A$2:$A$215,0))</f>
        <v>隹</v>
      </c>
      <c r="E211" s="10" t="str">
        <f aca="false">INDEX(Radicals!$G$2:$G$215,MATCH(C211,Radicals!$A$2:$A$215,0))</f>
        <v>short-tailed bird</v>
      </c>
      <c r="F211" s="8" t="n">
        <f aca="false">INDEX(Radicals!$D$2:$D$215,MATCH(C211,Radicals!$A$2:$A$215,0))</f>
        <v>8</v>
      </c>
      <c r="G211" s="8" t="n">
        <v>12</v>
      </c>
    </row>
    <row r="212" customFormat="false" ht="17.35" hidden="false" customHeight="false" outlineLevel="0" collapsed="false">
      <c r="A212" s="8" t="n">
        <v>211</v>
      </c>
      <c r="B212" s="9" t="s">
        <v>1288</v>
      </c>
      <c r="C212" s="8" t="n">
        <v>32</v>
      </c>
      <c r="D212" s="9" t="str">
        <f aca="false">INDEX(Radicals!$B$2:$B$215,MATCH(C212,Radicals!$A$2:$A$215,0))</f>
        <v>土</v>
      </c>
      <c r="E212" s="10" t="str">
        <f aca="false">INDEX(Radicals!$G$2:$G$215,MATCH(C212,Radicals!$A$2:$A$215,0))</f>
        <v>earth, soil</v>
      </c>
      <c r="F212" s="8" t="n">
        <f aca="false">INDEX(Radicals!$D$2:$D$215,MATCH(C212,Radicals!$A$2:$A$215,0))</f>
        <v>3</v>
      </c>
      <c r="G212" s="8" t="n">
        <v>6</v>
      </c>
    </row>
    <row r="213" customFormat="false" ht="17.35" hidden="false" customHeight="false" outlineLevel="0" collapsed="false">
      <c r="A213" s="8" t="n">
        <v>212</v>
      </c>
      <c r="B213" s="9" t="s">
        <v>1289</v>
      </c>
      <c r="C213" s="8" t="n">
        <v>9</v>
      </c>
      <c r="D213" s="9" t="str">
        <f aca="false">INDEX(Radicals!$B$2:$B$215,MATCH(C213,Radicals!$A$2:$A$215,0))</f>
        <v>人</v>
      </c>
      <c r="E213" s="10" t="str">
        <f aca="false">INDEX(Radicals!$G$2:$G$215,MATCH(C213,Radicals!$A$2:$A$215,0))</f>
        <v>person</v>
      </c>
      <c r="F213" s="8" t="n">
        <f aca="false">INDEX(Radicals!$D$2:$D$215,MATCH(C213,Radicals!$A$2:$A$215,0))</f>
        <v>2</v>
      </c>
      <c r="G213" s="8" t="n">
        <v>6</v>
      </c>
    </row>
    <row r="214" customFormat="false" ht="17.35" hidden="false" customHeight="false" outlineLevel="0" collapsed="false">
      <c r="A214" s="8" t="n">
        <v>213</v>
      </c>
      <c r="B214" s="9" t="s">
        <v>1290</v>
      </c>
      <c r="C214" s="8" t="n">
        <v>31</v>
      </c>
      <c r="D214" s="9" t="str">
        <f aca="false">INDEX(Radicals!$B$2:$B$215,MATCH(C214,Radicals!$A$2:$A$215,0))</f>
        <v>囗</v>
      </c>
      <c r="E214" s="10" t="str">
        <f aca="false">INDEX(Radicals!$G$2:$G$215,MATCH(C214,Radicals!$A$2:$A$215,0))</f>
        <v>enclosure</v>
      </c>
      <c r="F214" s="8" t="n">
        <f aca="false">INDEX(Radicals!$D$2:$D$215,MATCH(C214,Radicals!$A$2:$A$215,0))</f>
        <v>3</v>
      </c>
      <c r="G214" s="8" t="n">
        <v>6</v>
      </c>
    </row>
    <row r="215" customFormat="false" ht="17.35" hidden="false" customHeight="false" outlineLevel="0" collapsed="false">
      <c r="A215" s="8" t="n">
        <v>214</v>
      </c>
      <c r="B215" s="9" t="s">
        <v>1291</v>
      </c>
      <c r="C215" s="8" t="n">
        <v>18</v>
      </c>
      <c r="D215" s="9" t="str">
        <f aca="false">INDEX(Radicals!$B$2:$B$215,MATCH(C215,Radicals!$A$2:$A$215,0))</f>
        <v>刀</v>
      </c>
      <c r="E215" s="10" t="str">
        <f aca="false">INDEX(Radicals!$G$2:$G$215,MATCH(C215,Radicals!$A$2:$A$215,0))</f>
        <v>knife, sword</v>
      </c>
      <c r="F215" s="8" t="n">
        <f aca="false">INDEX(Radicals!$D$2:$D$215,MATCH(C215,Radicals!$A$2:$A$215,0))</f>
        <v>2</v>
      </c>
      <c r="G215" s="8" t="n">
        <v>7</v>
      </c>
    </row>
    <row r="216" customFormat="false" ht="17.35" hidden="false" customHeight="false" outlineLevel="0" collapsed="false">
      <c r="A216" s="8" t="n">
        <v>215</v>
      </c>
      <c r="B216" s="9" t="s">
        <v>1292</v>
      </c>
      <c r="C216" s="8" t="n">
        <v>93</v>
      </c>
      <c r="D216" s="9" t="str">
        <f aca="false">INDEX(Radicals!$B$2:$B$215,MATCH(C216,Radicals!$A$2:$A$215,0))</f>
        <v>牛</v>
      </c>
      <c r="E216" s="10" t="str">
        <f aca="false">INDEX(Radicals!$G$2:$G$215,MATCH(C216,Radicals!$A$2:$A$215,0))</f>
        <v>cow, ox</v>
      </c>
      <c r="F216" s="8" t="n">
        <f aca="false">INDEX(Radicals!$D$2:$D$215,MATCH(C216,Radicals!$A$2:$A$215,0))</f>
        <v>4</v>
      </c>
      <c r="G216" s="8" t="n">
        <v>8</v>
      </c>
    </row>
    <row r="217" customFormat="false" ht="17.35" hidden="false" customHeight="false" outlineLevel="0" collapsed="false">
      <c r="A217" s="8" t="n">
        <v>216</v>
      </c>
      <c r="B217" s="9" t="s">
        <v>1293</v>
      </c>
      <c r="C217" s="8" t="n">
        <v>9</v>
      </c>
      <c r="D217" s="9" t="str">
        <f aca="false">INDEX(Radicals!$B$2:$B$215,MATCH(C217,Radicals!$A$2:$A$215,0))</f>
        <v>人</v>
      </c>
      <c r="E217" s="10" t="str">
        <f aca="false">INDEX(Radicals!$G$2:$G$215,MATCH(C217,Radicals!$A$2:$A$215,0))</f>
        <v>person</v>
      </c>
      <c r="F217" s="8" t="n">
        <f aca="false">INDEX(Radicals!$D$2:$D$215,MATCH(C217,Radicals!$A$2:$A$215,0))</f>
        <v>2</v>
      </c>
      <c r="G217" s="8" t="n">
        <v>11</v>
      </c>
    </row>
    <row r="218" customFormat="false" ht="17.35" hidden="false" customHeight="false" outlineLevel="0" collapsed="false">
      <c r="A218" s="8" t="n">
        <v>217</v>
      </c>
      <c r="B218" s="9" t="s">
        <v>1294</v>
      </c>
      <c r="C218" s="8" t="n">
        <v>9</v>
      </c>
      <c r="D218" s="9" t="str">
        <f aca="false">INDEX(Radicals!$B$2:$B$215,MATCH(C218,Radicals!$A$2:$A$215,0))</f>
        <v>人</v>
      </c>
      <c r="E218" s="10" t="str">
        <f aca="false">INDEX(Radicals!$G$2:$G$215,MATCH(C218,Radicals!$A$2:$A$215,0))</f>
        <v>person</v>
      </c>
      <c r="F218" s="8" t="n">
        <f aca="false">INDEX(Radicals!$D$2:$D$215,MATCH(C218,Radicals!$A$2:$A$215,0))</f>
        <v>2</v>
      </c>
      <c r="G218" s="8" t="n">
        <v>6</v>
      </c>
    </row>
    <row r="219" customFormat="false" ht="17.35" hidden="false" customHeight="false" outlineLevel="0" collapsed="false">
      <c r="A219" s="8" t="n">
        <v>218</v>
      </c>
      <c r="B219" s="9" t="s">
        <v>1295</v>
      </c>
      <c r="C219" s="8" t="n">
        <v>57</v>
      </c>
      <c r="D219" s="9" t="str">
        <f aca="false">INDEX(Radicals!$B$2:$B$215,MATCH(C219,Radicals!$A$2:$A$215,0))</f>
        <v>弓</v>
      </c>
      <c r="E219" s="10" t="str">
        <f aca="false">INDEX(Radicals!$G$2:$G$215,MATCH(C219,Radicals!$A$2:$A$215,0))</f>
        <v>bow</v>
      </c>
      <c r="F219" s="8" t="n">
        <f aca="false">INDEX(Radicals!$D$2:$D$215,MATCH(C219,Radicals!$A$2:$A$215,0))</f>
        <v>3</v>
      </c>
      <c r="G219" s="8" t="n">
        <v>4</v>
      </c>
    </row>
    <row r="220" customFormat="false" ht="17.35" hidden="false" customHeight="false" outlineLevel="0" collapsed="false">
      <c r="A220" s="8" t="n">
        <v>219</v>
      </c>
      <c r="B220" s="9" t="s">
        <v>1296</v>
      </c>
      <c r="C220" s="8" t="n">
        <v>9</v>
      </c>
      <c r="D220" s="9" t="str">
        <f aca="false">INDEX(Radicals!$B$2:$B$215,MATCH(C220,Radicals!$A$2:$A$215,0))</f>
        <v>人</v>
      </c>
      <c r="E220" s="10" t="str">
        <f aca="false">INDEX(Radicals!$G$2:$G$215,MATCH(C220,Radicals!$A$2:$A$215,0))</f>
        <v>person</v>
      </c>
      <c r="F220" s="8" t="n">
        <f aca="false">INDEX(Radicals!$D$2:$D$215,MATCH(C220,Radicals!$A$2:$A$215,0))</f>
        <v>2</v>
      </c>
      <c r="G220" s="8" t="n">
        <v>8</v>
      </c>
    </row>
    <row r="221" customFormat="false" ht="17.35" hidden="false" customHeight="false" outlineLevel="0" collapsed="false">
      <c r="A221" s="8" t="n">
        <v>220</v>
      </c>
      <c r="B221" s="9" t="s">
        <v>1297</v>
      </c>
      <c r="C221" s="8" t="n">
        <v>85</v>
      </c>
      <c r="D221" s="9" t="str">
        <f aca="false">INDEX(Radicals!$B$2:$B$215,MATCH(C221,Radicals!$A$2:$A$215,0))</f>
        <v>水</v>
      </c>
      <c r="E221" s="10" t="str">
        <f aca="false">INDEX(Radicals!$G$2:$G$215,MATCH(C221,Radicals!$A$2:$A$215,0))</f>
        <v>water</v>
      </c>
      <c r="F221" s="8" t="n">
        <f aca="false">INDEX(Radicals!$D$2:$D$215,MATCH(C221,Radicals!$A$2:$A$215,0))</f>
        <v>4</v>
      </c>
      <c r="G221" s="8" t="n">
        <v>7</v>
      </c>
    </row>
    <row r="222" customFormat="false" ht="17.35" hidden="false" customHeight="false" outlineLevel="0" collapsed="false">
      <c r="A222" s="8" t="n">
        <v>221</v>
      </c>
      <c r="B222" s="9" t="s">
        <v>1298</v>
      </c>
      <c r="C222" s="8" t="n">
        <v>63</v>
      </c>
      <c r="D222" s="9" t="str">
        <f aca="false">INDEX(Radicals!$B$2:$B$215,MATCH(C222,Radicals!$A$2:$A$215,0))</f>
        <v>戶</v>
      </c>
      <c r="E222" s="10" t="str">
        <f aca="false">INDEX(Radicals!$G$2:$G$215,MATCH(C222,Radicals!$A$2:$A$215,0))</f>
        <v>door</v>
      </c>
      <c r="F222" s="8" t="n">
        <f aca="false">INDEX(Radicals!$D$2:$D$215,MATCH(C222,Radicals!$A$2:$A$215,0))</f>
        <v>4</v>
      </c>
      <c r="G222" s="8" t="n">
        <v>8</v>
      </c>
    </row>
    <row r="223" customFormat="false" ht="17.35" hidden="false" customHeight="false" outlineLevel="0" collapsed="false">
      <c r="A223" s="8" t="n">
        <v>222</v>
      </c>
      <c r="B223" s="9" t="s">
        <v>1299</v>
      </c>
      <c r="C223" s="8" t="n">
        <v>76</v>
      </c>
      <c r="D223" s="9" t="str">
        <f aca="false">INDEX(Radicals!$B$2:$B$215,MATCH(C223,Radicals!$A$2:$A$215,0))</f>
        <v>欠</v>
      </c>
      <c r="E223" s="10" t="str">
        <f aca="false">INDEX(Radicals!$G$2:$G$215,MATCH(C223,Radicals!$A$2:$A$215,0))</f>
        <v>lack, yawn</v>
      </c>
      <c r="F223" s="8" t="n">
        <f aca="false">INDEX(Radicals!$D$2:$D$215,MATCH(C223,Radicals!$A$2:$A$215,0))</f>
        <v>4</v>
      </c>
      <c r="G223" s="8" t="n">
        <v>6</v>
      </c>
    </row>
    <row r="224" customFormat="false" ht="17.35" hidden="false" customHeight="false" outlineLevel="0" collapsed="false">
      <c r="A224" s="8" t="n">
        <v>223</v>
      </c>
      <c r="B224" s="9" t="s">
        <v>455</v>
      </c>
      <c r="C224" s="8" t="n">
        <v>85</v>
      </c>
      <c r="D224" s="9" t="str">
        <f aca="false">INDEX(Radicals!$B$2:$B$215,MATCH(C224,Radicals!$A$2:$A$215,0))</f>
        <v>水</v>
      </c>
      <c r="E224" s="10" t="str">
        <f aca="false">INDEX(Radicals!$G$2:$G$215,MATCH(C224,Radicals!$A$2:$A$215,0))</f>
        <v>water</v>
      </c>
      <c r="F224" s="8" t="n">
        <f aca="false">INDEX(Radicals!$D$2:$D$215,MATCH(C224,Radicals!$A$2:$A$215,0))</f>
        <v>4</v>
      </c>
      <c r="G224" s="8" t="n">
        <v>4</v>
      </c>
    </row>
    <row r="225" customFormat="false" ht="17.35" hidden="false" customHeight="false" outlineLevel="0" collapsed="false">
      <c r="A225" s="8" t="n">
        <v>224</v>
      </c>
      <c r="B225" s="9" t="s">
        <v>1300</v>
      </c>
      <c r="C225" s="8" t="n">
        <v>24</v>
      </c>
      <c r="D225" s="9" t="str">
        <f aca="false">INDEX(Radicals!$B$2:$B$215,MATCH(C225,Radicals!$A$2:$A$215,0))</f>
        <v>十</v>
      </c>
      <c r="E225" s="10" t="str">
        <f aca="false">INDEX(Radicals!$G$2:$G$215,MATCH(C225,Radicals!$A$2:$A$215,0))</f>
        <v>ten</v>
      </c>
      <c r="F225" s="8" t="n">
        <f aca="false">INDEX(Radicals!$D$2:$D$215,MATCH(C225,Radicals!$A$2:$A$215,0))</f>
        <v>2</v>
      </c>
      <c r="G225" s="8" t="n">
        <v>5</v>
      </c>
    </row>
    <row r="226" customFormat="false" ht="17.35" hidden="false" customHeight="false" outlineLevel="0" collapsed="false">
      <c r="A226" s="8" t="n">
        <v>225</v>
      </c>
      <c r="B226" s="9" t="s">
        <v>1301</v>
      </c>
      <c r="C226" s="8" t="n">
        <v>30</v>
      </c>
      <c r="D226" s="9" t="str">
        <f aca="false">INDEX(Radicals!$B$2:$B$215,MATCH(C226,Radicals!$A$2:$A$215,0))</f>
        <v>口</v>
      </c>
      <c r="E226" s="10" t="str">
        <f aca="false">INDEX(Radicals!$G$2:$G$215,MATCH(C226,Radicals!$A$2:$A$215,0))</f>
        <v>mouth</v>
      </c>
      <c r="F226" s="8" t="n">
        <f aca="false">INDEX(Radicals!$D$2:$D$215,MATCH(C226,Radicals!$A$2:$A$215,0))</f>
        <v>3</v>
      </c>
      <c r="G226" s="8" t="n">
        <v>9</v>
      </c>
    </row>
    <row r="227" customFormat="false" ht="17.35" hidden="false" customHeight="false" outlineLevel="0" collapsed="false">
      <c r="A227" s="8" t="n">
        <v>226</v>
      </c>
      <c r="B227" s="9" t="s">
        <v>1302</v>
      </c>
      <c r="C227" s="8" t="n">
        <v>72</v>
      </c>
      <c r="D227" s="9" t="str">
        <f aca="false">INDEX(Radicals!$B$2:$B$215,MATCH(C227,Radicals!$A$2:$A$215,0))</f>
        <v>日</v>
      </c>
      <c r="E227" s="10" t="str">
        <f aca="false">INDEX(Radicals!$G$2:$G$215,MATCH(C227,Radicals!$A$2:$A$215,0))</f>
        <v>sun, day</v>
      </c>
      <c r="F227" s="8" t="n">
        <f aca="false">INDEX(Radicals!$D$2:$D$215,MATCH(C227,Radicals!$A$2:$A$215,0))</f>
        <v>4</v>
      </c>
      <c r="G227" s="8" t="n">
        <v>9</v>
      </c>
    </row>
    <row r="228" customFormat="false" ht="17.35" hidden="false" customHeight="false" outlineLevel="0" collapsed="false">
      <c r="A228" s="8" t="n">
        <v>227</v>
      </c>
      <c r="B228" s="9" t="s">
        <v>1303</v>
      </c>
      <c r="C228" s="8" t="n">
        <v>149</v>
      </c>
      <c r="D228" s="9" t="str">
        <f aca="false">INDEX(Radicals!$B$2:$B$215,MATCH(C228,Radicals!$A$2:$A$215,0))</f>
        <v>言</v>
      </c>
      <c r="E228" s="10" t="str">
        <f aca="false">INDEX(Radicals!$G$2:$G$215,MATCH(C228,Radicals!$A$2:$A$215,0))</f>
        <v>speech, say</v>
      </c>
      <c r="F228" s="8" t="n">
        <f aca="false">INDEX(Radicals!$D$2:$D$215,MATCH(C228,Radicals!$A$2:$A$215,0))</f>
        <v>7</v>
      </c>
      <c r="G228" s="8" t="n">
        <v>15</v>
      </c>
    </row>
    <row r="229" customFormat="false" ht="17.35" hidden="false" customHeight="false" outlineLevel="0" collapsed="false">
      <c r="A229" s="8" t="n">
        <v>228</v>
      </c>
      <c r="B229" s="9" t="s">
        <v>1304</v>
      </c>
      <c r="C229" s="8" t="n">
        <v>149</v>
      </c>
      <c r="D229" s="9" t="str">
        <f aca="false">INDEX(Radicals!$B$2:$B$215,MATCH(C229,Radicals!$A$2:$A$215,0))</f>
        <v>言</v>
      </c>
      <c r="E229" s="10" t="str">
        <f aca="false">INDEX(Radicals!$G$2:$G$215,MATCH(C229,Radicals!$A$2:$A$215,0))</f>
        <v>speech, say</v>
      </c>
      <c r="F229" s="8" t="n">
        <f aca="false">INDEX(Radicals!$D$2:$D$215,MATCH(C229,Radicals!$A$2:$A$215,0))</f>
        <v>7</v>
      </c>
      <c r="G229" s="8" t="n">
        <v>9</v>
      </c>
    </row>
    <row r="230" customFormat="false" ht="17.35" hidden="false" customHeight="false" outlineLevel="0" collapsed="false">
      <c r="A230" s="8" t="n">
        <v>229</v>
      </c>
      <c r="B230" s="9" t="s">
        <v>1305</v>
      </c>
      <c r="C230" s="8" t="n">
        <v>78</v>
      </c>
      <c r="D230" s="9" t="str">
        <f aca="false">INDEX(Radicals!$B$2:$B$215,MATCH(C230,Radicals!$A$2:$A$215,0))</f>
        <v>歹</v>
      </c>
      <c r="E230" s="10" t="str">
        <f aca="false">INDEX(Radicals!$G$2:$G$215,MATCH(C230,Radicals!$A$2:$A$215,0))</f>
        <v>death, decay</v>
      </c>
      <c r="F230" s="8" t="n">
        <f aca="false">INDEX(Radicals!$D$2:$D$215,MATCH(C230,Radicals!$A$2:$A$215,0))</f>
        <v>4</v>
      </c>
      <c r="G230" s="8" t="n">
        <v>6</v>
      </c>
    </row>
    <row r="231" customFormat="false" ht="17.35" hidden="false" customHeight="false" outlineLevel="0" collapsed="false">
      <c r="A231" s="8" t="n">
        <v>230</v>
      </c>
      <c r="B231" s="9" t="s">
        <v>1306</v>
      </c>
      <c r="C231" s="8" t="n">
        <v>40</v>
      </c>
      <c r="D231" s="9" t="str">
        <f aca="false">INDEX(Radicals!$B$2:$B$215,MATCH(C231,Radicals!$A$2:$A$215,0))</f>
        <v>宀</v>
      </c>
      <c r="E231" s="10" t="str">
        <f aca="false">INDEX(Radicals!$G$2:$G$215,MATCH(C231,Radicals!$A$2:$A$215,0))</f>
        <v>roof</v>
      </c>
      <c r="F231" s="8" t="n">
        <f aca="false">INDEX(Radicals!$D$2:$D$215,MATCH(C231,Radicals!$A$2:$A$215,0))</f>
        <v>3</v>
      </c>
      <c r="G231" s="8" t="n">
        <v>8</v>
      </c>
    </row>
    <row r="232" customFormat="false" ht="17.35" hidden="false" customHeight="false" outlineLevel="0" collapsed="false">
      <c r="A232" s="8" t="n">
        <v>231</v>
      </c>
      <c r="B232" s="9" t="s">
        <v>1307</v>
      </c>
      <c r="C232" s="8" t="n">
        <v>32</v>
      </c>
      <c r="D232" s="9" t="str">
        <f aca="false">INDEX(Radicals!$B$2:$B$215,MATCH(C232,Radicals!$A$2:$A$215,0))</f>
        <v>土</v>
      </c>
      <c r="E232" s="10" t="str">
        <f aca="false">INDEX(Radicals!$G$2:$G$215,MATCH(C232,Radicals!$A$2:$A$215,0))</f>
        <v>earth, soil</v>
      </c>
      <c r="F232" s="8" t="n">
        <f aca="false">INDEX(Radicals!$D$2:$D$215,MATCH(C232,Radicals!$A$2:$A$215,0))</f>
        <v>3</v>
      </c>
      <c r="G232" s="8" t="n">
        <v>14</v>
      </c>
    </row>
    <row r="233" customFormat="false" ht="17.35" hidden="false" customHeight="false" outlineLevel="0" collapsed="false">
      <c r="A233" s="8" t="n">
        <v>232</v>
      </c>
      <c r="B233" s="9" t="s">
        <v>1308</v>
      </c>
      <c r="C233" s="8" t="n">
        <v>9</v>
      </c>
      <c r="D233" s="9" t="str">
        <f aca="false">INDEX(Radicals!$B$2:$B$215,MATCH(C233,Radicals!$A$2:$A$215,0))</f>
        <v>人</v>
      </c>
      <c r="E233" s="10" t="str">
        <f aca="false">INDEX(Radicals!$G$2:$G$215,MATCH(C233,Radicals!$A$2:$A$215,0))</f>
        <v>person</v>
      </c>
      <c r="F233" s="8" t="n">
        <f aca="false">INDEX(Radicals!$D$2:$D$215,MATCH(C233,Radicals!$A$2:$A$215,0))</f>
        <v>2</v>
      </c>
      <c r="G233" s="8" t="n">
        <v>9</v>
      </c>
    </row>
    <row r="234" customFormat="false" ht="17.35" hidden="false" customHeight="false" outlineLevel="0" collapsed="false">
      <c r="A234" s="8" t="n">
        <v>233</v>
      </c>
      <c r="B234" s="9" t="s">
        <v>1309</v>
      </c>
      <c r="C234" s="8" t="n">
        <v>61</v>
      </c>
      <c r="D234" s="9" t="str">
        <f aca="false">INDEX(Radicals!$B$2:$B$215,MATCH(C234,Radicals!$A$2:$A$215,0))</f>
        <v>心</v>
      </c>
      <c r="E234" s="10" t="str">
        <f aca="false">INDEX(Radicals!$G$2:$G$215,MATCH(C234,Radicals!$A$2:$A$215,0))</f>
        <v>heart, mind</v>
      </c>
      <c r="F234" s="8" t="n">
        <f aca="false">INDEX(Radicals!$D$2:$D$215,MATCH(C234,Radicals!$A$2:$A$215,0))</f>
        <v>4</v>
      </c>
      <c r="G234" s="8" t="n">
        <v>13</v>
      </c>
    </row>
    <row r="235" customFormat="false" ht="17.35" hidden="false" customHeight="false" outlineLevel="0" collapsed="false">
      <c r="A235" s="8" t="n">
        <v>234</v>
      </c>
      <c r="B235" s="9" t="s">
        <v>1310</v>
      </c>
      <c r="C235" s="8" t="n">
        <v>93</v>
      </c>
      <c r="D235" s="9" t="str">
        <f aca="false">INDEX(Radicals!$B$2:$B$215,MATCH(C235,Radicals!$A$2:$A$215,0))</f>
        <v>牛</v>
      </c>
      <c r="E235" s="10" t="str">
        <f aca="false">INDEX(Radicals!$G$2:$G$215,MATCH(C235,Radicals!$A$2:$A$215,0))</f>
        <v>cow, ox</v>
      </c>
      <c r="F235" s="8" t="n">
        <f aca="false">INDEX(Radicals!$D$2:$D$215,MATCH(C235,Radicals!$A$2:$A$215,0))</f>
        <v>4</v>
      </c>
      <c r="G235" s="8" t="n">
        <v>10</v>
      </c>
    </row>
    <row r="236" customFormat="false" ht="17.35" hidden="false" customHeight="false" outlineLevel="0" collapsed="false">
      <c r="A236" s="8" t="n">
        <v>235</v>
      </c>
      <c r="B236" s="9" t="s">
        <v>1311</v>
      </c>
      <c r="C236" s="8" t="n">
        <v>61</v>
      </c>
      <c r="D236" s="9" t="str">
        <f aca="false">INDEX(Radicals!$B$2:$B$215,MATCH(C236,Radicals!$A$2:$A$215,0))</f>
        <v>心</v>
      </c>
      <c r="E236" s="10" t="str">
        <f aca="false">INDEX(Radicals!$G$2:$G$215,MATCH(C236,Radicals!$A$2:$A$215,0))</f>
        <v>heart, mind</v>
      </c>
      <c r="F236" s="8" t="n">
        <f aca="false">INDEX(Radicals!$D$2:$D$215,MATCH(C236,Radicals!$A$2:$A$215,0))</f>
        <v>4</v>
      </c>
      <c r="G236" s="8" t="n">
        <v>11</v>
      </c>
    </row>
    <row r="237" customFormat="false" ht="17.35" hidden="false" customHeight="false" outlineLevel="0" collapsed="false">
      <c r="A237" s="8" t="n">
        <v>236</v>
      </c>
      <c r="B237" s="9" t="s">
        <v>1312</v>
      </c>
      <c r="C237" s="8" t="n">
        <v>64</v>
      </c>
      <c r="D237" s="9" t="str">
        <f aca="false">INDEX(Radicals!$B$2:$B$215,MATCH(C237,Radicals!$A$2:$A$215,0))</f>
        <v>手</v>
      </c>
      <c r="E237" s="10" t="str">
        <f aca="false">INDEX(Radicals!$G$2:$G$215,MATCH(C237,Radicals!$A$2:$A$215,0))</f>
        <v>hand</v>
      </c>
      <c r="F237" s="8" t="n">
        <f aca="false">INDEX(Radicals!$D$2:$D$215,MATCH(C237,Radicals!$A$2:$A$215,0))</f>
        <v>4</v>
      </c>
      <c r="G237" s="8" t="n">
        <v>7</v>
      </c>
    </row>
    <row r="238" customFormat="false" ht="17.35" hidden="false" customHeight="false" outlineLevel="0" collapsed="false">
      <c r="A238" s="8" t="n">
        <v>237</v>
      </c>
      <c r="B238" s="9" t="s">
        <v>597</v>
      </c>
      <c r="C238" s="8" t="n">
        <v>113</v>
      </c>
      <c r="D238" s="9" t="str">
        <f aca="false">INDEX(Radicals!$B$2:$B$215,MATCH(C238,Radicals!$A$2:$A$215,0))</f>
        <v>示</v>
      </c>
      <c r="E238" s="10" t="str">
        <f aca="false">INDEX(Radicals!$G$2:$G$215,MATCH(C238,Radicals!$A$2:$A$215,0))</f>
        <v>spirit, altar, show</v>
      </c>
      <c r="F238" s="8" t="n">
        <f aca="false">INDEX(Radicals!$D$2:$D$215,MATCH(C238,Radicals!$A$2:$A$215,0))</f>
        <v>5</v>
      </c>
      <c r="G238" s="8" t="n">
        <v>5</v>
      </c>
    </row>
    <row r="239" customFormat="false" ht="17.35" hidden="false" customHeight="false" outlineLevel="0" collapsed="false">
      <c r="A239" s="8" t="n">
        <v>238</v>
      </c>
      <c r="B239" s="9" t="s">
        <v>192</v>
      </c>
      <c r="C239" s="8" t="n">
        <v>34</v>
      </c>
      <c r="D239" s="9" t="str">
        <f aca="false">INDEX(Radicals!$B$2:$B$215,MATCH(C239,Radicals!$A$2:$A$215,0))</f>
        <v>夂</v>
      </c>
      <c r="E239" s="10" t="str">
        <f aca="false">INDEX(Radicals!$G$2:$G$215,MATCH(C239,Radicals!$A$2:$A$215,0))</f>
        <v>go</v>
      </c>
      <c r="F239" s="8" t="n">
        <f aca="false">INDEX(Radicals!$D$2:$D$215,MATCH(C239,Radicals!$A$2:$A$215,0))</f>
        <v>3</v>
      </c>
      <c r="G239" s="8" t="n">
        <v>9</v>
      </c>
    </row>
    <row r="240" customFormat="false" ht="17.35" hidden="false" customHeight="false" outlineLevel="0" collapsed="false">
      <c r="A240" s="8" t="n">
        <v>239</v>
      </c>
      <c r="B240" s="9" t="s">
        <v>1313</v>
      </c>
      <c r="C240" s="8" t="n">
        <v>64</v>
      </c>
      <c r="D240" s="9" t="str">
        <f aca="false">INDEX(Radicals!$B$2:$B$215,MATCH(C240,Radicals!$A$2:$A$215,0))</f>
        <v>手</v>
      </c>
      <c r="E240" s="10" t="str">
        <f aca="false">INDEX(Radicals!$G$2:$G$215,MATCH(C240,Radicals!$A$2:$A$215,0))</f>
        <v>hand</v>
      </c>
      <c r="F240" s="8" t="n">
        <f aca="false">INDEX(Radicals!$D$2:$D$215,MATCH(C240,Radicals!$A$2:$A$215,0))</f>
        <v>4</v>
      </c>
      <c r="G240" s="8" t="n">
        <v>5</v>
      </c>
    </row>
    <row r="241" customFormat="false" ht="17.35" hidden="false" customHeight="false" outlineLevel="0" collapsed="false">
      <c r="A241" s="8" t="n">
        <v>240</v>
      </c>
      <c r="B241" s="9" t="s">
        <v>1314</v>
      </c>
      <c r="C241" s="8" t="n">
        <v>102</v>
      </c>
      <c r="D241" s="9" t="str">
        <f aca="false">INDEX(Radicals!$B$2:$B$215,MATCH(C241,Radicals!$A$2:$A$215,0))</f>
        <v>田</v>
      </c>
      <c r="E241" s="10" t="str">
        <f aca="false">INDEX(Radicals!$G$2:$G$215,MATCH(C241,Radicals!$A$2:$A$215,0))</f>
        <v>field, paddy</v>
      </c>
      <c r="F241" s="8" t="n">
        <f aca="false">INDEX(Radicals!$D$2:$D$215,MATCH(C241,Radicals!$A$2:$A$215,0))</f>
        <v>5</v>
      </c>
      <c r="G241" s="8" t="n">
        <v>7</v>
      </c>
    </row>
    <row r="242" customFormat="false" ht="17.35" hidden="false" customHeight="false" outlineLevel="0" collapsed="false">
      <c r="A242" s="8" t="n">
        <v>241</v>
      </c>
      <c r="B242" s="9" t="s">
        <v>1315</v>
      </c>
      <c r="C242" s="8" t="n">
        <v>32</v>
      </c>
      <c r="D242" s="9" t="str">
        <f aca="false">INDEX(Radicals!$B$2:$B$215,MATCH(C242,Radicals!$A$2:$A$215,0))</f>
        <v>土</v>
      </c>
      <c r="E242" s="10" t="str">
        <f aca="false">INDEX(Radicals!$G$2:$G$215,MATCH(C242,Radicals!$A$2:$A$215,0))</f>
        <v>earth, soil</v>
      </c>
      <c r="F242" s="8" t="n">
        <f aca="false">INDEX(Radicals!$D$2:$D$215,MATCH(C242,Radicals!$A$2:$A$215,0))</f>
        <v>3</v>
      </c>
      <c r="G242" s="8" t="n">
        <v>11</v>
      </c>
    </row>
    <row r="243" customFormat="false" ht="17.35" hidden="false" customHeight="false" outlineLevel="0" collapsed="false">
      <c r="A243" s="8" t="n">
        <v>242</v>
      </c>
      <c r="B243" s="9" t="s">
        <v>1316</v>
      </c>
      <c r="C243" s="8" t="n">
        <v>115</v>
      </c>
      <c r="D243" s="9" t="str">
        <f aca="false">INDEX(Radicals!$B$2:$B$215,MATCH(C243,Radicals!$A$2:$A$215,0))</f>
        <v>禾</v>
      </c>
      <c r="E243" s="10" t="str">
        <f aca="false">INDEX(Radicals!$G$2:$G$215,MATCH(C243,Radicals!$A$2:$A$215,0))</f>
        <v>grain, rice plant</v>
      </c>
      <c r="F243" s="8" t="n">
        <f aca="false">INDEX(Radicals!$D$2:$D$215,MATCH(C243,Radicals!$A$2:$A$215,0))</f>
        <v>5</v>
      </c>
      <c r="G243" s="8" t="n">
        <v>7</v>
      </c>
    </row>
    <row r="244" customFormat="false" ht="17.35" hidden="false" customHeight="false" outlineLevel="0" collapsed="false">
      <c r="A244" s="8" t="n">
        <v>243</v>
      </c>
      <c r="B244" s="9" t="s">
        <v>1317</v>
      </c>
      <c r="C244" s="8" t="n">
        <v>30</v>
      </c>
      <c r="D244" s="9" t="str">
        <f aca="false">INDEX(Radicals!$B$2:$B$215,MATCH(C244,Radicals!$A$2:$A$215,0))</f>
        <v>口</v>
      </c>
      <c r="E244" s="10" t="str">
        <f aca="false">INDEX(Radicals!$G$2:$G$215,MATCH(C244,Radicals!$A$2:$A$215,0))</f>
        <v>mouth</v>
      </c>
      <c r="F244" s="8" t="n">
        <f aca="false">INDEX(Radicals!$D$2:$D$215,MATCH(C244,Radicals!$A$2:$A$215,0))</f>
        <v>3</v>
      </c>
      <c r="G244" s="8" t="n">
        <v>6</v>
      </c>
    </row>
    <row r="245" customFormat="false" ht="17.35" hidden="false" customHeight="false" outlineLevel="0" collapsed="false">
      <c r="A245" s="8" t="n">
        <v>244</v>
      </c>
      <c r="B245" s="9" t="s">
        <v>1318</v>
      </c>
      <c r="C245" s="8" t="n">
        <v>38</v>
      </c>
      <c r="D245" s="9" t="str">
        <f aca="false">INDEX(Radicals!$B$2:$B$215,MATCH(C245,Radicals!$A$2:$A$215,0))</f>
        <v>女</v>
      </c>
      <c r="E245" s="10" t="str">
        <f aca="false">INDEX(Radicals!$G$2:$G$215,MATCH(C245,Radicals!$A$2:$A$215,0))</f>
        <v>woman</v>
      </c>
      <c r="F245" s="8" t="n">
        <f aca="false">INDEX(Radicals!$D$2:$D$215,MATCH(C245,Radicals!$A$2:$A$215,0))</f>
        <v>3</v>
      </c>
      <c r="G245" s="8" t="n">
        <v>8</v>
      </c>
    </row>
    <row r="246" customFormat="false" ht="17.35" hidden="false" customHeight="false" outlineLevel="0" collapsed="false">
      <c r="A246" s="8" t="n">
        <v>245</v>
      </c>
      <c r="B246" s="9" t="s">
        <v>1319</v>
      </c>
      <c r="C246" s="8" t="n">
        <v>46</v>
      </c>
      <c r="D246" s="9" t="str">
        <f aca="false">INDEX(Radicals!$B$2:$B$215,MATCH(C246,Radicals!$A$2:$A$215,0))</f>
        <v>山</v>
      </c>
      <c r="E246" s="10" t="str">
        <f aca="false">INDEX(Radicals!$G$2:$G$215,MATCH(C246,Radicals!$A$2:$A$215,0))</f>
        <v>mountain</v>
      </c>
      <c r="F246" s="8" t="n">
        <f aca="false">INDEX(Radicals!$D$2:$D$215,MATCH(C246,Radicals!$A$2:$A$215,0))</f>
        <v>3</v>
      </c>
      <c r="G246" s="8" t="n">
        <v>10</v>
      </c>
    </row>
    <row r="247" customFormat="false" ht="17.35" hidden="false" customHeight="false" outlineLevel="0" collapsed="false">
      <c r="A247" s="8" t="n">
        <v>246</v>
      </c>
      <c r="B247" s="9" t="s">
        <v>1320</v>
      </c>
      <c r="C247" s="8" t="n">
        <v>109</v>
      </c>
      <c r="D247" s="9" t="str">
        <f aca="false">INDEX(Radicals!$B$2:$B$215,MATCH(C247,Radicals!$A$2:$A$215,0))</f>
        <v>目</v>
      </c>
      <c r="E247" s="10" t="str">
        <f aca="false">INDEX(Radicals!$G$2:$G$215,MATCH(C247,Radicals!$A$2:$A$215,0))</f>
        <v>eye</v>
      </c>
      <c r="F247" s="8" t="n">
        <f aca="false">INDEX(Radicals!$D$2:$D$215,MATCH(C247,Radicals!$A$2:$A$215,0))</f>
        <v>5</v>
      </c>
      <c r="G247" s="8" t="n">
        <v>8</v>
      </c>
    </row>
    <row r="248" customFormat="false" ht="17.35" hidden="false" customHeight="false" outlineLevel="0" collapsed="false">
      <c r="A248" s="8" t="n">
        <v>247</v>
      </c>
      <c r="B248" s="9" t="s">
        <v>1321</v>
      </c>
      <c r="C248" s="8" t="n">
        <v>1</v>
      </c>
      <c r="D248" s="9" t="str">
        <f aca="false">INDEX(Radicals!$B$2:$B$215,MATCH(C248,Radicals!$A$2:$A$215,0))</f>
        <v>一</v>
      </c>
      <c r="E248" s="10" t="str">
        <f aca="false">INDEX(Radicals!$G$2:$G$215,MATCH(C248,Radicals!$A$2:$A$215,0))</f>
        <v>one</v>
      </c>
      <c r="F248" s="8" t="n">
        <f aca="false">INDEX(Radicals!$D$2:$D$215,MATCH(C248,Radicals!$A$2:$A$215,0))</f>
        <v>1</v>
      </c>
      <c r="G248" s="8" t="n">
        <v>6</v>
      </c>
    </row>
    <row r="249" customFormat="false" ht="17.35" hidden="false" customHeight="false" outlineLevel="0" collapsed="false">
      <c r="A249" s="8" t="n">
        <v>248</v>
      </c>
      <c r="B249" s="9" t="s">
        <v>1322</v>
      </c>
      <c r="C249" s="8" t="n">
        <v>74</v>
      </c>
      <c r="D249" s="9" t="str">
        <f aca="false">INDEX(Radicals!$B$2:$B$215,MATCH(C249,Radicals!$A$2:$A$215,0))</f>
        <v>月</v>
      </c>
      <c r="E249" s="10" t="str">
        <f aca="false">INDEX(Radicals!$G$2:$G$215,MATCH(C249,Radicals!$A$2:$A$215,0))</f>
        <v>moon, month</v>
      </c>
      <c r="F249" s="8" t="n">
        <f aca="false">INDEX(Radicals!$D$2:$D$215,MATCH(C249,Radicals!$A$2:$A$215,0))</f>
        <v>4</v>
      </c>
      <c r="G249" s="8" t="n">
        <v>12</v>
      </c>
    </row>
    <row r="250" customFormat="false" ht="17.35" hidden="false" customHeight="false" outlineLevel="0" collapsed="false">
      <c r="A250" s="8" t="n">
        <v>249</v>
      </c>
      <c r="B250" s="9" t="s">
        <v>928</v>
      </c>
      <c r="C250" s="8" t="n">
        <v>177</v>
      </c>
      <c r="D250" s="9" t="str">
        <f aca="false">INDEX(Radicals!$B$2:$B$215,MATCH(C250,Radicals!$A$2:$A$215,0))</f>
        <v>革</v>
      </c>
      <c r="E250" s="10" t="str">
        <f aca="false">INDEX(Radicals!$G$2:$G$215,MATCH(C250,Radicals!$A$2:$A$215,0))</f>
        <v>leather, to change</v>
      </c>
      <c r="F250" s="8" t="n">
        <f aca="false">INDEX(Radicals!$D$2:$D$215,MATCH(C250,Radicals!$A$2:$A$215,0))</f>
        <v>9</v>
      </c>
      <c r="G250" s="8" t="n">
        <v>9</v>
      </c>
    </row>
    <row r="251" customFormat="false" ht="17.35" hidden="false" customHeight="false" outlineLevel="0" collapsed="false">
      <c r="A251" s="8" t="n">
        <v>250</v>
      </c>
      <c r="B251" s="9" t="s">
        <v>1323</v>
      </c>
      <c r="C251" s="8" t="n">
        <v>9</v>
      </c>
      <c r="D251" s="9" t="str">
        <f aca="false">INDEX(Radicals!$B$2:$B$215,MATCH(C251,Radicals!$A$2:$A$215,0))</f>
        <v>人</v>
      </c>
      <c r="E251" s="10" t="str">
        <f aca="false">INDEX(Radicals!$G$2:$G$215,MATCH(C251,Radicals!$A$2:$A$215,0))</f>
        <v>person</v>
      </c>
      <c r="F251" s="8" t="n">
        <f aca="false">INDEX(Radicals!$D$2:$D$215,MATCH(C251,Radicals!$A$2:$A$215,0))</f>
        <v>2</v>
      </c>
      <c r="G251" s="8" t="n">
        <v>8</v>
      </c>
    </row>
    <row r="252" customFormat="false" ht="17.35" hidden="false" customHeight="false" outlineLevel="0" collapsed="false">
      <c r="A252" s="8" t="n">
        <v>251</v>
      </c>
      <c r="B252" s="9" t="s">
        <v>308</v>
      </c>
      <c r="C252" s="8" t="n">
        <v>56</v>
      </c>
      <c r="D252" s="9" t="str">
        <f aca="false">INDEX(Radicals!$B$2:$B$215,MATCH(C252,Radicals!$A$2:$A$215,0))</f>
        <v>弋</v>
      </c>
      <c r="E252" s="10" t="str">
        <f aca="false">INDEX(Radicals!$G$2:$G$215,MATCH(C252,Radicals!$A$2:$A$215,0))</f>
        <v>shoot, ceremony</v>
      </c>
      <c r="F252" s="8" t="n">
        <f aca="false">INDEX(Radicals!$D$2:$D$215,MATCH(C252,Radicals!$A$2:$A$215,0))</f>
        <v>3</v>
      </c>
      <c r="G252" s="8" t="n">
        <v>6</v>
      </c>
    </row>
    <row r="253" customFormat="false" ht="17.35" hidden="false" customHeight="false" outlineLevel="0" collapsed="false">
      <c r="A253" s="8" t="n">
        <v>252</v>
      </c>
      <c r="B253" s="9" t="s">
        <v>1324</v>
      </c>
      <c r="C253" s="8" t="n">
        <v>112</v>
      </c>
      <c r="D253" s="9" t="str">
        <f aca="false">INDEX(Radicals!$B$2:$B$215,MATCH(C253,Radicals!$A$2:$A$215,0))</f>
        <v>石</v>
      </c>
      <c r="E253" s="10" t="str">
        <f aca="false">INDEX(Radicals!$G$2:$G$215,MATCH(C253,Radicals!$A$2:$A$215,0))</f>
        <v>stone</v>
      </c>
      <c r="F253" s="8" t="n">
        <f aca="false">INDEX(Radicals!$D$2:$D$215,MATCH(C253,Radicals!$A$2:$A$215,0))</f>
        <v>5</v>
      </c>
      <c r="G253" s="8" t="n">
        <v>15</v>
      </c>
    </row>
    <row r="254" customFormat="false" ht="17.35" hidden="false" customHeight="false" outlineLevel="0" collapsed="false">
      <c r="A254" s="8" t="n">
        <v>253</v>
      </c>
      <c r="B254" s="9" t="s">
        <v>1325</v>
      </c>
      <c r="C254" s="8" t="n">
        <v>75</v>
      </c>
      <c r="D254" s="9" t="str">
        <f aca="false">INDEX(Radicals!$B$2:$B$215,MATCH(C254,Radicals!$A$2:$A$215,0))</f>
        <v>木</v>
      </c>
      <c r="E254" s="10" t="str">
        <f aca="false">INDEX(Radicals!$G$2:$G$215,MATCH(C254,Radicals!$A$2:$A$215,0))</f>
        <v>tree, wood</v>
      </c>
      <c r="F254" s="8" t="n">
        <f aca="false">INDEX(Radicals!$D$2:$D$215,MATCH(C254,Radicals!$A$2:$A$215,0))</f>
        <v>4</v>
      </c>
      <c r="G254" s="8" t="n">
        <v>7</v>
      </c>
    </row>
    <row r="255" customFormat="false" ht="17.35" hidden="false" customHeight="false" outlineLevel="0" collapsed="false">
      <c r="A255" s="8" t="n">
        <v>254</v>
      </c>
      <c r="B255" s="9" t="s">
        <v>1326</v>
      </c>
      <c r="C255" s="8" t="n">
        <v>64</v>
      </c>
      <c r="D255" s="9" t="str">
        <f aca="false">INDEX(Radicals!$B$2:$B$215,MATCH(C255,Radicals!$A$2:$A$215,0))</f>
        <v>手</v>
      </c>
      <c r="E255" s="10" t="str">
        <f aca="false">INDEX(Radicals!$G$2:$G$215,MATCH(C255,Radicals!$A$2:$A$215,0))</f>
        <v>hand</v>
      </c>
      <c r="F255" s="8" t="n">
        <f aca="false">INDEX(Radicals!$D$2:$D$215,MATCH(C255,Radicals!$A$2:$A$215,0))</f>
        <v>4</v>
      </c>
      <c r="G255" s="8" t="n">
        <v>12</v>
      </c>
    </row>
    <row r="256" customFormat="false" ht="17.35" hidden="false" customHeight="false" outlineLevel="0" collapsed="false">
      <c r="A256" s="8" t="n">
        <v>255</v>
      </c>
      <c r="B256" s="9" t="s">
        <v>1327</v>
      </c>
      <c r="C256" s="8" t="n">
        <v>162</v>
      </c>
      <c r="D256" s="9" t="str">
        <f aca="false">INDEX(Radicals!$B$2:$B$215,MATCH(C256,Radicals!$A$2:$A$215,0))</f>
        <v>辵</v>
      </c>
      <c r="E256" s="10" t="str">
        <f aca="false">INDEX(Radicals!$G$2:$G$215,MATCH(C256,Radicals!$A$2:$A$215,0))</f>
        <v>walk, movement</v>
      </c>
      <c r="F256" s="8" t="n">
        <f aca="false">INDEX(Radicals!$D$2:$D$215,MATCH(C256,Radicals!$A$2:$A$215,0))</f>
        <v>7</v>
      </c>
      <c r="G256" s="8" t="n">
        <v>12</v>
      </c>
    </row>
    <row r="257" customFormat="false" ht="17.35" hidden="false" customHeight="false" outlineLevel="0" collapsed="false">
      <c r="A257" s="8" t="n">
        <v>256</v>
      </c>
      <c r="B257" s="9" t="s">
        <v>1328</v>
      </c>
      <c r="C257" s="8" t="n">
        <v>120</v>
      </c>
      <c r="D257" s="9" t="str">
        <f aca="false">INDEX(Radicals!$B$2:$B$215,MATCH(C257,Radicals!$A$2:$A$215,0))</f>
        <v>糸</v>
      </c>
      <c r="E257" s="10" t="str">
        <f aca="false">INDEX(Radicals!$G$2:$G$215,MATCH(C257,Radicals!$A$2:$A$215,0))</f>
        <v>thread, silk</v>
      </c>
      <c r="F257" s="8" t="n">
        <f aca="false">INDEX(Radicals!$D$2:$D$215,MATCH(C257,Radicals!$A$2:$A$215,0))</f>
        <v>6</v>
      </c>
      <c r="G257" s="8" t="n">
        <v>11</v>
      </c>
    </row>
    <row r="258" customFormat="false" ht="17.35" hidden="false" customHeight="false" outlineLevel="0" collapsed="false">
      <c r="A258" s="8" t="n">
        <v>257</v>
      </c>
      <c r="B258" s="9" t="s">
        <v>1329</v>
      </c>
      <c r="C258" s="8" t="n">
        <v>64</v>
      </c>
      <c r="D258" s="9" t="str">
        <f aca="false">INDEX(Radicals!$B$2:$B$215,MATCH(C258,Radicals!$A$2:$A$215,0))</f>
        <v>手</v>
      </c>
      <c r="E258" s="10" t="str">
        <f aca="false">INDEX(Radicals!$G$2:$G$215,MATCH(C258,Radicals!$A$2:$A$215,0))</f>
        <v>hand</v>
      </c>
      <c r="F258" s="8" t="n">
        <f aca="false">INDEX(Radicals!$D$2:$D$215,MATCH(C258,Radicals!$A$2:$A$215,0))</f>
        <v>4</v>
      </c>
      <c r="G258" s="8" t="n">
        <v>10</v>
      </c>
    </row>
    <row r="259" customFormat="false" ht="17.35" hidden="false" customHeight="false" outlineLevel="0" collapsed="false">
      <c r="A259" s="8" t="n">
        <v>258</v>
      </c>
      <c r="B259" s="9" t="s">
        <v>1330</v>
      </c>
      <c r="C259" s="8" t="n">
        <v>75</v>
      </c>
      <c r="D259" s="9" t="str">
        <f aca="false">INDEX(Radicals!$B$2:$B$215,MATCH(C259,Radicals!$A$2:$A$215,0))</f>
        <v>木</v>
      </c>
      <c r="E259" s="10" t="str">
        <f aca="false">INDEX(Radicals!$G$2:$G$215,MATCH(C259,Radicals!$A$2:$A$215,0))</f>
        <v>tree, wood</v>
      </c>
      <c r="F259" s="8" t="n">
        <f aca="false">INDEX(Radicals!$D$2:$D$215,MATCH(C259,Radicals!$A$2:$A$215,0))</f>
        <v>4</v>
      </c>
      <c r="G259" s="8" t="n">
        <v>8</v>
      </c>
    </row>
    <row r="260" customFormat="false" ht="17.35" hidden="false" customHeight="false" outlineLevel="0" collapsed="false">
      <c r="A260" s="8" t="n">
        <v>259</v>
      </c>
      <c r="B260" s="9" t="s">
        <v>1331</v>
      </c>
      <c r="C260" s="8" t="n">
        <v>146</v>
      </c>
      <c r="D260" s="9" t="str">
        <f aca="false">INDEX(Radicals!$B$2:$B$215,MATCH(C260,Radicals!$A$2:$A$215,0))</f>
        <v>襾</v>
      </c>
      <c r="E260" s="10" t="str">
        <f aca="false">INDEX(Radicals!$G$2:$G$215,MATCH(C260,Radicals!$A$2:$A$215,0))</f>
        <v>west, cover</v>
      </c>
      <c r="F260" s="8" t="n">
        <f aca="false">INDEX(Radicals!$D$2:$D$215,MATCH(C260,Radicals!$A$2:$A$215,0))</f>
        <v>6</v>
      </c>
      <c r="G260" s="8" t="n">
        <v>6</v>
      </c>
    </row>
    <row r="261" customFormat="false" ht="17.35" hidden="false" customHeight="false" outlineLevel="0" collapsed="false">
      <c r="A261" s="8" t="n">
        <v>260</v>
      </c>
      <c r="B261" s="9" t="s">
        <v>1332</v>
      </c>
      <c r="C261" s="8" t="n">
        <v>19</v>
      </c>
      <c r="D261" s="9" t="str">
        <f aca="false">INDEX(Radicals!$B$2:$B$215,MATCH(C261,Radicals!$A$2:$A$215,0))</f>
        <v>力</v>
      </c>
      <c r="E261" s="10" t="str">
        <f aca="false">INDEX(Radicals!$G$2:$G$215,MATCH(C261,Radicals!$A$2:$A$215,0))</f>
        <v>power, strength</v>
      </c>
      <c r="F261" s="8" t="n">
        <f aca="false">INDEX(Radicals!$D$2:$D$215,MATCH(C261,Radicals!$A$2:$A$215,0))</f>
        <v>2</v>
      </c>
      <c r="G261" s="8" t="n">
        <v>13</v>
      </c>
    </row>
    <row r="262" customFormat="false" ht="17.35" hidden="false" customHeight="false" outlineLevel="0" collapsed="false">
      <c r="A262" s="8" t="n">
        <v>261</v>
      </c>
      <c r="B262" s="9" t="s">
        <v>1333</v>
      </c>
      <c r="C262" s="8" t="n">
        <v>85</v>
      </c>
      <c r="D262" s="9" t="str">
        <f aca="false">INDEX(Radicals!$B$2:$B$215,MATCH(C262,Radicals!$A$2:$A$215,0))</f>
        <v>水</v>
      </c>
      <c r="E262" s="10" t="str">
        <f aca="false">INDEX(Radicals!$G$2:$G$215,MATCH(C262,Radicals!$A$2:$A$215,0))</f>
        <v>water</v>
      </c>
      <c r="F262" s="8" t="n">
        <f aca="false">INDEX(Radicals!$D$2:$D$215,MATCH(C262,Radicals!$A$2:$A$215,0))</f>
        <v>4</v>
      </c>
      <c r="G262" s="8" t="n">
        <v>12</v>
      </c>
    </row>
    <row r="263" customFormat="false" ht="17.35" hidden="false" customHeight="false" outlineLevel="0" collapsed="false">
      <c r="A263" s="8" t="n">
        <v>262</v>
      </c>
      <c r="B263" s="9" t="s">
        <v>1334</v>
      </c>
      <c r="C263" s="8" t="n">
        <v>30</v>
      </c>
      <c r="D263" s="9" t="str">
        <f aca="false">INDEX(Radicals!$B$2:$B$215,MATCH(C263,Radicals!$A$2:$A$215,0))</f>
        <v>口</v>
      </c>
      <c r="E263" s="10" t="str">
        <f aca="false">INDEX(Radicals!$G$2:$G$215,MATCH(C263,Radicals!$A$2:$A$215,0))</f>
        <v>mouth</v>
      </c>
      <c r="F263" s="8" t="n">
        <f aca="false">INDEX(Radicals!$D$2:$D$215,MATCH(C263,Radicals!$A$2:$A$215,0))</f>
        <v>3</v>
      </c>
      <c r="G263" s="8" t="n">
        <v>5</v>
      </c>
    </row>
    <row r="264" customFormat="false" ht="17.35" hidden="false" customHeight="false" outlineLevel="0" collapsed="false">
      <c r="A264" s="8" t="n">
        <v>263</v>
      </c>
      <c r="B264" s="9" t="s">
        <v>1335</v>
      </c>
      <c r="C264" s="8" t="n">
        <v>53</v>
      </c>
      <c r="D264" s="9" t="str">
        <f aca="false">INDEX(Radicals!$B$2:$B$215,MATCH(C264,Radicals!$A$2:$A$215,0))</f>
        <v>广</v>
      </c>
      <c r="E264" s="10" t="str">
        <f aca="false">INDEX(Radicals!$G$2:$G$215,MATCH(C264,Radicals!$A$2:$A$215,0))</f>
        <v>dotted cliff, building</v>
      </c>
      <c r="F264" s="8" t="n">
        <f aca="false">INDEX(Radicals!$D$2:$D$215,MATCH(C264,Radicals!$A$2:$A$215,0))</f>
        <v>3</v>
      </c>
      <c r="G264" s="8" t="n">
        <v>5</v>
      </c>
    </row>
    <row r="265" customFormat="false" ht="17.35" hidden="false" customHeight="false" outlineLevel="0" collapsed="false">
      <c r="A265" s="8" t="n">
        <v>264</v>
      </c>
      <c r="B265" s="9" t="s">
        <v>1336</v>
      </c>
      <c r="C265" s="8" t="n">
        <v>40</v>
      </c>
      <c r="D265" s="9" t="str">
        <f aca="false">INDEX(Radicals!$B$2:$B$215,MATCH(C265,Radicals!$A$2:$A$215,0))</f>
        <v>宀</v>
      </c>
      <c r="E265" s="10" t="str">
        <f aca="false">INDEX(Radicals!$G$2:$G$215,MATCH(C265,Radicals!$A$2:$A$215,0))</f>
        <v>roof</v>
      </c>
      <c r="F265" s="8" t="n">
        <f aca="false">INDEX(Radicals!$D$2:$D$215,MATCH(C265,Radicals!$A$2:$A$215,0))</f>
        <v>3</v>
      </c>
      <c r="G265" s="8" t="n">
        <v>10</v>
      </c>
    </row>
    <row r="266" customFormat="false" ht="17.35" hidden="false" customHeight="false" outlineLevel="0" collapsed="false">
      <c r="A266" s="8" t="n">
        <v>265</v>
      </c>
      <c r="B266" s="9" t="s">
        <v>1337</v>
      </c>
      <c r="C266" s="8" t="n">
        <v>61</v>
      </c>
      <c r="D266" s="9" t="str">
        <f aca="false">INDEX(Radicals!$B$2:$B$215,MATCH(C266,Radicals!$A$2:$A$215,0))</f>
        <v>心</v>
      </c>
      <c r="E266" s="10" t="str">
        <f aca="false">INDEX(Radicals!$G$2:$G$215,MATCH(C266,Radicals!$A$2:$A$215,0))</f>
        <v>heart, mind</v>
      </c>
      <c r="F266" s="8" t="n">
        <f aca="false">INDEX(Radicals!$D$2:$D$215,MATCH(C266,Radicals!$A$2:$A$215,0))</f>
        <v>4</v>
      </c>
      <c r="G266" s="8" t="n">
        <v>5</v>
      </c>
    </row>
    <row r="267" customFormat="false" ht="17.35" hidden="false" customHeight="false" outlineLevel="0" collapsed="false">
      <c r="A267" s="8" t="n">
        <v>266</v>
      </c>
      <c r="B267" s="9" t="s">
        <v>1338</v>
      </c>
      <c r="C267" s="8" t="n">
        <v>61</v>
      </c>
      <c r="D267" s="9" t="str">
        <f aca="false">INDEX(Radicals!$B$2:$B$215,MATCH(C267,Radicals!$A$2:$A$215,0))</f>
        <v>心</v>
      </c>
      <c r="E267" s="10" t="str">
        <f aca="false">INDEX(Radicals!$G$2:$G$215,MATCH(C267,Radicals!$A$2:$A$215,0))</f>
        <v>heart, mind</v>
      </c>
      <c r="F267" s="8" t="n">
        <f aca="false">INDEX(Radicals!$D$2:$D$215,MATCH(C267,Radicals!$A$2:$A$215,0))</f>
        <v>4</v>
      </c>
      <c r="G267" s="8" t="n">
        <v>7</v>
      </c>
    </row>
    <row r="268" customFormat="false" ht="17.35" hidden="false" customHeight="false" outlineLevel="0" collapsed="false">
      <c r="A268" s="8" t="n">
        <v>267</v>
      </c>
      <c r="B268" s="9" t="s">
        <v>1339</v>
      </c>
      <c r="C268" s="8" t="n">
        <v>85</v>
      </c>
      <c r="D268" s="9" t="str">
        <f aca="false">INDEX(Radicals!$B$2:$B$215,MATCH(C268,Radicals!$A$2:$A$215,0))</f>
        <v>水</v>
      </c>
      <c r="E268" s="10" t="str">
        <f aca="false">INDEX(Radicals!$G$2:$G$215,MATCH(C268,Radicals!$A$2:$A$215,0))</f>
        <v>water</v>
      </c>
      <c r="F268" s="8" t="n">
        <f aca="false">INDEX(Radicals!$D$2:$D$215,MATCH(C268,Radicals!$A$2:$A$215,0))</f>
        <v>4</v>
      </c>
      <c r="G268" s="8" t="n">
        <v>14</v>
      </c>
    </row>
    <row r="269" customFormat="false" ht="17.35" hidden="false" customHeight="false" outlineLevel="0" collapsed="false">
      <c r="A269" s="8" t="n">
        <v>268</v>
      </c>
      <c r="B269" s="9" t="s">
        <v>1340</v>
      </c>
      <c r="C269" s="8" t="n">
        <v>173</v>
      </c>
      <c r="D269" s="9" t="str">
        <f aca="false">INDEX(Radicals!$B$2:$B$215,MATCH(C269,Radicals!$A$2:$A$215,0))</f>
        <v>雨</v>
      </c>
      <c r="E269" s="10" t="str">
        <f aca="false">INDEX(Radicals!$G$2:$G$215,MATCH(C269,Radicals!$A$2:$A$215,0))</f>
        <v>rain</v>
      </c>
      <c r="F269" s="8" t="n">
        <f aca="false">INDEX(Radicals!$D$2:$D$215,MATCH(C269,Radicals!$A$2:$A$215,0))</f>
        <v>8</v>
      </c>
      <c r="G269" s="8" t="n">
        <v>13</v>
      </c>
    </row>
    <row r="270" customFormat="false" ht="17.35" hidden="false" customHeight="false" outlineLevel="0" collapsed="false">
      <c r="A270" s="8" t="n">
        <v>269</v>
      </c>
      <c r="B270" s="9" t="s">
        <v>1341</v>
      </c>
      <c r="C270" s="8" t="n">
        <v>77</v>
      </c>
      <c r="D270" s="9" t="str">
        <f aca="false">INDEX(Radicals!$B$2:$B$215,MATCH(C270,Radicals!$A$2:$A$215,0))</f>
        <v>止</v>
      </c>
      <c r="E270" s="10" t="str">
        <f aca="false">INDEX(Radicals!$G$2:$G$215,MATCH(C270,Radicals!$A$2:$A$215,0))</f>
        <v>stop</v>
      </c>
      <c r="F270" s="8" t="n">
        <f aca="false">INDEX(Radicals!$D$2:$D$215,MATCH(C270,Radicals!$A$2:$A$215,0))</f>
        <v>4</v>
      </c>
      <c r="G270" s="8" t="n">
        <v>13</v>
      </c>
    </row>
    <row r="271" customFormat="false" ht="17.35" hidden="false" customHeight="false" outlineLevel="0" collapsed="false">
      <c r="A271" s="8" t="n">
        <v>270</v>
      </c>
      <c r="B271" s="9" t="s">
        <v>1342</v>
      </c>
      <c r="C271" s="8" t="n">
        <v>9</v>
      </c>
      <c r="D271" s="9" t="str">
        <f aca="false">INDEX(Radicals!$B$2:$B$215,MATCH(C271,Radicals!$A$2:$A$215,0))</f>
        <v>人</v>
      </c>
      <c r="E271" s="10" t="str">
        <f aca="false">INDEX(Radicals!$G$2:$G$215,MATCH(C271,Radicals!$A$2:$A$215,0))</f>
        <v>person</v>
      </c>
      <c r="F271" s="8" t="n">
        <f aca="false">INDEX(Radicals!$D$2:$D$215,MATCH(C271,Radicals!$A$2:$A$215,0))</f>
        <v>2</v>
      </c>
      <c r="G271" s="8" t="n">
        <v>7</v>
      </c>
    </row>
    <row r="272" customFormat="false" ht="17.35" hidden="false" customHeight="false" outlineLevel="0" collapsed="false">
      <c r="A272" s="8" t="n">
        <v>271</v>
      </c>
      <c r="B272" s="9" t="s">
        <v>1343</v>
      </c>
      <c r="C272" s="8" t="n">
        <v>6</v>
      </c>
      <c r="D272" s="9" t="str">
        <f aca="false">INDEX(Radicals!$B$2:$B$215,MATCH(C272,Radicals!$A$2:$A$215,0))</f>
        <v>亅</v>
      </c>
      <c r="E272" s="10" t="str">
        <f aca="false">INDEX(Radicals!$G$2:$G$215,MATCH(C272,Radicals!$A$2:$A$215,0))</f>
        <v>hook, barb</v>
      </c>
      <c r="F272" s="8" t="n">
        <f aca="false">INDEX(Radicals!$D$2:$D$215,MATCH(C272,Radicals!$A$2:$A$215,0))</f>
        <v>1</v>
      </c>
      <c r="G272" s="8" t="n">
        <v>6</v>
      </c>
    </row>
    <row r="273" customFormat="false" ht="17.35" hidden="false" customHeight="false" outlineLevel="0" collapsed="false">
      <c r="A273" s="8" t="n">
        <v>272</v>
      </c>
      <c r="B273" s="9" t="s">
        <v>1344</v>
      </c>
      <c r="C273" s="8" t="n">
        <v>149</v>
      </c>
      <c r="D273" s="9" t="str">
        <f aca="false">INDEX(Radicals!$B$2:$B$215,MATCH(C273,Radicals!$A$2:$A$215,0))</f>
        <v>言</v>
      </c>
      <c r="E273" s="10" t="str">
        <f aca="false">INDEX(Radicals!$G$2:$G$215,MATCH(C273,Radicals!$A$2:$A$215,0))</f>
        <v>speech, say</v>
      </c>
      <c r="F273" s="8" t="n">
        <f aca="false">INDEX(Radicals!$D$2:$D$215,MATCH(C273,Radicals!$A$2:$A$215,0))</f>
        <v>7</v>
      </c>
      <c r="G273" s="8" t="n">
        <v>15</v>
      </c>
    </row>
    <row r="274" customFormat="false" ht="17.35" hidden="false" customHeight="false" outlineLevel="0" collapsed="false">
      <c r="A274" s="8" t="n">
        <v>273</v>
      </c>
      <c r="B274" s="9" t="s">
        <v>1345</v>
      </c>
      <c r="C274" s="8" t="n">
        <v>130</v>
      </c>
      <c r="D274" s="9" t="str">
        <f aca="false">INDEX(Radicals!$B$2:$B$215,MATCH(C274,Radicals!$A$2:$A$215,0))</f>
        <v>肉</v>
      </c>
      <c r="E274" s="10" t="str">
        <f aca="false">INDEX(Radicals!$G$2:$G$215,MATCH(C274,Radicals!$A$2:$A$215,0))</f>
        <v>meat, flesh</v>
      </c>
      <c r="F274" s="8" t="n">
        <f aca="false">INDEX(Radicals!$D$2:$D$215,MATCH(C274,Radicals!$A$2:$A$215,0))</f>
        <v>6</v>
      </c>
      <c r="G274" s="8" t="n">
        <v>10</v>
      </c>
    </row>
    <row r="275" customFormat="false" ht="17.35" hidden="false" customHeight="false" outlineLevel="0" collapsed="false">
      <c r="A275" s="8" t="n">
        <v>274</v>
      </c>
      <c r="B275" s="9" t="s">
        <v>1346</v>
      </c>
      <c r="C275" s="8" t="n">
        <v>86</v>
      </c>
      <c r="D275" s="9" t="str">
        <f aca="false">INDEX(Radicals!$B$2:$B$215,MATCH(C275,Radicals!$A$2:$A$215,0))</f>
        <v>火</v>
      </c>
      <c r="E275" s="10" t="str">
        <f aca="false">INDEX(Radicals!$G$2:$G$215,MATCH(C275,Radicals!$A$2:$A$215,0))</f>
        <v>fire</v>
      </c>
      <c r="F275" s="8" t="n">
        <f aca="false">INDEX(Radicals!$D$2:$D$215,MATCH(C275,Radicals!$A$2:$A$215,0))</f>
        <v>4</v>
      </c>
      <c r="G275" s="8" t="n">
        <v>12</v>
      </c>
    </row>
    <row r="276" customFormat="false" ht="17.35" hidden="false" customHeight="false" outlineLevel="0" collapsed="false">
      <c r="A276" s="8" t="n">
        <v>275</v>
      </c>
      <c r="B276" s="9" t="s">
        <v>1347</v>
      </c>
      <c r="C276" s="8" t="n">
        <v>13</v>
      </c>
      <c r="D276" s="9" t="str">
        <f aca="false">INDEX(Radicals!$B$2:$B$215,MATCH(C276,Radicals!$A$2:$A$215,0))</f>
        <v>冂</v>
      </c>
      <c r="E276" s="10" t="str">
        <f aca="false">INDEX(Radicals!$G$2:$G$215,MATCH(C276,Radicals!$A$2:$A$215,0))</f>
        <v>down box, upside-down box</v>
      </c>
      <c r="F276" s="8" t="n">
        <f aca="false">INDEX(Radicals!$D$2:$D$215,MATCH(C276,Radicals!$A$2:$A$215,0))</f>
        <v>2</v>
      </c>
      <c r="G276" s="8" t="n">
        <v>6</v>
      </c>
    </row>
    <row r="277" customFormat="false" ht="17.35" hidden="false" customHeight="false" outlineLevel="0" collapsed="false">
      <c r="A277" s="8" t="n">
        <v>276</v>
      </c>
      <c r="B277" s="9" t="s">
        <v>1348</v>
      </c>
      <c r="C277" s="8" t="n">
        <v>9</v>
      </c>
      <c r="D277" s="9" t="str">
        <f aca="false">INDEX(Radicals!$B$2:$B$215,MATCH(C277,Radicals!$A$2:$A$215,0))</f>
        <v>人</v>
      </c>
      <c r="E277" s="10" t="str">
        <f aca="false">INDEX(Radicals!$G$2:$G$215,MATCH(C277,Radicals!$A$2:$A$215,0))</f>
        <v>person</v>
      </c>
      <c r="F277" s="8" t="n">
        <f aca="false">INDEX(Radicals!$D$2:$D$215,MATCH(C277,Radicals!$A$2:$A$215,0))</f>
        <v>2</v>
      </c>
      <c r="G277" s="8" t="n">
        <v>7</v>
      </c>
    </row>
    <row r="278" customFormat="false" ht="17.35" hidden="false" customHeight="false" outlineLevel="0" collapsed="false">
      <c r="A278" s="8" t="n">
        <v>277</v>
      </c>
      <c r="B278" s="9" t="s">
        <v>1349</v>
      </c>
      <c r="C278" s="8" t="n">
        <v>122</v>
      </c>
      <c r="D278" s="9" t="str">
        <f aca="false">INDEX(Radicals!$B$2:$B$215,MATCH(C278,Radicals!$A$2:$A$215,0))</f>
        <v>网</v>
      </c>
      <c r="E278" s="10" t="str">
        <f aca="false">INDEX(Radicals!$G$2:$G$215,MATCH(C278,Radicals!$A$2:$A$215,0))</f>
        <v>net</v>
      </c>
      <c r="F278" s="8" t="n">
        <f aca="false">INDEX(Radicals!$D$2:$D$215,MATCH(C278,Radicals!$A$2:$A$215,0))</f>
        <v>6</v>
      </c>
      <c r="G278" s="8" t="n">
        <v>13</v>
      </c>
    </row>
    <row r="279" customFormat="false" ht="17.35" hidden="false" customHeight="false" outlineLevel="0" collapsed="false">
      <c r="A279" s="8" t="n">
        <v>278</v>
      </c>
      <c r="B279" s="9" t="s">
        <v>1350</v>
      </c>
      <c r="C279" s="8" t="n">
        <v>9</v>
      </c>
      <c r="D279" s="9" t="str">
        <f aca="false">INDEX(Radicals!$B$2:$B$215,MATCH(C279,Radicals!$A$2:$A$215,0))</f>
        <v>人</v>
      </c>
      <c r="E279" s="10" t="str">
        <f aca="false">INDEX(Radicals!$G$2:$G$215,MATCH(C279,Radicals!$A$2:$A$215,0))</f>
        <v>person</v>
      </c>
      <c r="F279" s="8" t="n">
        <f aca="false">INDEX(Radicals!$D$2:$D$215,MATCH(C279,Radicals!$A$2:$A$215,0))</f>
        <v>2</v>
      </c>
      <c r="G279" s="8" t="n">
        <v>6</v>
      </c>
    </row>
    <row r="280" customFormat="false" ht="17.35" hidden="false" customHeight="false" outlineLevel="0" collapsed="false">
      <c r="A280" s="8" t="n">
        <v>279</v>
      </c>
      <c r="B280" s="9" t="s">
        <v>1351</v>
      </c>
      <c r="C280" s="8" t="n">
        <v>109</v>
      </c>
      <c r="D280" s="9" t="str">
        <f aca="false">INDEX(Radicals!$B$2:$B$215,MATCH(C280,Radicals!$A$2:$A$215,0))</f>
        <v>目</v>
      </c>
      <c r="E280" s="10" t="str">
        <f aca="false">INDEX(Radicals!$G$2:$G$215,MATCH(C280,Radicals!$A$2:$A$215,0))</f>
        <v>eye</v>
      </c>
      <c r="F280" s="8" t="n">
        <f aca="false">INDEX(Radicals!$D$2:$D$215,MATCH(C280,Radicals!$A$2:$A$215,0))</f>
        <v>5</v>
      </c>
      <c r="G280" s="8" t="n">
        <v>10</v>
      </c>
    </row>
    <row r="281" customFormat="false" ht="17.35" hidden="false" customHeight="false" outlineLevel="0" collapsed="false">
      <c r="A281" s="8" t="n">
        <v>280</v>
      </c>
      <c r="B281" s="9" t="s">
        <v>1352</v>
      </c>
      <c r="C281" s="8" t="n">
        <v>85</v>
      </c>
      <c r="D281" s="9" t="str">
        <f aca="false">INDEX(Radicals!$B$2:$B$215,MATCH(C281,Radicals!$A$2:$A$215,0))</f>
        <v>水</v>
      </c>
      <c r="E281" s="10" t="str">
        <f aca="false">INDEX(Radicals!$G$2:$G$215,MATCH(C281,Radicals!$A$2:$A$215,0))</f>
        <v>water</v>
      </c>
      <c r="F281" s="8" t="n">
        <f aca="false">INDEX(Radicals!$D$2:$D$215,MATCH(C281,Radicals!$A$2:$A$215,0))</f>
        <v>4</v>
      </c>
      <c r="G281" s="8" t="n">
        <v>10</v>
      </c>
    </row>
    <row r="282" customFormat="false" ht="17.35" hidden="false" customHeight="false" outlineLevel="0" collapsed="false">
      <c r="A282" s="8" t="n">
        <v>281</v>
      </c>
      <c r="B282" s="9" t="s">
        <v>1353</v>
      </c>
      <c r="C282" s="8" t="n">
        <v>75</v>
      </c>
      <c r="D282" s="9" t="str">
        <f aca="false">INDEX(Radicals!$B$2:$B$215,MATCH(C282,Radicals!$A$2:$A$215,0))</f>
        <v>木</v>
      </c>
      <c r="E282" s="10" t="str">
        <f aca="false">INDEX(Radicals!$G$2:$G$215,MATCH(C282,Radicals!$A$2:$A$215,0))</f>
        <v>tree, wood</v>
      </c>
      <c r="F282" s="8" t="n">
        <f aca="false">INDEX(Radicals!$D$2:$D$215,MATCH(C282,Radicals!$A$2:$A$215,0))</f>
        <v>4</v>
      </c>
      <c r="G282" s="8" t="n">
        <v>10</v>
      </c>
    </row>
    <row r="283" customFormat="false" ht="17.35" hidden="false" customHeight="false" outlineLevel="0" collapsed="false">
      <c r="A283" s="8" t="n">
        <v>282</v>
      </c>
      <c r="B283" s="9" t="s">
        <v>1354</v>
      </c>
      <c r="C283" s="8" t="n">
        <v>74</v>
      </c>
      <c r="D283" s="9" t="str">
        <f aca="false">INDEX(Radicals!$B$2:$B$215,MATCH(C283,Radicals!$A$2:$A$215,0))</f>
        <v>月</v>
      </c>
      <c r="E283" s="10" t="str">
        <f aca="false">INDEX(Radicals!$G$2:$G$215,MATCH(C283,Radicals!$A$2:$A$215,0))</f>
        <v>moon, month</v>
      </c>
      <c r="F283" s="8" t="n">
        <f aca="false">INDEX(Radicals!$D$2:$D$215,MATCH(C283,Radicals!$A$2:$A$215,0))</f>
        <v>4</v>
      </c>
      <c r="G283" s="8" t="n">
        <v>6</v>
      </c>
    </row>
    <row r="284" customFormat="false" ht="17.35" hidden="false" customHeight="false" outlineLevel="0" collapsed="false">
      <c r="A284" s="8" t="n">
        <v>283</v>
      </c>
      <c r="B284" s="9" t="s">
        <v>1355</v>
      </c>
      <c r="C284" s="8" t="n">
        <v>103</v>
      </c>
      <c r="D284" s="9" t="str">
        <f aca="false">INDEX(Radicals!$B$2:$B$215,MATCH(C284,Radicals!$A$2:$A$215,0))</f>
        <v>疋</v>
      </c>
      <c r="E284" s="10" t="str">
        <f aca="false">INDEX(Radicals!$G$2:$G$215,MATCH(C284,Radicals!$A$2:$A$215,0))</f>
        <v>bolt of cloth</v>
      </c>
      <c r="F284" s="8" t="n">
        <f aca="false">INDEX(Radicals!$D$2:$D$215,MATCH(C284,Radicals!$A$2:$A$215,0))</f>
        <v>5</v>
      </c>
      <c r="G284" s="8" t="n">
        <v>14</v>
      </c>
    </row>
    <row r="285" customFormat="false" ht="17.35" hidden="false" customHeight="false" outlineLevel="0" collapsed="false">
      <c r="A285" s="8" t="n">
        <v>284</v>
      </c>
      <c r="B285" s="9" t="s">
        <v>168</v>
      </c>
      <c r="C285" s="8" t="n">
        <v>30</v>
      </c>
      <c r="D285" s="9" t="str">
        <f aca="false">INDEX(Radicals!$B$2:$B$215,MATCH(C285,Radicals!$A$2:$A$215,0))</f>
        <v>口</v>
      </c>
      <c r="E285" s="10" t="str">
        <f aca="false">INDEX(Radicals!$G$2:$G$215,MATCH(C285,Radicals!$A$2:$A$215,0))</f>
        <v>mouth</v>
      </c>
      <c r="F285" s="8" t="n">
        <f aca="false">INDEX(Radicals!$D$2:$D$215,MATCH(C285,Radicals!$A$2:$A$215,0))</f>
        <v>3</v>
      </c>
      <c r="G285" s="8" t="n">
        <v>3</v>
      </c>
    </row>
    <row r="286" customFormat="false" ht="17.35" hidden="false" customHeight="false" outlineLevel="0" collapsed="false">
      <c r="A286" s="8" t="n">
        <v>285</v>
      </c>
      <c r="B286" s="9" t="s">
        <v>1356</v>
      </c>
      <c r="C286" s="8" t="n">
        <v>162</v>
      </c>
      <c r="D286" s="9" t="str">
        <f aca="false">INDEX(Radicals!$B$2:$B$215,MATCH(C286,Radicals!$A$2:$A$215,0))</f>
        <v>辵</v>
      </c>
      <c r="E286" s="10" t="str">
        <f aca="false">INDEX(Radicals!$G$2:$G$215,MATCH(C286,Radicals!$A$2:$A$215,0))</f>
        <v>walk, movement</v>
      </c>
      <c r="F286" s="8" t="n">
        <f aca="false">INDEX(Radicals!$D$2:$D$215,MATCH(C286,Radicals!$A$2:$A$215,0))</f>
        <v>7</v>
      </c>
      <c r="G286" s="8" t="n">
        <v>12</v>
      </c>
    </row>
    <row r="287" customFormat="false" ht="17.35" hidden="false" customHeight="false" outlineLevel="0" collapsed="false">
      <c r="A287" s="8" t="n">
        <v>286</v>
      </c>
      <c r="B287" s="9" t="s">
        <v>1357</v>
      </c>
      <c r="C287" s="8" t="n">
        <v>44</v>
      </c>
      <c r="D287" s="9" t="str">
        <f aca="false">INDEX(Radicals!$B$2:$B$215,MATCH(C287,Radicals!$A$2:$A$215,0))</f>
        <v>尸</v>
      </c>
      <c r="E287" s="10" t="str">
        <f aca="false">INDEX(Radicals!$G$2:$G$215,MATCH(C287,Radicals!$A$2:$A$215,0))</f>
        <v>corpse, body</v>
      </c>
      <c r="F287" s="8" t="n">
        <f aca="false">INDEX(Radicals!$D$2:$D$215,MATCH(C287,Radicals!$A$2:$A$215,0))</f>
        <v>3</v>
      </c>
      <c r="G287" s="8" t="n">
        <v>7</v>
      </c>
    </row>
    <row r="288" customFormat="false" ht="17.35" hidden="false" customHeight="false" outlineLevel="0" collapsed="false">
      <c r="A288" s="8" t="n">
        <v>287</v>
      </c>
      <c r="B288" s="9" t="s">
        <v>1358</v>
      </c>
      <c r="C288" s="8" t="n">
        <v>42</v>
      </c>
      <c r="D288" s="9" t="str">
        <f aca="false">INDEX(Radicals!$B$2:$B$215,MATCH(C288,Radicals!$A$2:$A$215,0))</f>
        <v>小</v>
      </c>
      <c r="E288" s="10" t="str">
        <f aca="false">INDEX(Radicals!$G$2:$G$215,MATCH(C288,Radicals!$A$2:$A$215,0))</f>
        <v>small</v>
      </c>
      <c r="F288" s="8" t="n">
        <f aca="false">INDEX(Radicals!$D$2:$D$215,MATCH(C288,Radicals!$A$2:$A$215,0))</f>
        <v>3</v>
      </c>
      <c r="G288" s="8" t="n">
        <v>4</v>
      </c>
    </row>
    <row r="289" customFormat="false" ht="17.35" hidden="false" customHeight="false" outlineLevel="0" collapsed="false">
      <c r="A289" s="8" t="n">
        <v>288</v>
      </c>
      <c r="B289" s="9" t="s">
        <v>1359</v>
      </c>
      <c r="C289" s="8" t="n">
        <v>66</v>
      </c>
      <c r="D289" s="9" t="str">
        <f aca="false">INDEX(Radicals!$B$2:$B$215,MATCH(C289,Radicals!$A$2:$A$215,0))</f>
        <v>攴</v>
      </c>
      <c r="E289" s="10" t="str">
        <f aca="false">INDEX(Radicals!$G$2:$G$215,MATCH(C289,Radicals!$A$2:$A$215,0))</f>
        <v>rap, tap, strike</v>
      </c>
      <c r="F289" s="8" t="n">
        <f aca="false">INDEX(Radicals!$D$2:$D$215,MATCH(C289,Radicals!$A$2:$A$215,0))</f>
        <v>4</v>
      </c>
      <c r="G289" s="8" t="n">
        <v>8</v>
      </c>
    </row>
    <row r="290" customFormat="false" ht="17.35" hidden="false" customHeight="false" outlineLevel="0" collapsed="false">
      <c r="A290" s="8" t="n">
        <v>289</v>
      </c>
      <c r="B290" s="9" t="s">
        <v>1360</v>
      </c>
      <c r="C290" s="8" t="n">
        <v>115</v>
      </c>
      <c r="D290" s="9" t="str">
        <f aca="false">INDEX(Radicals!$B$2:$B$215,MATCH(C290,Radicals!$A$2:$A$215,0))</f>
        <v>禾</v>
      </c>
      <c r="E290" s="10" t="str">
        <f aca="false">INDEX(Radicals!$G$2:$G$215,MATCH(C290,Radicals!$A$2:$A$215,0))</f>
        <v>grain, rice plant</v>
      </c>
      <c r="F290" s="8" t="n">
        <f aca="false">INDEX(Radicals!$D$2:$D$215,MATCH(C290,Radicals!$A$2:$A$215,0))</f>
        <v>5</v>
      </c>
      <c r="G290" s="8" t="n">
        <v>12</v>
      </c>
    </row>
    <row r="291" customFormat="false" ht="17.35" hidden="false" customHeight="false" outlineLevel="0" collapsed="false">
      <c r="A291" s="8" t="n">
        <v>290</v>
      </c>
      <c r="B291" s="9" t="s">
        <v>1361</v>
      </c>
      <c r="C291" s="8" t="n">
        <v>75</v>
      </c>
      <c r="D291" s="9" t="str">
        <f aca="false">INDEX(Radicals!$B$2:$B$215,MATCH(C291,Radicals!$A$2:$A$215,0))</f>
        <v>木</v>
      </c>
      <c r="E291" s="10" t="str">
        <f aca="false">INDEX(Radicals!$G$2:$G$215,MATCH(C291,Radicals!$A$2:$A$215,0))</f>
        <v>tree, wood</v>
      </c>
      <c r="F291" s="8" t="n">
        <f aca="false">INDEX(Radicals!$D$2:$D$215,MATCH(C291,Radicals!$A$2:$A$215,0))</f>
        <v>4</v>
      </c>
      <c r="G291" s="8" t="n">
        <v>12</v>
      </c>
    </row>
    <row r="292" customFormat="false" ht="17.35" hidden="false" customHeight="false" outlineLevel="0" collapsed="false">
      <c r="A292" s="8" t="n">
        <v>291</v>
      </c>
      <c r="B292" s="9" t="s">
        <v>1362</v>
      </c>
      <c r="C292" s="8" t="n">
        <v>140</v>
      </c>
      <c r="D292" s="9" t="str">
        <f aca="false">INDEX(Radicals!$B$2:$B$215,MATCH(C292,Radicals!$A$2:$A$215,0))</f>
        <v>艸</v>
      </c>
      <c r="E292" s="10" t="str">
        <f aca="false">INDEX(Radicals!$G$2:$G$215,MATCH(C292,Radicals!$A$2:$A$215,0))</f>
        <v>grass, plant</v>
      </c>
      <c r="F292" s="8" t="n">
        <f aca="false">INDEX(Radicals!$D$2:$D$215,MATCH(C292,Radicals!$A$2:$A$215,0))</f>
        <v>6</v>
      </c>
      <c r="G292" s="8" t="n">
        <v>18</v>
      </c>
    </row>
    <row r="293" customFormat="false" ht="17.35" hidden="false" customHeight="false" outlineLevel="0" collapsed="false">
      <c r="A293" s="8" t="n">
        <v>292</v>
      </c>
      <c r="B293" s="9" t="s">
        <v>1363</v>
      </c>
      <c r="C293" s="8" t="n">
        <v>102</v>
      </c>
      <c r="D293" s="9" t="str">
        <f aca="false">INDEX(Radicals!$B$2:$B$215,MATCH(C293,Radicals!$A$2:$A$215,0))</f>
        <v>田</v>
      </c>
      <c r="E293" s="10" t="str">
        <f aca="false">INDEX(Radicals!$G$2:$G$215,MATCH(C293,Radicals!$A$2:$A$215,0))</f>
        <v>field, paddy</v>
      </c>
      <c r="F293" s="8" t="n">
        <f aca="false">INDEX(Radicals!$D$2:$D$215,MATCH(C293,Radicals!$A$2:$A$215,0))</f>
        <v>5</v>
      </c>
      <c r="G293" s="8" t="n">
        <v>7</v>
      </c>
    </row>
    <row r="294" customFormat="false" ht="17.35" hidden="false" customHeight="false" outlineLevel="0" collapsed="false">
      <c r="A294" s="8" t="n">
        <v>293</v>
      </c>
      <c r="B294" s="9" t="s">
        <v>1364</v>
      </c>
      <c r="C294" s="8" t="n">
        <v>50</v>
      </c>
      <c r="D294" s="9" t="str">
        <f aca="false">INDEX(Radicals!$B$2:$B$215,MATCH(C294,Radicals!$A$2:$A$215,0))</f>
        <v>巾</v>
      </c>
      <c r="E294" s="10" t="str">
        <f aca="false">INDEX(Radicals!$G$2:$G$215,MATCH(C294,Radicals!$A$2:$A$215,0))</f>
        <v>turban, cloth</v>
      </c>
      <c r="F294" s="8" t="n">
        <f aca="false">INDEX(Radicals!$D$2:$D$215,MATCH(C294,Radicals!$A$2:$A$215,0))</f>
        <v>3</v>
      </c>
      <c r="G294" s="8" t="n">
        <v>11</v>
      </c>
    </row>
    <row r="295" customFormat="false" ht="17.35" hidden="false" customHeight="false" outlineLevel="0" collapsed="false">
      <c r="A295" s="8" t="n">
        <v>294</v>
      </c>
      <c r="B295" s="9" t="s">
        <v>1365</v>
      </c>
      <c r="C295" s="8" t="n">
        <v>75</v>
      </c>
      <c r="D295" s="9" t="str">
        <f aca="false">INDEX(Radicals!$B$2:$B$215,MATCH(C295,Radicals!$A$2:$A$215,0))</f>
        <v>木</v>
      </c>
      <c r="E295" s="10" t="str">
        <f aca="false">INDEX(Radicals!$G$2:$G$215,MATCH(C295,Radicals!$A$2:$A$215,0))</f>
        <v>tree, wood</v>
      </c>
      <c r="F295" s="8" t="n">
        <f aca="false">INDEX(Radicals!$D$2:$D$215,MATCH(C295,Radicals!$A$2:$A$215,0))</f>
        <v>4</v>
      </c>
      <c r="G295" s="8" t="n">
        <v>10</v>
      </c>
    </row>
    <row r="296" customFormat="false" ht="17.35" hidden="false" customHeight="false" outlineLevel="0" collapsed="false">
      <c r="A296" s="8" t="n">
        <v>295</v>
      </c>
      <c r="B296" s="9" t="s">
        <v>1366</v>
      </c>
      <c r="C296" s="8" t="n">
        <v>68</v>
      </c>
      <c r="D296" s="9" t="str">
        <f aca="false">INDEX(Radicals!$B$2:$B$215,MATCH(C296,Radicals!$A$2:$A$215,0))</f>
        <v>斗</v>
      </c>
      <c r="E296" s="10" t="str">
        <f aca="false">INDEX(Radicals!$G$2:$G$215,MATCH(C296,Radicals!$A$2:$A$215,0))</f>
        <v>dipper, measure</v>
      </c>
      <c r="F296" s="8" t="n">
        <f aca="false">INDEX(Radicals!$D$2:$D$215,MATCH(C296,Radicals!$A$2:$A$215,0))</f>
        <v>4</v>
      </c>
      <c r="G296" s="8" t="n">
        <v>10</v>
      </c>
    </row>
    <row r="297" customFormat="false" ht="17.35" hidden="false" customHeight="false" outlineLevel="0" collapsed="false">
      <c r="A297" s="8" t="n">
        <v>296</v>
      </c>
      <c r="B297" s="9" t="s">
        <v>1367</v>
      </c>
      <c r="C297" s="8" t="n">
        <v>85</v>
      </c>
      <c r="D297" s="9" t="str">
        <f aca="false">INDEX(Radicals!$B$2:$B$215,MATCH(C297,Radicals!$A$2:$A$215,0))</f>
        <v>水</v>
      </c>
      <c r="E297" s="10" t="str">
        <f aca="false">INDEX(Radicals!$G$2:$G$215,MATCH(C297,Radicals!$A$2:$A$215,0))</f>
        <v>water</v>
      </c>
      <c r="F297" s="8" t="n">
        <f aca="false">INDEX(Radicals!$D$2:$D$215,MATCH(C297,Radicals!$A$2:$A$215,0))</f>
        <v>4</v>
      </c>
      <c r="G297" s="8" t="n">
        <v>7</v>
      </c>
    </row>
    <row r="298" customFormat="false" ht="17.35" hidden="false" customHeight="false" outlineLevel="0" collapsed="false">
      <c r="A298" s="8" t="n">
        <v>297</v>
      </c>
      <c r="B298" s="9" t="s">
        <v>1368</v>
      </c>
      <c r="C298" s="8" t="n">
        <v>145</v>
      </c>
      <c r="D298" s="9" t="str">
        <f aca="false">INDEX(Radicals!$B$2:$B$215,MATCH(C298,Radicals!$A$2:$A$215,0))</f>
        <v>衣</v>
      </c>
      <c r="E298" s="10" t="str">
        <f aca="false">INDEX(Radicals!$G$2:$G$215,MATCH(C298,Radicals!$A$2:$A$215,0))</f>
        <v>clothes</v>
      </c>
      <c r="F298" s="8" t="n">
        <f aca="false">INDEX(Radicals!$D$2:$D$215,MATCH(C298,Radicals!$A$2:$A$215,0))</f>
        <v>6</v>
      </c>
      <c r="G298" s="8" t="n">
        <v>12</v>
      </c>
    </row>
    <row r="299" customFormat="false" ht="17.35" hidden="false" customHeight="false" outlineLevel="0" collapsed="false">
      <c r="A299" s="8" t="n">
        <v>298</v>
      </c>
      <c r="B299" s="9" t="s">
        <v>1369</v>
      </c>
      <c r="C299" s="8" t="n">
        <v>94</v>
      </c>
      <c r="D299" s="9" t="str">
        <f aca="false">INDEX(Radicals!$B$2:$B$215,MATCH(C299,Radicals!$A$2:$A$215,0))</f>
        <v>犬</v>
      </c>
      <c r="E299" s="10" t="str">
        <f aca="false">INDEX(Radicals!$G$2:$G$215,MATCH(C299,Radicals!$A$2:$A$215,0))</f>
        <v>dog</v>
      </c>
      <c r="F299" s="8" t="n">
        <f aca="false">INDEX(Radicals!$D$2:$D$215,MATCH(C299,Radicals!$A$2:$A$215,0))</f>
        <v>4</v>
      </c>
      <c r="G299" s="8" t="n">
        <v>7</v>
      </c>
    </row>
    <row r="300" customFormat="false" ht="17.35" hidden="false" customHeight="false" outlineLevel="0" collapsed="false">
      <c r="A300" s="8" t="n">
        <v>299</v>
      </c>
      <c r="B300" s="9" t="s">
        <v>264</v>
      </c>
      <c r="C300" s="8" t="n">
        <v>48</v>
      </c>
      <c r="D300" s="9" t="str">
        <f aca="false">INDEX(Radicals!$B$2:$B$215,MATCH(C300,Radicals!$A$2:$A$215,0))</f>
        <v>工</v>
      </c>
      <c r="E300" s="10" t="str">
        <f aca="false">INDEX(Radicals!$G$2:$G$215,MATCH(C300,Radicals!$A$2:$A$215,0))</f>
        <v>work, craftsman</v>
      </c>
      <c r="F300" s="8" t="n">
        <f aca="false">INDEX(Radicals!$D$2:$D$215,MATCH(C300,Radicals!$A$2:$A$215,0))</f>
        <v>3</v>
      </c>
      <c r="G300" s="8" t="n">
        <v>3</v>
      </c>
    </row>
    <row r="301" customFormat="false" ht="17.35" hidden="false" customHeight="false" outlineLevel="0" collapsed="false">
      <c r="A301" s="8" t="n">
        <v>300</v>
      </c>
      <c r="B301" s="9" t="s">
        <v>1370</v>
      </c>
      <c r="C301" s="8" t="n">
        <v>54</v>
      </c>
      <c r="D301" s="9" t="str">
        <f aca="false">INDEX(Radicals!$B$2:$B$215,MATCH(C301,Radicals!$A$2:$A$215,0))</f>
        <v>廴</v>
      </c>
      <c r="E301" s="10" t="str">
        <f aca="false">INDEX(Radicals!$G$2:$G$215,MATCH(C301,Radicals!$A$2:$A$215,0))</f>
        <v>long stride</v>
      </c>
      <c r="F301" s="8" t="n">
        <f aca="false">INDEX(Radicals!$D$2:$D$215,MATCH(C301,Radicals!$A$2:$A$215,0))</f>
        <v>3</v>
      </c>
      <c r="G301" s="8" t="n">
        <v>9</v>
      </c>
    </row>
    <row r="302" customFormat="false" ht="17.35" hidden="false" customHeight="false" outlineLevel="0" collapsed="false">
      <c r="A302" s="8" t="n">
        <v>301</v>
      </c>
      <c r="B302" s="9" t="s">
        <v>1371</v>
      </c>
      <c r="C302" s="8" t="n">
        <v>149</v>
      </c>
      <c r="D302" s="9" t="str">
        <f aca="false">INDEX(Radicals!$B$2:$B$215,MATCH(C302,Radicals!$A$2:$A$215,0))</f>
        <v>言</v>
      </c>
      <c r="E302" s="10" t="str">
        <f aca="false">INDEX(Radicals!$G$2:$G$215,MATCH(C302,Radicals!$A$2:$A$215,0))</f>
        <v>speech, say</v>
      </c>
      <c r="F302" s="8" t="n">
        <f aca="false">INDEX(Radicals!$D$2:$D$215,MATCH(C302,Radicals!$A$2:$A$215,0))</f>
        <v>7</v>
      </c>
      <c r="G302" s="8" t="n">
        <v>14</v>
      </c>
    </row>
    <row r="303" customFormat="false" ht="17.35" hidden="false" customHeight="false" outlineLevel="0" collapsed="false">
      <c r="A303" s="8" t="n">
        <v>302</v>
      </c>
      <c r="B303" s="9" t="s">
        <v>1372</v>
      </c>
      <c r="C303" s="8" t="n">
        <v>96</v>
      </c>
      <c r="D303" s="9" t="str">
        <f aca="false">INDEX(Radicals!$B$2:$B$215,MATCH(C303,Radicals!$A$2:$A$215,0))</f>
        <v>玉</v>
      </c>
      <c r="E303" s="10" t="str">
        <f aca="false">INDEX(Radicals!$G$2:$G$215,MATCH(C303,Radicals!$A$2:$A$215,0))</f>
        <v>jade, king</v>
      </c>
      <c r="F303" s="8" t="n">
        <f aca="false">INDEX(Radicals!$D$2:$D$215,MATCH(C303,Radicals!$A$2:$A$215,0))</f>
        <v>5</v>
      </c>
      <c r="G303" s="8" t="n">
        <v>11</v>
      </c>
    </row>
    <row r="304" customFormat="false" ht="17.35" hidden="false" customHeight="false" outlineLevel="0" collapsed="false">
      <c r="A304" s="8" t="n">
        <v>303</v>
      </c>
      <c r="B304" s="9" t="s">
        <v>1373</v>
      </c>
      <c r="C304" s="8" t="n">
        <v>30</v>
      </c>
      <c r="D304" s="9" t="str">
        <f aca="false">INDEX(Radicals!$B$2:$B$215,MATCH(C304,Radicals!$A$2:$A$215,0))</f>
        <v>口</v>
      </c>
      <c r="E304" s="10" t="str">
        <f aca="false">INDEX(Radicals!$G$2:$G$215,MATCH(C304,Radicals!$A$2:$A$215,0))</f>
        <v>mouth</v>
      </c>
      <c r="F304" s="8" t="n">
        <f aca="false">INDEX(Radicals!$D$2:$D$215,MATCH(C304,Radicals!$A$2:$A$215,0))</f>
        <v>3</v>
      </c>
      <c r="G304" s="8" t="n">
        <v>12</v>
      </c>
    </row>
    <row r="305" customFormat="false" ht="17.35" hidden="false" customHeight="false" outlineLevel="0" collapsed="false">
      <c r="A305" s="8" t="n">
        <v>304</v>
      </c>
      <c r="B305" s="9" t="s">
        <v>1374</v>
      </c>
      <c r="C305" s="8" t="n">
        <v>116</v>
      </c>
      <c r="D305" s="9" t="str">
        <f aca="false">INDEX(Radicals!$B$2:$B$215,MATCH(C305,Radicals!$A$2:$A$215,0))</f>
        <v>穴</v>
      </c>
      <c r="E305" s="10" t="str">
        <f aca="false">INDEX(Radicals!$G$2:$G$215,MATCH(C305,Radicals!$A$2:$A$215,0))</f>
        <v>cave, hole</v>
      </c>
      <c r="F305" s="8" t="n">
        <f aca="false">INDEX(Radicals!$D$2:$D$215,MATCH(C305,Radicals!$A$2:$A$215,0))</f>
        <v>5</v>
      </c>
      <c r="G305" s="8" t="n">
        <v>8</v>
      </c>
    </row>
    <row r="306" customFormat="false" ht="17.35" hidden="false" customHeight="false" outlineLevel="0" collapsed="false">
      <c r="A306" s="8" t="n">
        <v>305</v>
      </c>
      <c r="B306" s="9" t="s">
        <v>1375</v>
      </c>
      <c r="C306" s="8" t="n">
        <v>128</v>
      </c>
      <c r="D306" s="9" t="str">
        <f aca="false">INDEX(Radicals!$B$2:$B$215,MATCH(C306,Radicals!$A$2:$A$215,0))</f>
        <v>耳</v>
      </c>
      <c r="E306" s="10" t="str">
        <f aca="false">INDEX(Radicals!$G$2:$G$215,MATCH(C306,Radicals!$A$2:$A$215,0))</f>
        <v>ear</v>
      </c>
      <c r="F306" s="8" t="n">
        <f aca="false">INDEX(Radicals!$D$2:$D$215,MATCH(C306,Radicals!$A$2:$A$215,0))</f>
        <v>6</v>
      </c>
      <c r="G306" s="8" t="n">
        <v>18</v>
      </c>
    </row>
    <row r="307" customFormat="false" ht="17.35" hidden="false" customHeight="false" outlineLevel="0" collapsed="false">
      <c r="A307" s="8" t="n">
        <v>306</v>
      </c>
      <c r="B307" s="9" t="s">
        <v>1376</v>
      </c>
      <c r="C307" s="8" t="n">
        <v>149</v>
      </c>
      <c r="D307" s="9" t="str">
        <f aca="false">INDEX(Radicals!$B$2:$B$215,MATCH(C307,Radicals!$A$2:$A$215,0))</f>
        <v>言</v>
      </c>
      <c r="E307" s="10" t="str">
        <f aca="false">INDEX(Radicals!$G$2:$G$215,MATCH(C307,Radicals!$A$2:$A$215,0))</f>
        <v>speech, say</v>
      </c>
      <c r="F307" s="8" t="n">
        <f aca="false">INDEX(Radicals!$D$2:$D$215,MATCH(C307,Radicals!$A$2:$A$215,0))</f>
        <v>7</v>
      </c>
      <c r="G307" s="8" t="n">
        <v>12</v>
      </c>
    </row>
    <row r="308" customFormat="false" ht="17.35" hidden="false" customHeight="false" outlineLevel="0" collapsed="false">
      <c r="A308" s="8" t="n">
        <v>307</v>
      </c>
      <c r="B308" s="9" t="s">
        <v>178</v>
      </c>
      <c r="C308" s="8" t="n">
        <v>32</v>
      </c>
      <c r="D308" s="9" t="str">
        <f aca="false">INDEX(Radicals!$B$2:$B$215,MATCH(C308,Radicals!$A$2:$A$215,0))</f>
        <v>土</v>
      </c>
      <c r="E308" s="10" t="str">
        <f aca="false">INDEX(Radicals!$G$2:$G$215,MATCH(C308,Radicals!$A$2:$A$215,0))</f>
        <v>earth, soil</v>
      </c>
      <c r="F308" s="8" t="n">
        <f aca="false">INDEX(Radicals!$D$2:$D$215,MATCH(C308,Radicals!$A$2:$A$215,0))</f>
        <v>3</v>
      </c>
      <c r="G308" s="8" t="n">
        <v>3</v>
      </c>
    </row>
    <row r="309" customFormat="false" ht="17.35" hidden="false" customHeight="false" outlineLevel="0" collapsed="false">
      <c r="A309" s="8" t="n">
        <v>308</v>
      </c>
      <c r="B309" s="9" t="s">
        <v>1377</v>
      </c>
      <c r="C309" s="8" t="n">
        <v>1</v>
      </c>
      <c r="D309" s="9" t="str">
        <f aca="false">INDEX(Radicals!$B$2:$B$215,MATCH(C309,Radicals!$A$2:$A$215,0))</f>
        <v>一</v>
      </c>
      <c r="E309" s="10" t="str">
        <f aca="false">INDEX(Radicals!$G$2:$G$215,MATCH(C309,Radicals!$A$2:$A$215,0))</f>
        <v>one</v>
      </c>
      <c r="F309" s="8" t="n">
        <f aca="false">INDEX(Radicals!$D$2:$D$215,MATCH(C309,Radicals!$A$2:$A$215,0))</f>
        <v>1</v>
      </c>
      <c r="G309" s="8" t="n">
        <v>3</v>
      </c>
    </row>
    <row r="310" customFormat="false" ht="17.35" hidden="false" customHeight="false" outlineLevel="0" collapsed="false">
      <c r="A310" s="8" t="n">
        <v>309</v>
      </c>
      <c r="B310" s="9" t="s">
        <v>1378</v>
      </c>
      <c r="C310" s="8" t="n">
        <v>61</v>
      </c>
      <c r="D310" s="9" t="str">
        <f aca="false">INDEX(Radicals!$B$2:$B$215,MATCH(C310,Radicals!$A$2:$A$215,0))</f>
        <v>心</v>
      </c>
      <c r="E310" s="10" t="str">
        <f aca="false">INDEX(Radicals!$G$2:$G$215,MATCH(C310,Radicals!$A$2:$A$215,0))</f>
        <v>heart, mind</v>
      </c>
      <c r="F310" s="8" t="n">
        <f aca="false">INDEX(Radicals!$D$2:$D$215,MATCH(C310,Radicals!$A$2:$A$215,0))</f>
        <v>4</v>
      </c>
      <c r="G310" s="8" t="n">
        <v>9</v>
      </c>
    </row>
    <row r="311" customFormat="false" ht="17.35" hidden="false" customHeight="false" outlineLevel="0" collapsed="false">
      <c r="A311" s="8" t="n">
        <v>310</v>
      </c>
      <c r="B311" s="9" t="s">
        <v>415</v>
      </c>
      <c r="C311" s="8" t="n">
        <v>77</v>
      </c>
      <c r="D311" s="9" t="str">
        <f aca="false">INDEX(Radicals!$B$2:$B$215,MATCH(C311,Radicals!$A$2:$A$215,0))</f>
        <v>止</v>
      </c>
      <c r="E311" s="10" t="str">
        <f aca="false">INDEX(Radicals!$G$2:$G$215,MATCH(C311,Radicals!$A$2:$A$215,0))</f>
        <v>stop</v>
      </c>
      <c r="F311" s="8" t="n">
        <f aca="false">INDEX(Radicals!$D$2:$D$215,MATCH(C311,Radicals!$A$2:$A$215,0))</f>
        <v>4</v>
      </c>
      <c r="G311" s="8" t="n">
        <v>4</v>
      </c>
    </row>
    <row r="312" customFormat="false" ht="17.35" hidden="false" customHeight="false" outlineLevel="0" collapsed="false">
      <c r="A312" s="8" t="n">
        <v>311</v>
      </c>
      <c r="B312" s="9" t="s">
        <v>1379</v>
      </c>
      <c r="C312" s="8" t="n">
        <v>162</v>
      </c>
      <c r="D312" s="9" t="str">
        <f aca="false">INDEX(Radicals!$B$2:$B$215,MATCH(C312,Radicals!$A$2:$A$215,0))</f>
        <v>辵</v>
      </c>
      <c r="E312" s="10" t="str">
        <f aca="false">INDEX(Radicals!$G$2:$G$215,MATCH(C312,Radicals!$A$2:$A$215,0))</f>
        <v>walk, movement</v>
      </c>
      <c r="F312" s="8" t="n">
        <f aca="false">INDEX(Radicals!$D$2:$D$215,MATCH(C312,Radicals!$A$2:$A$215,0))</f>
        <v>7</v>
      </c>
      <c r="G312" s="8" t="n">
        <v>9</v>
      </c>
    </row>
    <row r="313" customFormat="false" ht="17.35" hidden="false" customHeight="false" outlineLevel="0" collapsed="false">
      <c r="A313" s="8" t="n">
        <v>312</v>
      </c>
      <c r="B313" s="9" t="s">
        <v>1380</v>
      </c>
      <c r="C313" s="8" t="n">
        <v>64</v>
      </c>
      <c r="D313" s="9" t="str">
        <f aca="false">INDEX(Radicals!$B$2:$B$215,MATCH(C313,Radicals!$A$2:$A$215,0))</f>
        <v>手</v>
      </c>
      <c r="E313" s="10" t="str">
        <f aca="false">INDEX(Radicals!$G$2:$G$215,MATCH(C313,Radicals!$A$2:$A$215,0))</f>
        <v>hand</v>
      </c>
      <c r="F313" s="8" t="n">
        <f aca="false">INDEX(Radicals!$D$2:$D$215,MATCH(C313,Radicals!$A$2:$A$215,0))</f>
        <v>4</v>
      </c>
      <c r="G313" s="8" t="n">
        <v>12</v>
      </c>
    </row>
    <row r="314" customFormat="false" ht="17.35" hidden="false" customHeight="false" outlineLevel="0" collapsed="false">
      <c r="A314" s="8" t="n">
        <v>313</v>
      </c>
      <c r="B314" s="9" t="s">
        <v>1381</v>
      </c>
      <c r="C314" s="8" t="n">
        <v>9</v>
      </c>
      <c r="D314" s="9" t="str">
        <f aca="false">INDEX(Radicals!$B$2:$B$215,MATCH(C314,Radicals!$A$2:$A$215,0))</f>
        <v>人</v>
      </c>
      <c r="E314" s="10" t="str">
        <f aca="false">INDEX(Radicals!$G$2:$G$215,MATCH(C314,Radicals!$A$2:$A$215,0))</f>
        <v>person</v>
      </c>
      <c r="F314" s="8" t="n">
        <f aca="false">INDEX(Radicals!$D$2:$D$215,MATCH(C314,Radicals!$A$2:$A$215,0))</f>
        <v>2</v>
      </c>
      <c r="G314" s="8" t="n">
        <v>8</v>
      </c>
    </row>
    <row r="315" customFormat="false" ht="17.35" hidden="false" customHeight="false" outlineLevel="0" collapsed="false">
      <c r="A315" s="8" t="n">
        <v>314</v>
      </c>
      <c r="B315" s="9" t="s">
        <v>1382</v>
      </c>
      <c r="C315" s="8" t="n">
        <v>30</v>
      </c>
      <c r="D315" s="9" t="str">
        <f aca="false">INDEX(Radicals!$B$2:$B$215,MATCH(C315,Radicals!$A$2:$A$215,0))</f>
        <v>口</v>
      </c>
      <c r="E315" s="10" t="str">
        <f aca="false">INDEX(Radicals!$G$2:$G$215,MATCH(C315,Radicals!$A$2:$A$215,0))</f>
        <v>mouth</v>
      </c>
      <c r="F315" s="8" t="n">
        <f aca="false">INDEX(Radicals!$D$2:$D$215,MATCH(C315,Radicals!$A$2:$A$215,0))</f>
        <v>3</v>
      </c>
      <c r="G315" s="8" t="n">
        <v>5</v>
      </c>
    </row>
    <row r="316" customFormat="false" ht="17.35" hidden="false" customHeight="false" outlineLevel="0" collapsed="false">
      <c r="A316" s="8" t="n">
        <v>315</v>
      </c>
      <c r="B316" s="9" t="s">
        <v>1383</v>
      </c>
      <c r="C316" s="8" t="n">
        <v>60</v>
      </c>
      <c r="D316" s="9" t="str">
        <f aca="false">INDEX(Radicals!$B$2:$B$215,MATCH(C316,Radicals!$A$2:$A$215,0))</f>
        <v>彳</v>
      </c>
      <c r="E316" s="10" t="str">
        <f aca="false">INDEX(Radicals!$G$2:$G$215,MATCH(C316,Radicals!$A$2:$A$215,0))</f>
        <v>step, small step</v>
      </c>
      <c r="F316" s="8" t="n">
        <f aca="false">INDEX(Radicals!$D$2:$D$215,MATCH(C316,Radicals!$A$2:$A$215,0))</f>
        <v>3</v>
      </c>
      <c r="G316" s="8" t="n">
        <v>7</v>
      </c>
    </row>
    <row r="317" customFormat="false" ht="17.35" hidden="false" customHeight="false" outlineLevel="0" collapsed="false">
      <c r="A317" s="8" t="n">
        <v>316</v>
      </c>
      <c r="B317" s="9" t="s">
        <v>1384</v>
      </c>
      <c r="C317" s="8" t="n">
        <v>75</v>
      </c>
      <c r="D317" s="9" t="str">
        <f aca="false">INDEX(Radicals!$B$2:$B$215,MATCH(C317,Radicals!$A$2:$A$215,0))</f>
        <v>木</v>
      </c>
      <c r="E317" s="10" t="str">
        <f aca="false">INDEX(Radicals!$G$2:$G$215,MATCH(C317,Radicals!$A$2:$A$215,0))</f>
        <v>tree, wood</v>
      </c>
      <c r="F317" s="8" t="n">
        <f aca="false">INDEX(Radicals!$D$2:$D$215,MATCH(C317,Radicals!$A$2:$A$215,0))</f>
        <v>4</v>
      </c>
      <c r="G317" s="8" t="n">
        <v>14</v>
      </c>
    </row>
    <row r="318" customFormat="false" ht="17.35" hidden="false" customHeight="false" outlineLevel="0" collapsed="false">
      <c r="A318" s="8" t="n">
        <v>317</v>
      </c>
      <c r="B318" s="9" t="s">
        <v>405</v>
      </c>
      <c r="C318" s="8" t="n">
        <v>75</v>
      </c>
      <c r="D318" s="9" t="str">
        <f aca="false">INDEX(Radicals!$B$2:$B$215,MATCH(C318,Radicals!$A$2:$A$215,0))</f>
        <v>木</v>
      </c>
      <c r="E318" s="10" t="str">
        <f aca="false">INDEX(Radicals!$G$2:$G$215,MATCH(C318,Radicals!$A$2:$A$215,0))</f>
        <v>tree, wood</v>
      </c>
      <c r="F318" s="8" t="n">
        <f aca="false">INDEX(Radicals!$D$2:$D$215,MATCH(C318,Radicals!$A$2:$A$215,0))</f>
        <v>4</v>
      </c>
      <c r="G318" s="8" t="n">
        <v>4</v>
      </c>
    </row>
    <row r="319" customFormat="false" ht="17.35" hidden="false" customHeight="false" outlineLevel="0" collapsed="false">
      <c r="A319" s="8" t="n">
        <v>318</v>
      </c>
      <c r="B319" s="9" t="s">
        <v>1385</v>
      </c>
      <c r="C319" s="8" t="n">
        <v>18</v>
      </c>
      <c r="D319" s="9" t="str">
        <f aca="false">INDEX(Radicals!$B$2:$B$215,MATCH(C319,Radicals!$A$2:$A$215,0))</f>
        <v>刀</v>
      </c>
      <c r="E319" s="10" t="str">
        <f aca="false">INDEX(Radicals!$G$2:$G$215,MATCH(C319,Radicals!$A$2:$A$215,0))</f>
        <v>knife, sword</v>
      </c>
      <c r="F319" s="8" t="n">
        <f aca="false">INDEX(Radicals!$D$2:$D$215,MATCH(C319,Radicals!$A$2:$A$215,0))</f>
        <v>2</v>
      </c>
      <c r="G319" s="8" t="n">
        <v>12</v>
      </c>
    </row>
    <row r="320" customFormat="false" ht="17.35" hidden="false" customHeight="false" outlineLevel="0" collapsed="false">
      <c r="A320" s="8" t="n">
        <v>319</v>
      </c>
      <c r="B320" s="9" t="s">
        <v>1386</v>
      </c>
      <c r="C320" s="8" t="n">
        <v>128</v>
      </c>
      <c r="D320" s="9" t="str">
        <f aca="false">INDEX(Radicals!$B$2:$B$215,MATCH(C320,Radicals!$A$2:$A$215,0))</f>
        <v>耳</v>
      </c>
      <c r="E320" s="10" t="str">
        <f aca="false">INDEX(Radicals!$G$2:$G$215,MATCH(C320,Radicals!$A$2:$A$215,0))</f>
        <v>ear</v>
      </c>
      <c r="F320" s="8" t="n">
        <f aca="false">INDEX(Radicals!$D$2:$D$215,MATCH(C320,Radicals!$A$2:$A$215,0))</f>
        <v>6</v>
      </c>
      <c r="G320" s="8" t="n">
        <v>14</v>
      </c>
    </row>
    <row r="321" customFormat="false" ht="17.35" hidden="false" customHeight="false" outlineLevel="0" collapsed="false">
      <c r="A321" s="8" t="n">
        <v>320</v>
      </c>
      <c r="B321" s="9" t="s">
        <v>831</v>
      </c>
      <c r="C321" s="8" t="n">
        <v>158</v>
      </c>
      <c r="D321" s="9" t="str">
        <f aca="false">INDEX(Radicals!$B$2:$B$215,MATCH(C321,Radicals!$A$2:$A$215,0))</f>
        <v>身</v>
      </c>
      <c r="E321" s="10" t="str">
        <f aca="false">INDEX(Radicals!$G$2:$G$215,MATCH(C321,Radicals!$A$2:$A$215,0))</f>
        <v>body</v>
      </c>
      <c r="F321" s="8" t="n">
        <f aca="false">INDEX(Radicals!$D$2:$D$215,MATCH(C321,Radicals!$A$2:$A$215,0))</f>
        <v>7</v>
      </c>
      <c r="G321" s="8" t="n">
        <v>7</v>
      </c>
    </row>
    <row r="322" customFormat="false" ht="17.35" hidden="false" customHeight="false" outlineLevel="0" collapsed="false">
      <c r="A322" s="8" t="n">
        <v>321</v>
      </c>
      <c r="B322" s="9" t="s">
        <v>1387</v>
      </c>
      <c r="C322" s="8" t="n">
        <v>154</v>
      </c>
      <c r="D322" s="9" t="str">
        <f aca="false">INDEX(Radicals!$B$2:$B$215,MATCH(C322,Radicals!$A$2:$A$215,0))</f>
        <v>貝</v>
      </c>
      <c r="E322" s="10" t="str">
        <f aca="false">INDEX(Radicals!$G$2:$G$215,MATCH(C322,Radicals!$A$2:$A$215,0))</f>
        <v>shell, money</v>
      </c>
      <c r="F322" s="8" t="n">
        <f aca="false">INDEX(Radicals!$D$2:$D$215,MATCH(C322,Radicals!$A$2:$A$215,0))</f>
        <v>7</v>
      </c>
      <c r="G322" s="8" t="n">
        <v>12</v>
      </c>
    </row>
    <row r="323" customFormat="false" ht="17.35" hidden="false" customHeight="false" outlineLevel="0" collapsed="false">
      <c r="A323" s="8" t="n">
        <v>322</v>
      </c>
      <c r="B323" s="9" t="s">
        <v>1388</v>
      </c>
      <c r="C323" s="8" t="n">
        <v>9</v>
      </c>
      <c r="D323" s="9" t="str">
        <f aca="false">INDEX(Radicals!$B$2:$B$215,MATCH(C323,Radicals!$A$2:$A$215,0))</f>
        <v>人</v>
      </c>
      <c r="E323" s="10" t="str">
        <f aca="false">INDEX(Radicals!$G$2:$G$215,MATCH(C323,Radicals!$A$2:$A$215,0))</f>
        <v>person</v>
      </c>
      <c r="F323" s="8" t="n">
        <f aca="false">INDEX(Radicals!$D$2:$D$215,MATCH(C323,Radicals!$A$2:$A$215,0))</f>
        <v>2</v>
      </c>
      <c r="G323" s="8" t="n">
        <v>5</v>
      </c>
    </row>
    <row r="324" customFormat="false" ht="17.35" hidden="false" customHeight="false" outlineLevel="0" collapsed="false">
      <c r="A324" s="8" t="n">
        <v>323</v>
      </c>
      <c r="B324" s="9" t="s">
        <v>1389</v>
      </c>
      <c r="C324" s="8" t="n">
        <v>70</v>
      </c>
      <c r="D324" s="9" t="str">
        <f aca="false">INDEX(Radicals!$B$2:$B$215,MATCH(C324,Radicals!$A$2:$A$215,0))</f>
        <v>方</v>
      </c>
      <c r="E324" s="10" t="str">
        <f aca="false">INDEX(Radicals!$G$2:$G$215,MATCH(C324,Radicals!$A$2:$A$215,0))</f>
        <v>square, direction</v>
      </c>
      <c r="F324" s="8" t="n">
        <f aca="false">INDEX(Radicals!$D$2:$D$215,MATCH(C324,Radicals!$A$2:$A$215,0))</f>
        <v>4</v>
      </c>
      <c r="G324" s="8" t="n">
        <v>9</v>
      </c>
    </row>
    <row r="325" customFormat="false" ht="17.35" hidden="false" customHeight="false" outlineLevel="0" collapsed="false">
      <c r="A325" s="8" t="n">
        <v>324</v>
      </c>
      <c r="B325" s="9" t="s">
        <v>1390</v>
      </c>
      <c r="C325" s="8" t="n">
        <v>18</v>
      </c>
      <c r="D325" s="9" t="str">
        <f aca="false">INDEX(Radicals!$B$2:$B$215,MATCH(C325,Radicals!$A$2:$A$215,0))</f>
        <v>刀</v>
      </c>
      <c r="E325" s="10" t="str">
        <f aca="false">INDEX(Radicals!$G$2:$G$215,MATCH(C325,Radicals!$A$2:$A$215,0))</f>
        <v>knife, sword</v>
      </c>
      <c r="F325" s="8" t="n">
        <f aca="false">INDEX(Radicals!$D$2:$D$215,MATCH(C325,Radicals!$A$2:$A$215,0))</f>
        <v>2</v>
      </c>
      <c r="G325" s="8" t="n">
        <v>4</v>
      </c>
    </row>
    <row r="326" customFormat="false" ht="17.35" hidden="false" customHeight="false" outlineLevel="0" collapsed="false">
      <c r="A326" s="8" t="n">
        <v>325</v>
      </c>
      <c r="B326" s="9" t="s">
        <v>1391</v>
      </c>
      <c r="C326" s="8" t="n">
        <v>102</v>
      </c>
      <c r="D326" s="9" t="str">
        <f aca="false">INDEX(Radicals!$B$2:$B$215,MATCH(C326,Radicals!$A$2:$A$215,0))</f>
        <v>田</v>
      </c>
      <c r="E326" s="10" t="str">
        <f aca="false">INDEX(Radicals!$G$2:$G$215,MATCH(C326,Radicals!$A$2:$A$215,0))</f>
        <v>field, paddy</v>
      </c>
      <c r="F326" s="8" t="n">
        <f aca="false">INDEX(Radicals!$D$2:$D$215,MATCH(C326,Radicals!$A$2:$A$215,0))</f>
        <v>5</v>
      </c>
      <c r="G326" s="8" t="n">
        <v>5</v>
      </c>
    </row>
    <row r="327" customFormat="false" ht="17.35" hidden="false" customHeight="false" outlineLevel="0" collapsed="false">
      <c r="A327" s="8" t="n">
        <v>326</v>
      </c>
      <c r="B327" s="9" t="s">
        <v>1392</v>
      </c>
      <c r="C327" s="8" t="n">
        <v>149</v>
      </c>
      <c r="D327" s="9" t="str">
        <f aca="false">INDEX(Radicals!$B$2:$B$215,MATCH(C327,Radicals!$A$2:$A$215,0))</f>
        <v>言</v>
      </c>
      <c r="E327" s="10" t="str">
        <f aca="false">INDEX(Radicals!$G$2:$G$215,MATCH(C327,Radicals!$A$2:$A$215,0))</f>
        <v>speech, say</v>
      </c>
      <c r="F327" s="8" t="n">
        <f aca="false">INDEX(Radicals!$D$2:$D$215,MATCH(C327,Radicals!$A$2:$A$215,0))</f>
        <v>7</v>
      </c>
      <c r="G327" s="8" t="n">
        <v>14</v>
      </c>
    </row>
    <row r="328" customFormat="false" ht="17.35" hidden="false" customHeight="false" outlineLevel="0" collapsed="false">
      <c r="A328" s="8" t="n">
        <v>327</v>
      </c>
      <c r="B328" s="9" t="s">
        <v>1393</v>
      </c>
      <c r="C328" s="8" t="n">
        <v>159</v>
      </c>
      <c r="D328" s="9" t="str">
        <f aca="false">INDEX(Radicals!$B$2:$B$215,MATCH(C328,Radicals!$A$2:$A$215,0))</f>
        <v>車</v>
      </c>
      <c r="E328" s="10" t="str">
        <f aca="false">INDEX(Radicals!$G$2:$G$215,MATCH(C328,Radicals!$A$2:$A$215,0))</f>
        <v>cart, vehicle</v>
      </c>
      <c r="F328" s="8" t="n">
        <f aca="false">INDEX(Radicals!$D$2:$D$215,MATCH(C328,Radicals!$A$2:$A$215,0))</f>
        <v>7</v>
      </c>
      <c r="G328" s="8" t="n">
        <v>11</v>
      </c>
    </row>
    <row r="329" customFormat="false" ht="17.35" hidden="false" customHeight="false" outlineLevel="0" collapsed="false">
      <c r="A329" s="8" t="n">
        <v>328</v>
      </c>
      <c r="B329" s="9" t="s">
        <v>961</v>
      </c>
      <c r="C329" s="8" t="n">
        <v>184</v>
      </c>
      <c r="D329" s="9" t="str">
        <f aca="false">INDEX(Radicals!$B$2:$B$215,MATCH(C329,Radicals!$A$2:$A$215,0))</f>
        <v>食</v>
      </c>
      <c r="E329" s="10" t="str">
        <f aca="false">INDEX(Radicals!$G$2:$G$215,MATCH(C329,Radicals!$A$2:$A$215,0))</f>
        <v>eat, food</v>
      </c>
      <c r="F329" s="8" t="n">
        <f aca="false">INDEX(Radicals!$D$2:$D$215,MATCH(C329,Radicals!$A$2:$A$215,0))</f>
        <v>9</v>
      </c>
      <c r="G329" s="8" t="n">
        <v>9</v>
      </c>
    </row>
    <row r="330" customFormat="false" ht="17.35" hidden="false" customHeight="false" outlineLevel="0" collapsed="false">
      <c r="A330" s="8" t="n">
        <v>329</v>
      </c>
      <c r="B330" s="9" t="s">
        <v>436</v>
      </c>
      <c r="C330" s="8" t="n">
        <v>81</v>
      </c>
      <c r="D330" s="9" t="str">
        <f aca="false">INDEX(Radicals!$B$2:$B$215,MATCH(C330,Radicals!$A$2:$A$215,0))</f>
        <v>比</v>
      </c>
      <c r="E330" s="10" t="str">
        <f aca="false">INDEX(Radicals!$G$2:$G$215,MATCH(C330,Radicals!$A$2:$A$215,0))</f>
        <v>compare</v>
      </c>
      <c r="F330" s="8" t="n">
        <f aca="false">INDEX(Radicals!$D$2:$D$215,MATCH(C330,Radicals!$A$2:$A$215,0))</f>
        <v>4</v>
      </c>
      <c r="G330" s="8" t="n">
        <v>4</v>
      </c>
    </row>
    <row r="331" customFormat="false" ht="17.35" hidden="false" customHeight="false" outlineLevel="0" collapsed="false">
      <c r="A331" s="8" t="n">
        <v>330</v>
      </c>
      <c r="B331" s="9" t="s">
        <v>1394</v>
      </c>
      <c r="C331" s="8" t="n">
        <v>172</v>
      </c>
      <c r="D331" s="9" t="str">
        <f aca="false">INDEX(Radicals!$B$2:$B$215,MATCH(C331,Radicals!$A$2:$A$215,0))</f>
        <v>隹</v>
      </c>
      <c r="E331" s="10" t="str">
        <f aca="false">INDEX(Radicals!$G$2:$G$215,MATCH(C331,Radicals!$A$2:$A$215,0))</f>
        <v>short-tailed bird</v>
      </c>
      <c r="F331" s="8" t="n">
        <f aca="false">INDEX(Radicals!$D$2:$D$215,MATCH(C331,Radicals!$A$2:$A$215,0))</f>
        <v>8</v>
      </c>
      <c r="G331" s="8" t="n">
        <v>18</v>
      </c>
    </row>
    <row r="332" customFormat="false" ht="17.35" hidden="false" customHeight="false" outlineLevel="0" collapsed="false">
      <c r="A332" s="8" t="n">
        <v>331</v>
      </c>
      <c r="B332" s="9" t="s">
        <v>1395</v>
      </c>
      <c r="C332" s="8" t="n">
        <v>170</v>
      </c>
      <c r="D332" s="9" t="str">
        <f aca="false">INDEX(Radicals!$B$2:$B$215,MATCH(C332,Radicals!$A$2:$A$215,0))</f>
        <v>阜</v>
      </c>
      <c r="E332" s="10" t="str">
        <f aca="false">INDEX(Radicals!$G$2:$G$215,MATCH(C332,Radicals!$A$2:$A$215,0))</f>
        <v>mound, hill</v>
      </c>
      <c r="F332" s="8" t="n">
        <f aca="false">INDEX(Radicals!$D$2:$D$215,MATCH(C332,Radicals!$A$2:$A$215,0))</f>
        <v>8</v>
      </c>
      <c r="G332" s="8" t="n">
        <v>7</v>
      </c>
    </row>
    <row r="333" customFormat="false" ht="17.35" hidden="false" customHeight="false" outlineLevel="0" collapsed="false">
      <c r="A333" s="8" t="n">
        <v>332</v>
      </c>
      <c r="B333" s="9" t="s">
        <v>1396</v>
      </c>
      <c r="C333" s="8" t="n">
        <v>145</v>
      </c>
      <c r="D333" s="9" t="str">
        <f aca="false">INDEX(Radicals!$B$2:$B$215,MATCH(C333,Radicals!$A$2:$A$215,0))</f>
        <v>衣</v>
      </c>
      <c r="E333" s="10" t="str">
        <f aca="false">INDEX(Radicals!$G$2:$G$215,MATCH(C333,Radicals!$A$2:$A$215,0))</f>
        <v>clothes</v>
      </c>
      <c r="F333" s="8" t="n">
        <f aca="false">INDEX(Radicals!$D$2:$D$215,MATCH(C333,Radicals!$A$2:$A$215,0))</f>
        <v>6</v>
      </c>
      <c r="G333" s="8" t="n">
        <v>12</v>
      </c>
    </row>
    <row r="334" customFormat="false" ht="17.35" hidden="false" customHeight="false" outlineLevel="0" collapsed="false">
      <c r="A334" s="8" t="n">
        <v>333</v>
      </c>
      <c r="B334" s="9" t="s">
        <v>835</v>
      </c>
      <c r="C334" s="8" t="n">
        <v>159</v>
      </c>
      <c r="D334" s="9" t="str">
        <f aca="false">INDEX(Radicals!$B$2:$B$215,MATCH(C334,Radicals!$A$2:$A$215,0))</f>
        <v>車</v>
      </c>
      <c r="E334" s="10" t="str">
        <f aca="false">INDEX(Radicals!$G$2:$G$215,MATCH(C334,Radicals!$A$2:$A$215,0))</f>
        <v>cart, vehicle</v>
      </c>
      <c r="F334" s="8" t="n">
        <f aca="false">INDEX(Radicals!$D$2:$D$215,MATCH(C334,Radicals!$A$2:$A$215,0))</f>
        <v>7</v>
      </c>
      <c r="G334" s="8" t="n">
        <v>7</v>
      </c>
    </row>
    <row r="335" customFormat="false" ht="17.35" hidden="false" customHeight="false" outlineLevel="0" collapsed="false">
      <c r="A335" s="8" t="n">
        <v>334</v>
      </c>
      <c r="B335" s="9" t="s">
        <v>1397</v>
      </c>
      <c r="C335" s="8" t="n">
        <v>9</v>
      </c>
      <c r="D335" s="9" t="str">
        <f aca="false">INDEX(Radicals!$B$2:$B$215,MATCH(C335,Radicals!$A$2:$A$215,0))</f>
        <v>人</v>
      </c>
      <c r="E335" s="10" t="str">
        <f aca="false">INDEX(Radicals!$G$2:$G$215,MATCH(C335,Radicals!$A$2:$A$215,0))</f>
        <v>person</v>
      </c>
      <c r="F335" s="8" t="n">
        <f aca="false">INDEX(Radicals!$D$2:$D$215,MATCH(C335,Radicals!$A$2:$A$215,0))</f>
        <v>2</v>
      </c>
      <c r="G335" s="8" t="n">
        <v>17</v>
      </c>
    </row>
    <row r="336" customFormat="false" ht="17.35" hidden="false" customHeight="false" outlineLevel="0" collapsed="false">
      <c r="A336" s="8" t="n">
        <v>335</v>
      </c>
      <c r="B336" s="9" t="s">
        <v>1398</v>
      </c>
      <c r="C336" s="8" t="n">
        <v>37</v>
      </c>
      <c r="D336" s="9" t="str">
        <f aca="false">INDEX(Radicals!$B$2:$B$215,MATCH(C336,Radicals!$A$2:$A$215,0))</f>
        <v>大</v>
      </c>
      <c r="E336" s="10" t="str">
        <f aca="false">INDEX(Radicals!$G$2:$G$215,MATCH(C336,Radicals!$A$2:$A$215,0))</f>
        <v>big</v>
      </c>
      <c r="F336" s="8" t="n">
        <f aca="false">INDEX(Radicals!$D$2:$D$215,MATCH(C336,Radicals!$A$2:$A$215,0))</f>
        <v>3</v>
      </c>
      <c r="G336" s="8" t="n">
        <v>4</v>
      </c>
    </row>
    <row r="337" customFormat="false" ht="17.35" hidden="false" customHeight="false" outlineLevel="0" collapsed="false">
      <c r="A337" s="8" t="n">
        <v>336</v>
      </c>
      <c r="B337" s="9" t="s">
        <v>1399</v>
      </c>
      <c r="C337" s="8" t="n">
        <v>112</v>
      </c>
      <c r="D337" s="9" t="str">
        <f aca="false">INDEX(Radicals!$B$2:$B$215,MATCH(C337,Radicals!$A$2:$A$215,0))</f>
        <v>石</v>
      </c>
      <c r="E337" s="10" t="str">
        <f aca="false">INDEX(Radicals!$G$2:$G$215,MATCH(C337,Radicals!$A$2:$A$215,0))</f>
        <v>stone</v>
      </c>
      <c r="F337" s="8" t="n">
        <f aca="false">INDEX(Radicals!$D$2:$D$215,MATCH(C337,Radicals!$A$2:$A$215,0))</f>
        <v>5</v>
      </c>
      <c r="G337" s="8" t="n">
        <v>9</v>
      </c>
    </row>
    <row r="338" customFormat="false" ht="17.35" hidden="false" customHeight="false" outlineLevel="0" collapsed="false">
      <c r="A338" s="8" t="n">
        <v>337</v>
      </c>
      <c r="B338" s="9" t="s">
        <v>1400</v>
      </c>
      <c r="C338" s="8" t="n">
        <v>29</v>
      </c>
      <c r="D338" s="9" t="str">
        <f aca="false">INDEX(Radicals!$B$2:$B$215,MATCH(C338,Radicals!$A$2:$A$215,0))</f>
        <v>又</v>
      </c>
      <c r="E338" s="10" t="str">
        <f aca="false">INDEX(Radicals!$G$2:$G$215,MATCH(C338,Radicals!$A$2:$A$215,0))</f>
        <v>again, right hand</v>
      </c>
      <c r="F338" s="8" t="n">
        <f aca="false">INDEX(Radicals!$D$2:$D$215,MATCH(C338,Radicals!$A$2:$A$215,0))</f>
        <v>2</v>
      </c>
      <c r="G338" s="8" t="n">
        <v>4</v>
      </c>
    </row>
    <row r="339" customFormat="false" ht="17.35" hidden="false" customHeight="false" outlineLevel="0" collapsed="false">
      <c r="A339" s="8" t="n">
        <v>338</v>
      </c>
      <c r="B339" s="9" t="s">
        <v>1401</v>
      </c>
      <c r="C339" s="8" t="n">
        <v>69</v>
      </c>
      <c r="D339" s="9" t="str">
        <f aca="false">INDEX(Radicals!$B$2:$B$215,MATCH(C339,Radicals!$A$2:$A$215,0))</f>
        <v>斤</v>
      </c>
      <c r="E339" s="10" t="str">
        <f aca="false">INDEX(Radicals!$G$2:$G$215,MATCH(C339,Radicals!$A$2:$A$215,0))</f>
        <v>axe</v>
      </c>
      <c r="F339" s="8" t="n">
        <f aca="false">INDEX(Radicals!$D$2:$D$215,MATCH(C339,Radicals!$A$2:$A$215,0))</f>
        <v>4</v>
      </c>
      <c r="G339" s="8" t="n">
        <v>11</v>
      </c>
    </row>
    <row r="340" customFormat="false" ht="17.35" hidden="false" customHeight="false" outlineLevel="0" collapsed="false">
      <c r="A340" s="8" t="n">
        <v>339</v>
      </c>
      <c r="B340" s="9" t="s">
        <v>1402</v>
      </c>
      <c r="C340" s="8" t="n">
        <v>7</v>
      </c>
      <c r="D340" s="9" t="str">
        <f aca="false">INDEX(Radicals!$B$2:$B$215,MATCH(C340,Radicals!$A$2:$A$215,0))</f>
        <v>二</v>
      </c>
      <c r="E340" s="10" t="str">
        <f aca="false">INDEX(Radicals!$G$2:$G$215,MATCH(C340,Radicals!$A$2:$A$215,0))</f>
        <v>two</v>
      </c>
      <c r="F340" s="8" t="n">
        <f aca="false">INDEX(Radicals!$D$2:$D$215,MATCH(C340,Radicals!$A$2:$A$215,0))</f>
        <v>2</v>
      </c>
      <c r="G340" s="8" t="n">
        <v>4</v>
      </c>
    </row>
    <row r="341" customFormat="false" ht="17.35" hidden="false" customHeight="false" outlineLevel="0" collapsed="false">
      <c r="A341" s="8" t="n">
        <v>340</v>
      </c>
      <c r="B341" s="9" t="s">
        <v>1403</v>
      </c>
      <c r="C341" s="8" t="n">
        <v>9</v>
      </c>
      <c r="D341" s="9" t="str">
        <f aca="false">INDEX(Radicals!$B$2:$B$215,MATCH(C341,Radicals!$A$2:$A$215,0))</f>
        <v>人</v>
      </c>
      <c r="E341" s="10" t="str">
        <f aca="false">INDEX(Radicals!$G$2:$G$215,MATCH(C341,Radicals!$A$2:$A$215,0))</f>
        <v>person</v>
      </c>
      <c r="F341" s="8" t="n">
        <f aca="false">INDEX(Radicals!$D$2:$D$215,MATCH(C341,Radicals!$A$2:$A$215,0))</f>
        <v>2</v>
      </c>
      <c r="G341" s="8" t="n">
        <v>7</v>
      </c>
    </row>
    <row r="342" customFormat="false" ht="17.35" hidden="false" customHeight="false" outlineLevel="0" collapsed="false">
      <c r="A342" s="8" t="n">
        <v>341</v>
      </c>
      <c r="B342" s="9" t="s">
        <v>1404</v>
      </c>
      <c r="C342" s="8" t="n">
        <v>24</v>
      </c>
      <c r="D342" s="9" t="str">
        <f aca="false">INDEX(Radicals!$B$2:$B$215,MATCH(C342,Radicals!$A$2:$A$215,0))</f>
        <v>十</v>
      </c>
      <c r="E342" s="10" t="str">
        <f aca="false">INDEX(Radicals!$G$2:$G$215,MATCH(C342,Radicals!$A$2:$A$215,0))</f>
        <v>ten</v>
      </c>
      <c r="F342" s="8" t="n">
        <f aca="false">INDEX(Radicals!$D$2:$D$215,MATCH(C342,Radicals!$A$2:$A$215,0))</f>
        <v>2</v>
      </c>
      <c r="G342" s="8" t="n">
        <v>9</v>
      </c>
    </row>
    <row r="343" customFormat="false" ht="17.35" hidden="false" customHeight="false" outlineLevel="0" collapsed="false">
      <c r="A343" s="8" t="n">
        <v>342</v>
      </c>
      <c r="B343" s="9" t="s">
        <v>592</v>
      </c>
      <c r="C343" s="8" t="n">
        <v>112</v>
      </c>
      <c r="D343" s="9" t="str">
        <f aca="false">INDEX(Radicals!$B$2:$B$215,MATCH(C343,Radicals!$A$2:$A$215,0))</f>
        <v>石</v>
      </c>
      <c r="E343" s="10" t="str">
        <f aca="false">INDEX(Radicals!$G$2:$G$215,MATCH(C343,Radicals!$A$2:$A$215,0))</f>
        <v>stone</v>
      </c>
      <c r="F343" s="8" t="n">
        <f aca="false">INDEX(Radicals!$D$2:$D$215,MATCH(C343,Radicals!$A$2:$A$215,0))</f>
        <v>5</v>
      </c>
      <c r="G343" s="8" t="n">
        <v>5</v>
      </c>
    </row>
    <row r="344" customFormat="false" ht="17.35" hidden="false" customHeight="false" outlineLevel="0" collapsed="false">
      <c r="A344" s="8" t="n">
        <v>343</v>
      </c>
      <c r="B344" s="9" t="s">
        <v>825</v>
      </c>
      <c r="C344" s="8" t="n">
        <v>157</v>
      </c>
      <c r="D344" s="9" t="str">
        <f aca="false">INDEX(Radicals!$B$2:$B$215,MATCH(C344,Radicals!$A$2:$A$215,0))</f>
        <v>足</v>
      </c>
      <c r="E344" s="10" t="str">
        <f aca="false">INDEX(Radicals!$G$2:$G$215,MATCH(C344,Radicals!$A$2:$A$215,0))</f>
        <v>foot, leg</v>
      </c>
      <c r="F344" s="8" t="n">
        <f aca="false">INDEX(Radicals!$D$2:$D$215,MATCH(C344,Radicals!$A$2:$A$215,0))</f>
        <v>7</v>
      </c>
      <c r="G344" s="8" t="n">
        <v>7</v>
      </c>
    </row>
    <row r="345" customFormat="false" ht="17.35" hidden="false" customHeight="false" outlineLevel="0" collapsed="false">
      <c r="A345" s="8" t="n">
        <v>344</v>
      </c>
      <c r="B345" s="9" t="s">
        <v>1405</v>
      </c>
      <c r="C345" s="8" t="n">
        <v>162</v>
      </c>
      <c r="D345" s="9" t="str">
        <f aca="false">INDEX(Radicals!$B$2:$B$215,MATCH(C345,Radicals!$A$2:$A$215,0))</f>
        <v>辵</v>
      </c>
      <c r="E345" s="10" t="str">
        <f aca="false">INDEX(Radicals!$G$2:$G$215,MATCH(C345,Radicals!$A$2:$A$215,0))</f>
        <v>walk, movement</v>
      </c>
      <c r="F345" s="8" t="n">
        <f aca="false">INDEX(Radicals!$D$2:$D$215,MATCH(C345,Radicals!$A$2:$A$215,0))</f>
        <v>7</v>
      </c>
      <c r="G345" s="8" t="n">
        <v>13</v>
      </c>
    </row>
    <row r="346" customFormat="false" ht="17.35" hidden="false" customHeight="false" outlineLevel="0" collapsed="false">
      <c r="A346" s="8" t="n">
        <v>345</v>
      </c>
      <c r="B346" s="9" t="s">
        <v>1406</v>
      </c>
      <c r="C346" s="8" t="n">
        <v>85</v>
      </c>
      <c r="D346" s="9" t="str">
        <f aca="false">INDEX(Radicals!$B$2:$B$215,MATCH(C346,Radicals!$A$2:$A$215,0))</f>
        <v>水</v>
      </c>
      <c r="E346" s="10" t="str">
        <f aca="false">INDEX(Radicals!$G$2:$G$215,MATCH(C346,Radicals!$A$2:$A$215,0))</f>
        <v>water</v>
      </c>
      <c r="F346" s="8" t="n">
        <f aca="false">INDEX(Radicals!$D$2:$D$215,MATCH(C346,Radicals!$A$2:$A$215,0))</f>
        <v>4</v>
      </c>
      <c r="G346" s="8" t="n">
        <v>10</v>
      </c>
    </row>
    <row r="347" customFormat="false" ht="17.35" hidden="false" customHeight="false" outlineLevel="0" collapsed="false">
      <c r="A347" s="8" t="n">
        <v>346</v>
      </c>
      <c r="B347" s="9" t="s">
        <v>1407</v>
      </c>
      <c r="C347" s="8" t="n">
        <v>32</v>
      </c>
      <c r="D347" s="9" t="str">
        <f aca="false">INDEX(Radicals!$B$2:$B$215,MATCH(C347,Radicals!$A$2:$A$215,0))</f>
        <v>土</v>
      </c>
      <c r="E347" s="10" t="str">
        <f aca="false">INDEX(Radicals!$G$2:$G$215,MATCH(C347,Radicals!$A$2:$A$215,0))</f>
        <v>earth, soil</v>
      </c>
      <c r="F347" s="8" t="n">
        <f aca="false">INDEX(Radicals!$D$2:$D$215,MATCH(C347,Radicals!$A$2:$A$215,0))</f>
        <v>3</v>
      </c>
      <c r="G347" s="8" t="n">
        <v>14</v>
      </c>
    </row>
    <row r="348" customFormat="false" ht="17.35" hidden="false" customHeight="false" outlineLevel="0" collapsed="false">
      <c r="A348" s="8" t="n">
        <v>347</v>
      </c>
      <c r="B348" s="9" t="s">
        <v>1408</v>
      </c>
      <c r="C348" s="8" t="n">
        <v>113</v>
      </c>
      <c r="D348" s="9" t="str">
        <f aca="false">INDEX(Radicals!$B$2:$B$215,MATCH(C348,Radicals!$A$2:$A$215,0))</f>
        <v>示</v>
      </c>
      <c r="E348" s="10" t="str">
        <f aca="false">INDEX(Radicals!$G$2:$G$215,MATCH(C348,Radicals!$A$2:$A$215,0))</f>
        <v>spirit, altar, show</v>
      </c>
      <c r="F348" s="8" t="n">
        <f aca="false">INDEX(Radicals!$D$2:$D$215,MATCH(C348,Radicals!$A$2:$A$215,0))</f>
        <v>5</v>
      </c>
      <c r="G348" s="8" t="n">
        <v>9</v>
      </c>
    </row>
    <row r="349" customFormat="false" ht="17.35" hidden="false" customHeight="false" outlineLevel="0" collapsed="false">
      <c r="A349" s="8" t="n">
        <v>348</v>
      </c>
      <c r="B349" s="9" t="s">
        <v>1409</v>
      </c>
      <c r="C349" s="8" t="n">
        <v>102</v>
      </c>
      <c r="D349" s="9" t="str">
        <f aca="false">INDEX(Radicals!$B$2:$B$215,MATCH(C349,Radicals!$A$2:$A$215,0))</f>
        <v>田</v>
      </c>
      <c r="E349" s="10" t="str">
        <f aca="false">INDEX(Radicals!$G$2:$G$215,MATCH(C349,Radicals!$A$2:$A$215,0))</f>
        <v>field, paddy</v>
      </c>
      <c r="F349" s="8" t="n">
        <f aca="false">INDEX(Radicals!$D$2:$D$215,MATCH(C349,Radicals!$A$2:$A$215,0))</f>
        <v>5</v>
      </c>
      <c r="G349" s="8" t="n">
        <v>12</v>
      </c>
    </row>
    <row r="350" customFormat="false" ht="17.35" hidden="false" customHeight="false" outlineLevel="0" collapsed="false">
      <c r="A350" s="8" t="n">
        <v>349</v>
      </c>
      <c r="B350" s="9" t="s">
        <v>1410</v>
      </c>
      <c r="C350" s="8" t="n">
        <v>147</v>
      </c>
      <c r="D350" s="9" t="str">
        <f aca="false">INDEX(Radicals!$B$2:$B$215,MATCH(C350,Radicals!$A$2:$A$215,0))</f>
        <v>見</v>
      </c>
      <c r="E350" s="10" t="str">
        <f aca="false">INDEX(Radicals!$G$2:$G$215,MATCH(C350,Radicals!$A$2:$A$215,0))</f>
        <v>see</v>
      </c>
      <c r="F350" s="8" t="n">
        <f aca="false">INDEX(Radicals!$D$2:$D$215,MATCH(C350,Radicals!$A$2:$A$215,0))</f>
        <v>7</v>
      </c>
      <c r="G350" s="8" t="n">
        <v>11</v>
      </c>
    </row>
    <row r="351" customFormat="false" ht="17.35" hidden="false" customHeight="false" outlineLevel="0" collapsed="false">
      <c r="A351" s="8" t="n">
        <v>350</v>
      </c>
      <c r="B351" s="9" t="s">
        <v>1411</v>
      </c>
      <c r="C351" s="8" t="n">
        <v>144</v>
      </c>
      <c r="D351" s="9" t="str">
        <f aca="false">INDEX(Radicals!$B$2:$B$215,MATCH(C351,Radicals!$A$2:$A$215,0))</f>
        <v>行</v>
      </c>
      <c r="E351" s="10" t="str">
        <f aca="false">INDEX(Radicals!$G$2:$G$215,MATCH(C351,Radicals!$A$2:$A$215,0))</f>
        <v>walk, go, line</v>
      </c>
      <c r="F351" s="8" t="n">
        <f aca="false">INDEX(Radicals!$D$2:$D$215,MATCH(C351,Radicals!$A$2:$A$215,0))</f>
        <v>6</v>
      </c>
      <c r="G351" s="8" t="n">
        <v>11</v>
      </c>
    </row>
    <row r="352" customFormat="false" ht="17.35" hidden="false" customHeight="false" outlineLevel="0" collapsed="false">
      <c r="A352" s="8" t="n">
        <v>351</v>
      </c>
      <c r="B352" s="9" t="s">
        <v>1412</v>
      </c>
      <c r="C352" s="8" t="n">
        <v>149</v>
      </c>
      <c r="D352" s="9" t="str">
        <f aca="false">INDEX(Radicals!$B$2:$B$215,MATCH(C352,Radicals!$A$2:$A$215,0))</f>
        <v>言</v>
      </c>
      <c r="E352" s="10" t="str">
        <f aca="false">INDEX(Radicals!$G$2:$G$215,MATCH(C352,Radicals!$A$2:$A$215,0))</f>
        <v>speech, say</v>
      </c>
      <c r="F352" s="8" t="n">
        <f aca="false">INDEX(Radicals!$D$2:$D$215,MATCH(C352,Radicals!$A$2:$A$215,0))</f>
        <v>7</v>
      </c>
      <c r="G352" s="8" t="n">
        <v>20</v>
      </c>
    </row>
    <row r="353" customFormat="false" ht="17.35" hidden="false" customHeight="false" outlineLevel="0" collapsed="false">
      <c r="A353" s="8" t="n">
        <v>352</v>
      </c>
      <c r="B353" s="9" t="s">
        <v>1413</v>
      </c>
      <c r="C353" s="8" t="n">
        <v>44</v>
      </c>
      <c r="D353" s="9" t="str">
        <f aca="false">INDEX(Radicals!$B$2:$B$215,MATCH(C353,Radicals!$A$2:$A$215,0))</f>
        <v>尸</v>
      </c>
      <c r="E353" s="10" t="str">
        <f aca="false">INDEX(Radicals!$G$2:$G$215,MATCH(C353,Radicals!$A$2:$A$215,0))</f>
        <v>corpse, body</v>
      </c>
      <c r="F353" s="8" t="n">
        <f aca="false">INDEX(Radicals!$D$2:$D$215,MATCH(C353,Radicals!$A$2:$A$215,0))</f>
        <v>3</v>
      </c>
      <c r="G353" s="8" t="n">
        <v>10</v>
      </c>
    </row>
    <row r="354" customFormat="false" ht="17.35" hidden="false" customHeight="false" outlineLevel="0" collapsed="false">
      <c r="A354" s="8" t="n">
        <v>353</v>
      </c>
      <c r="B354" s="9" t="s">
        <v>1414</v>
      </c>
      <c r="C354" s="8" t="n">
        <v>61</v>
      </c>
      <c r="D354" s="9" t="str">
        <f aca="false">INDEX(Radicals!$B$2:$B$215,MATCH(C354,Radicals!$A$2:$A$215,0))</f>
        <v>心</v>
      </c>
      <c r="E354" s="10" t="str">
        <f aca="false">INDEX(Radicals!$G$2:$G$215,MATCH(C354,Radicals!$A$2:$A$215,0))</f>
        <v>heart, mind</v>
      </c>
      <c r="F354" s="8" t="n">
        <f aca="false">INDEX(Radicals!$D$2:$D$215,MATCH(C354,Radicals!$A$2:$A$215,0))</f>
        <v>4</v>
      </c>
      <c r="G354" s="8" t="n">
        <v>14</v>
      </c>
    </row>
    <row r="355" customFormat="false" ht="17.35" hidden="false" customHeight="false" outlineLevel="0" collapsed="false">
      <c r="A355" s="8" t="n">
        <v>354</v>
      </c>
      <c r="B355" s="9" t="s">
        <v>1415</v>
      </c>
      <c r="C355" s="8" t="n">
        <v>41</v>
      </c>
      <c r="D355" s="9" t="str">
        <f aca="false">INDEX(Radicals!$B$2:$B$215,MATCH(C355,Radicals!$A$2:$A$215,0))</f>
        <v>寸</v>
      </c>
      <c r="E355" s="10" t="str">
        <f aca="false">INDEX(Radicals!$G$2:$G$215,MATCH(C355,Radicals!$A$2:$A$215,0))</f>
        <v>inch</v>
      </c>
      <c r="F355" s="8" t="n">
        <f aca="false">INDEX(Radicals!$D$2:$D$215,MATCH(C355,Radicals!$A$2:$A$215,0))</f>
        <v>3</v>
      </c>
      <c r="G355" s="8" t="n">
        <v>15</v>
      </c>
    </row>
    <row r="356" customFormat="false" ht="17.35" hidden="false" customHeight="false" outlineLevel="0" collapsed="false">
      <c r="A356" s="8" t="n">
        <v>355</v>
      </c>
      <c r="B356" s="9" t="s">
        <v>1416</v>
      </c>
      <c r="C356" s="8" t="n">
        <v>195</v>
      </c>
      <c r="D356" s="9" t="str">
        <f aca="false">INDEX(Radicals!$B$2:$B$215,MATCH(C356,Radicals!$A$2:$A$215,0))</f>
        <v>魚</v>
      </c>
      <c r="E356" s="10" t="str">
        <f aca="false">INDEX(Radicals!$G$2:$G$215,MATCH(C356,Radicals!$A$2:$A$215,0))</f>
        <v>fish</v>
      </c>
      <c r="F356" s="8" t="n">
        <f aca="false">INDEX(Radicals!$D$2:$D$215,MATCH(C356,Radicals!$A$2:$A$215,0))</f>
        <v>11</v>
      </c>
      <c r="G356" s="8" t="n">
        <v>17</v>
      </c>
    </row>
    <row r="357" customFormat="false" ht="17.35" hidden="false" customHeight="false" outlineLevel="0" collapsed="false">
      <c r="A357" s="8" t="n">
        <v>356</v>
      </c>
      <c r="B357" s="9" t="s">
        <v>1417</v>
      </c>
      <c r="C357" s="8" t="n">
        <v>9</v>
      </c>
      <c r="D357" s="9" t="str">
        <f aca="false">INDEX(Radicals!$B$2:$B$215,MATCH(C357,Radicals!$A$2:$A$215,0))</f>
        <v>人</v>
      </c>
      <c r="E357" s="10" t="str">
        <f aca="false">INDEX(Radicals!$G$2:$G$215,MATCH(C357,Radicals!$A$2:$A$215,0))</f>
        <v>person</v>
      </c>
      <c r="F357" s="8" t="n">
        <f aca="false">INDEX(Radicals!$D$2:$D$215,MATCH(C357,Radicals!$A$2:$A$215,0))</f>
        <v>2</v>
      </c>
      <c r="G357" s="8" t="n">
        <v>12</v>
      </c>
    </row>
    <row r="358" customFormat="false" ht="17.35" hidden="false" customHeight="false" outlineLevel="0" collapsed="false">
      <c r="A358" s="8" t="n">
        <v>357</v>
      </c>
      <c r="B358" s="9" t="s">
        <v>1418</v>
      </c>
      <c r="C358" s="8" t="n">
        <v>40</v>
      </c>
      <c r="D358" s="9" t="str">
        <f aca="false">INDEX(Radicals!$B$2:$B$215,MATCH(C358,Radicals!$A$2:$A$215,0))</f>
        <v>宀</v>
      </c>
      <c r="E358" s="10" t="str">
        <f aca="false">INDEX(Radicals!$G$2:$G$215,MATCH(C358,Radicals!$A$2:$A$215,0))</f>
        <v>roof</v>
      </c>
      <c r="F358" s="8" t="n">
        <f aca="false">INDEX(Radicals!$D$2:$D$215,MATCH(C358,Radicals!$A$2:$A$215,0))</f>
        <v>3</v>
      </c>
      <c r="G358" s="8" t="n">
        <v>6</v>
      </c>
    </row>
    <row r="359" customFormat="false" ht="17.35" hidden="false" customHeight="false" outlineLevel="0" collapsed="false">
      <c r="A359" s="8" t="n">
        <v>358</v>
      </c>
      <c r="B359" s="9" t="s">
        <v>1419</v>
      </c>
      <c r="C359" s="8" t="n">
        <v>40</v>
      </c>
      <c r="D359" s="9" t="str">
        <f aca="false">INDEX(Radicals!$B$2:$B$215,MATCH(C359,Radicals!$A$2:$A$215,0))</f>
        <v>宀</v>
      </c>
      <c r="E359" s="10" t="str">
        <f aca="false">INDEX(Radicals!$G$2:$G$215,MATCH(C359,Radicals!$A$2:$A$215,0))</f>
        <v>roof</v>
      </c>
      <c r="F359" s="8" t="n">
        <f aca="false">INDEX(Radicals!$D$2:$D$215,MATCH(C359,Radicals!$A$2:$A$215,0))</f>
        <v>3</v>
      </c>
      <c r="G359" s="8" t="n">
        <v>10</v>
      </c>
    </row>
    <row r="360" customFormat="false" ht="17.35" hidden="false" customHeight="false" outlineLevel="0" collapsed="false">
      <c r="A360" s="8" t="n">
        <v>359</v>
      </c>
      <c r="B360" s="9" t="s">
        <v>1420</v>
      </c>
      <c r="C360" s="8" t="n">
        <v>164</v>
      </c>
      <c r="D360" s="9" t="str">
        <f aca="false">INDEX(Radicals!$B$2:$B$215,MATCH(C360,Radicals!$A$2:$A$215,0))</f>
        <v>酉</v>
      </c>
      <c r="E360" s="10" t="str">
        <f aca="false">INDEX(Radicals!$G$2:$G$215,MATCH(C360,Radicals!$A$2:$A$215,0))</f>
        <v>wine, 10th zodiac sign (rooster)</v>
      </c>
      <c r="F360" s="8" t="n">
        <f aca="false">INDEX(Radicals!$D$2:$D$215,MATCH(C360,Radicals!$A$2:$A$215,0))</f>
        <v>7</v>
      </c>
      <c r="G360" s="8" t="n">
        <v>10</v>
      </c>
    </row>
    <row r="361" customFormat="false" ht="17.35" hidden="false" customHeight="false" outlineLevel="0" collapsed="false">
      <c r="A361" s="8" t="n">
        <v>360</v>
      </c>
      <c r="B361" s="9" t="s">
        <v>1421</v>
      </c>
      <c r="C361" s="8" t="n">
        <v>18</v>
      </c>
      <c r="D361" s="9" t="str">
        <f aca="false">INDEX(Radicals!$B$2:$B$215,MATCH(C361,Radicals!$A$2:$A$215,0))</f>
        <v>刀</v>
      </c>
      <c r="E361" s="10" t="str">
        <f aca="false">INDEX(Radicals!$G$2:$G$215,MATCH(C361,Radicals!$A$2:$A$215,0))</f>
        <v>knife, sword</v>
      </c>
      <c r="F361" s="8" t="n">
        <f aca="false">INDEX(Radicals!$D$2:$D$215,MATCH(C361,Radicals!$A$2:$A$215,0))</f>
        <v>2</v>
      </c>
      <c r="G361" s="8" t="n">
        <v>11</v>
      </c>
    </row>
    <row r="362" customFormat="false" ht="17.35" hidden="false" customHeight="false" outlineLevel="0" collapsed="false">
      <c r="A362" s="8" t="n">
        <v>361</v>
      </c>
      <c r="B362" s="9" t="s">
        <v>1422</v>
      </c>
      <c r="C362" s="8" t="n">
        <v>118</v>
      </c>
      <c r="D362" s="9" t="str">
        <f aca="false">INDEX(Radicals!$B$2:$B$215,MATCH(C362,Radicals!$A$2:$A$215,0))</f>
        <v>竹</v>
      </c>
      <c r="E362" s="10" t="str">
        <f aca="false">INDEX(Radicals!$G$2:$G$215,MATCH(C362,Radicals!$A$2:$A$215,0))</f>
        <v>bamboo</v>
      </c>
      <c r="F362" s="8" t="n">
        <f aca="false">INDEX(Radicals!$D$2:$D$215,MATCH(C362,Radicals!$A$2:$A$215,0))</f>
        <v>6</v>
      </c>
      <c r="G362" s="8" t="n">
        <v>14</v>
      </c>
    </row>
    <row r="363" customFormat="false" ht="17.35" hidden="false" customHeight="false" outlineLevel="0" collapsed="false">
      <c r="A363" s="8" t="n">
        <v>362</v>
      </c>
      <c r="B363" s="9" t="s">
        <v>1423</v>
      </c>
      <c r="C363" s="8" t="n">
        <v>147</v>
      </c>
      <c r="D363" s="9" t="str">
        <f aca="false">INDEX(Radicals!$B$2:$B$215,MATCH(C363,Radicals!$A$2:$A$215,0))</f>
        <v>見</v>
      </c>
      <c r="E363" s="10" t="str">
        <f aca="false">INDEX(Radicals!$G$2:$G$215,MATCH(C363,Radicals!$A$2:$A$215,0))</f>
        <v>see</v>
      </c>
      <c r="F363" s="8" t="n">
        <f aca="false">INDEX(Radicals!$D$2:$D$215,MATCH(C363,Radicals!$A$2:$A$215,0))</f>
        <v>7</v>
      </c>
      <c r="G363" s="8" t="n">
        <v>11</v>
      </c>
    </row>
    <row r="364" customFormat="false" ht="17.35" hidden="false" customHeight="false" outlineLevel="0" collapsed="false">
      <c r="A364" s="8" t="n">
        <v>363</v>
      </c>
      <c r="B364" s="9" t="s">
        <v>1424</v>
      </c>
      <c r="C364" s="8" t="n">
        <v>75</v>
      </c>
      <c r="D364" s="9" t="str">
        <f aca="false">INDEX(Radicals!$B$2:$B$215,MATCH(C364,Radicals!$A$2:$A$215,0))</f>
        <v>木</v>
      </c>
      <c r="E364" s="10" t="str">
        <f aca="false">INDEX(Radicals!$G$2:$G$215,MATCH(C364,Radicals!$A$2:$A$215,0))</f>
        <v>tree, wood</v>
      </c>
      <c r="F364" s="8" t="n">
        <f aca="false">INDEX(Radicals!$D$2:$D$215,MATCH(C364,Radicals!$A$2:$A$215,0))</f>
        <v>4</v>
      </c>
      <c r="G364" s="8" t="n">
        <v>7</v>
      </c>
    </row>
    <row r="365" customFormat="false" ht="17.35" hidden="false" customHeight="false" outlineLevel="0" collapsed="false">
      <c r="A365" s="8" t="n">
        <v>364</v>
      </c>
      <c r="B365" s="9" t="s">
        <v>1425</v>
      </c>
      <c r="C365" s="8" t="n">
        <v>51</v>
      </c>
      <c r="D365" s="9" t="str">
        <f aca="false">INDEX(Radicals!$B$2:$B$215,MATCH(C365,Radicals!$A$2:$A$215,0))</f>
        <v>干</v>
      </c>
      <c r="E365" s="10" t="str">
        <f aca="false">INDEX(Radicals!$G$2:$G$215,MATCH(C365,Radicals!$A$2:$A$215,0))</f>
        <v>dry, to do with</v>
      </c>
      <c r="F365" s="8" t="n">
        <f aca="false">INDEX(Radicals!$D$2:$D$215,MATCH(C365,Radicals!$A$2:$A$215,0))</f>
        <v>3</v>
      </c>
      <c r="G365" s="8" t="n">
        <v>13</v>
      </c>
    </row>
    <row r="366" customFormat="false" ht="17.35" hidden="false" customHeight="false" outlineLevel="0" collapsed="false">
      <c r="A366" s="8" t="n">
        <v>365</v>
      </c>
      <c r="B366" s="9" t="s">
        <v>1426</v>
      </c>
      <c r="C366" s="8" t="n">
        <v>94</v>
      </c>
      <c r="D366" s="9" t="str">
        <f aca="false">INDEX(Radicals!$B$2:$B$215,MATCH(C366,Radicals!$A$2:$A$215,0))</f>
        <v>犬</v>
      </c>
      <c r="E366" s="10" t="str">
        <f aca="false">INDEX(Radicals!$G$2:$G$215,MATCH(C366,Radicals!$A$2:$A$215,0))</f>
        <v>dog</v>
      </c>
      <c r="F366" s="8" t="n">
        <f aca="false">INDEX(Radicals!$D$2:$D$215,MATCH(C366,Radicals!$A$2:$A$215,0))</f>
        <v>4</v>
      </c>
      <c r="G366" s="8" t="n">
        <v>9</v>
      </c>
    </row>
    <row r="367" customFormat="false" ht="17.35" hidden="false" customHeight="false" outlineLevel="0" collapsed="false">
      <c r="A367" s="8" t="n">
        <v>366</v>
      </c>
      <c r="B367" s="9" t="s">
        <v>1427</v>
      </c>
      <c r="C367" s="8" t="n">
        <v>149</v>
      </c>
      <c r="D367" s="9" t="str">
        <f aca="false">INDEX(Radicals!$B$2:$B$215,MATCH(C367,Radicals!$A$2:$A$215,0))</f>
        <v>言</v>
      </c>
      <c r="E367" s="10" t="str">
        <f aca="false">INDEX(Radicals!$G$2:$G$215,MATCH(C367,Radicals!$A$2:$A$215,0))</f>
        <v>speech, say</v>
      </c>
      <c r="F367" s="8" t="n">
        <f aca="false">INDEX(Radicals!$D$2:$D$215,MATCH(C367,Radicals!$A$2:$A$215,0))</f>
        <v>7</v>
      </c>
      <c r="G367" s="8" t="n">
        <v>19</v>
      </c>
    </row>
    <row r="368" customFormat="false" ht="17.35" hidden="false" customHeight="false" outlineLevel="0" collapsed="false">
      <c r="A368" s="8" t="n">
        <v>367</v>
      </c>
      <c r="B368" s="9" t="s">
        <v>1428</v>
      </c>
      <c r="C368" s="8" t="n">
        <v>40</v>
      </c>
      <c r="D368" s="9" t="str">
        <f aca="false">INDEX(Radicals!$B$2:$B$215,MATCH(C368,Radicals!$A$2:$A$215,0))</f>
        <v>宀</v>
      </c>
      <c r="E368" s="10" t="str">
        <f aca="false">INDEX(Radicals!$G$2:$G$215,MATCH(C368,Radicals!$A$2:$A$215,0))</f>
        <v>roof</v>
      </c>
      <c r="F368" s="8" t="n">
        <f aca="false">INDEX(Radicals!$D$2:$D$215,MATCH(C368,Radicals!$A$2:$A$215,0))</f>
        <v>3</v>
      </c>
      <c r="G368" s="8" t="n">
        <v>10</v>
      </c>
    </row>
    <row r="369" customFormat="false" ht="17.35" hidden="false" customHeight="false" outlineLevel="0" collapsed="false">
      <c r="A369" s="8" t="n">
        <v>368</v>
      </c>
      <c r="B369" s="9" t="s">
        <v>1429</v>
      </c>
      <c r="C369" s="8" t="n">
        <v>116</v>
      </c>
      <c r="D369" s="9" t="str">
        <f aca="false">INDEX(Radicals!$B$2:$B$215,MATCH(C369,Radicals!$A$2:$A$215,0))</f>
        <v>穴</v>
      </c>
      <c r="E369" s="10" t="str">
        <f aca="false">INDEX(Radicals!$G$2:$G$215,MATCH(C369,Radicals!$A$2:$A$215,0))</f>
        <v>cave, hole</v>
      </c>
      <c r="F369" s="8" t="n">
        <f aca="false">INDEX(Radicals!$D$2:$D$215,MATCH(C369,Radicals!$A$2:$A$215,0))</f>
        <v>5</v>
      </c>
      <c r="G369" s="8" t="n">
        <v>7</v>
      </c>
    </row>
    <row r="370" customFormat="false" ht="17.35" hidden="false" customHeight="false" outlineLevel="0" collapsed="false">
      <c r="A370" s="8" t="n">
        <v>369</v>
      </c>
      <c r="B370" s="9" t="s">
        <v>1430</v>
      </c>
      <c r="C370" s="8" t="n">
        <v>130</v>
      </c>
      <c r="D370" s="9" t="str">
        <f aca="false">INDEX(Radicals!$B$2:$B$215,MATCH(C370,Radicals!$A$2:$A$215,0))</f>
        <v>肉</v>
      </c>
      <c r="E370" s="10" t="str">
        <f aca="false">INDEX(Radicals!$G$2:$G$215,MATCH(C370,Radicals!$A$2:$A$215,0))</f>
        <v>meat, flesh</v>
      </c>
      <c r="F370" s="8" t="n">
        <f aca="false">INDEX(Radicals!$D$2:$D$215,MATCH(C370,Radicals!$A$2:$A$215,0))</f>
        <v>6</v>
      </c>
      <c r="G370" s="8" t="n">
        <v>8</v>
      </c>
    </row>
    <row r="371" customFormat="false" ht="17.35" hidden="false" customHeight="false" outlineLevel="0" collapsed="false">
      <c r="A371" s="8" t="n">
        <v>370</v>
      </c>
      <c r="B371" s="9" t="s">
        <v>1431</v>
      </c>
      <c r="C371" s="8" t="n">
        <v>50</v>
      </c>
      <c r="D371" s="9" t="str">
        <f aca="false">INDEX(Radicals!$B$2:$B$215,MATCH(C371,Radicals!$A$2:$A$215,0))</f>
        <v>巾</v>
      </c>
      <c r="E371" s="10" t="str">
        <f aca="false">INDEX(Radicals!$G$2:$G$215,MATCH(C371,Radicals!$A$2:$A$215,0))</f>
        <v>turban, cloth</v>
      </c>
      <c r="F371" s="8" t="n">
        <f aca="false">INDEX(Radicals!$D$2:$D$215,MATCH(C371,Radicals!$A$2:$A$215,0))</f>
        <v>3</v>
      </c>
      <c r="G371" s="8" t="n">
        <v>10</v>
      </c>
    </row>
    <row r="372" customFormat="false" ht="17.35" hidden="false" customHeight="false" outlineLevel="0" collapsed="false">
      <c r="A372" s="8" t="n">
        <v>371</v>
      </c>
      <c r="B372" s="9" t="s">
        <v>1432</v>
      </c>
      <c r="C372" s="8" t="n">
        <v>159</v>
      </c>
      <c r="D372" s="9" t="str">
        <f aca="false">INDEX(Radicals!$B$2:$B$215,MATCH(C372,Radicals!$A$2:$A$215,0))</f>
        <v>車</v>
      </c>
      <c r="E372" s="10" t="str">
        <f aca="false">INDEX(Radicals!$G$2:$G$215,MATCH(C372,Radicals!$A$2:$A$215,0))</f>
        <v>cart, vehicle</v>
      </c>
      <c r="F372" s="8" t="n">
        <f aca="false">INDEX(Radicals!$D$2:$D$215,MATCH(C372,Radicals!$A$2:$A$215,0))</f>
        <v>7</v>
      </c>
      <c r="G372" s="8" t="n">
        <v>16</v>
      </c>
    </row>
    <row r="373" customFormat="false" ht="17.35" hidden="false" customHeight="false" outlineLevel="0" collapsed="false">
      <c r="A373" s="8" t="n">
        <v>372</v>
      </c>
      <c r="B373" s="9" t="s">
        <v>1433</v>
      </c>
      <c r="C373" s="8" t="n">
        <v>149</v>
      </c>
      <c r="D373" s="9" t="str">
        <f aca="false">INDEX(Radicals!$B$2:$B$215,MATCH(C373,Radicals!$A$2:$A$215,0))</f>
        <v>言</v>
      </c>
      <c r="E373" s="10" t="str">
        <f aca="false">INDEX(Radicals!$G$2:$G$215,MATCH(C373,Radicals!$A$2:$A$215,0))</f>
        <v>speech, say</v>
      </c>
      <c r="F373" s="8" t="n">
        <f aca="false">INDEX(Radicals!$D$2:$D$215,MATCH(C373,Radicals!$A$2:$A$215,0))</f>
        <v>7</v>
      </c>
      <c r="G373" s="8" t="n">
        <v>11</v>
      </c>
    </row>
    <row r="374" customFormat="false" ht="17.35" hidden="false" customHeight="false" outlineLevel="0" collapsed="false">
      <c r="A374" s="8" t="n">
        <v>373</v>
      </c>
      <c r="B374" s="9" t="s">
        <v>1434</v>
      </c>
      <c r="C374" s="8" t="n">
        <v>75</v>
      </c>
      <c r="D374" s="9" t="str">
        <f aca="false">INDEX(Radicals!$B$2:$B$215,MATCH(C374,Radicals!$A$2:$A$215,0))</f>
        <v>木</v>
      </c>
      <c r="E374" s="10" t="str">
        <f aca="false">INDEX(Radicals!$G$2:$G$215,MATCH(C374,Radicals!$A$2:$A$215,0))</f>
        <v>tree, wood</v>
      </c>
      <c r="F374" s="8" t="n">
        <f aca="false">INDEX(Radicals!$D$2:$D$215,MATCH(C374,Radicals!$A$2:$A$215,0))</f>
        <v>4</v>
      </c>
      <c r="G374" s="8" t="n">
        <v>13</v>
      </c>
    </row>
    <row r="375" customFormat="false" ht="17.35" hidden="false" customHeight="false" outlineLevel="0" collapsed="false">
      <c r="A375" s="8" t="n">
        <v>374</v>
      </c>
      <c r="B375" s="9" t="s">
        <v>1435</v>
      </c>
      <c r="C375" s="8" t="n">
        <v>156</v>
      </c>
      <c r="D375" s="9" t="str">
        <f aca="false">INDEX(Radicals!$B$2:$B$215,MATCH(C375,Radicals!$A$2:$A$215,0))</f>
        <v>走</v>
      </c>
      <c r="E375" s="10" t="str">
        <f aca="false">INDEX(Radicals!$G$2:$G$215,MATCH(C375,Radicals!$A$2:$A$215,0))</f>
        <v>run</v>
      </c>
      <c r="F375" s="8" t="n">
        <f aca="false">INDEX(Radicals!$D$2:$D$215,MATCH(C375,Radicals!$A$2:$A$215,0))</f>
        <v>7</v>
      </c>
      <c r="G375" s="8" t="n">
        <v>10</v>
      </c>
    </row>
    <row r="376" customFormat="false" ht="17.35" hidden="false" customHeight="false" outlineLevel="0" collapsed="false">
      <c r="A376" s="8" t="n">
        <v>375</v>
      </c>
      <c r="B376" s="9" t="s">
        <v>1436</v>
      </c>
      <c r="C376" s="8" t="n">
        <v>1</v>
      </c>
      <c r="D376" s="9" t="str">
        <f aca="false">INDEX(Radicals!$B$2:$B$215,MATCH(C376,Radicals!$A$2:$A$215,0))</f>
        <v>一</v>
      </c>
      <c r="E376" s="10" t="str">
        <f aca="false">INDEX(Radicals!$G$2:$G$215,MATCH(C376,Radicals!$A$2:$A$215,0))</f>
        <v>one</v>
      </c>
      <c r="F376" s="8" t="n">
        <f aca="false">INDEX(Radicals!$D$2:$D$215,MATCH(C376,Radicals!$A$2:$A$215,0))</f>
        <v>1</v>
      </c>
      <c r="G376" s="8" t="n">
        <v>3</v>
      </c>
    </row>
    <row r="377" customFormat="false" ht="17.35" hidden="false" customHeight="false" outlineLevel="0" collapsed="false">
      <c r="A377" s="8" t="n">
        <v>376</v>
      </c>
      <c r="B377" s="9" t="s">
        <v>1437</v>
      </c>
      <c r="C377" s="8" t="n">
        <v>109</v>
      </c>
      <c r="D377" s="9" t="str">
        <f aca="false">INDEX(Radicals!$B$2:$B$215,MATCH(C377,Radicals!$A$2:$A$215,0))</f>
        <v>目</v>
      </c>
      <c r="E377" s="10" t="str">
        <f aca="false">INDEX(Radicals!$G$2:$G$215,MATCH(C377,Radicals!$A$2:$A$215,0))</f>
        <v>eye</v>
      </c>
      <c r="F377" s="8" t="n">
        <f aca="false">INDEX(Radicals!$D$2:$D$215,MATCH(C377,Radicals!$A$2:$A$215,0))</f>
        <v>5</v>
      </c>
      <c r="G377" s="8" t="n">
        <v>12</v>
      </c>
    </row>
    <row r="378" customFormat="false" ht="17.35" hidden="false" customHeight="false" outlineLevel="0" collapsed="false">
      <c r="A378" s="8" t="n">
        <v>377</v>
      </c>
      <c r="B378" s="9" t="s">
        <v>1438</v>
      </c>
      <c r="C378" s="8" t="n">
        <v>4</v>
      </c>
      <c r="D378" s="9" t="str">
        <f aca="false">INDEX(Radicals!$B$2:$B$215,MATCH(C378,Radicals!$A$2:$A$215,0))</f>
        <v>丿</v>
      </c>
      <c r="E378" s="10" t="str">
        <f aca="false">INDEX(Radicals!$G$2:$G$215,MATCH(C378,Radicals!$A$2:$A$215,0))</f>
        <v>slash, left-falling stroke</v>
      </c>
      <c r="F378" s="8" t="n">
        <f aca="false">INDEX(Radicals!$D$2:$D$215,MATCH(C378,Radicals!$A$2:$A$215,0))</f>
        <v>1</v>
      </c>
      <c r="G378" s="8" t="n">
        <v>9</v>
      </c>
    </row>
    <row r="379" customFormat="false" ht="17.35" hidden="false" customHeight="false" outlineLevel="0" collapsed="false">
      <c r="A379" s="8" t="n">
        <v>378</v>
      </c>
      <c r="B379" s="9" t="s">
        <v>1439</v>
      </c>
      <c r="C379" s="8" t="n">
        <v>53</v>
      </c>
      <c r="D379" s="9" t="str">
        <f aca="false">INDEX(Radicals!$B$2:$B$215,MATCH(C379,Radicals!$A$2:$A$215,0))</f>
        <v>广</v>
      </c>
      <c r="E379" s="10" t="str">
        <f aca="false">INDEX(Radicals!$G$2:$G$215,MATCH(C379,Radicals!$A$2:$A$215,0))</f>
        <v>dotted cliff, building</v>
      </c>
      <c r="F379" s="8" t="n">
        <f aca="false">INDEX(Radicals!$D$2:$D$215,MATCH(C379,Radicals!$A$2:$A$215,0))</f>
        <v>3</v>
      </c>
      <c r="G379" s="8" t="n">
        <v>8</v>
      </c>
    </row>
    <row r="380" customFormat="false" ht="17.35" hidden="false" customHeight="false" outlineLevel="0" collapsed="false">
      <c r="A380" s="8" t="n">
        <v>379</v>
      </c>
      <c r="B380" s="9" t="s">
        <v>1440</v>
      </c>
      <c r="C380" s="8" t="n">
        <v>162</v>
      </c>
      <c r="D380" s="9" t="str">
        <f aca="false">INDEX(Radicals!$B$2:$B$215,MATCH(C380,Radicals!$A$2:$A$215,0))</f>
        <v>辵</v>
      </c>
      <c r="E380" s="10" t="str">
        <f aca="false">INDEX(Radicals!$G$2:$G$215,MATCH(C380,Radicals!$A$2:$A$215,0))</f>
        <v>walk, movement</v>
      </c>
      <c r="F380" s="8" t="n">
        <f aca="false">INDEX(Radicals!$D$2:$D$215,MATCH(C380,Radicals!$A$2:$A$215,0))</f>
        <v>7</v>
      </c>
      <c r="G380" s="8" t="n">
        <v>8</v>
      </c>
    </row>
    <row r="381" customFormat="false" ht="17.35" hidden="false" customHeight="false" outlineLevel="0" collapsed="false">
      <c r="A381" s="8" t="n">
        <v>380</v>
      </c>
      <c r="B381" s="9" t="s">
        <v>1441</v>
      </c>
      <c r="C381" s="8" t="n">
        <v>78</v>
      </c>
      <c r="D381" s="9" t="str">
        <f aca="false">INDEX(Radicals!$B$2:$B$215,MATCH(C381,Radicals!$A$2:$A$215,0))</f>
        <v>歹</v>
      </c>
      <c r="E381" s="10" t="str">
        <f aca="false">INDEX(Radicals!$G$2:$G$215,MATCH(C381,Radicals!$A$2:$A$215,0))</f>
        <v>death, decay</v>
      </c>
      <c r="F381" s="8" t="n">
        <f aca="false">INDEX(Radicals!$D$2:$D$215,MATCH(C381,Radicals!$A$2:$A$215,0))</f>
        <v>4</v>
      </c>
      <c r="G381" s="8" t="n">
        <v>10</v>
      </c>
    </row>
    <row r="382" customFormat="false" ht="17.35" hidden="false" customHeight="false" outlineLevel="0" collapsed="false">
      <c r="A382" s="8" t="n">
        <v>381</v>
      </c>
      <c r="B382" s="9" t="s">
        <v>1442</v>
      </c>
      <c r="C382" s="8" t="n">
        <v>61</v>
      </c>
      <c r="D382" s="9" t="str">
        <f aca="false">INDEX(Radicals!$B$2:$B$215,MATCH(C382,Radicals!$A$2:$A$215,0))</f>
        <v>心</v>
      </c>
      <c r="E382" s="10" t="str">
        <f aca="false">INDEX(Radicals!$G$2:$G$215,MATCH(C382,Radicals!$A$2:$A$215,0))</f>
        <v>heart, mind</v>
      </c>
      <c r="F382" s="8" t="n">
        <f aca="false">INDEX(Radicals!$D$2:$D$215,MATCH(C382,Radicals!$A$2:$A$215,0))</f>
        <v>4</v>
      </c>
      <c r="G382" s="8" t="n">
        <v>13</v>
      </c>
    </row>
    <row r="383" customFormat="false" ht="17.35" hidden="false" customHeight="false" outlineLevel="0" collapsed="false">
      <c r="A383" s="8" t="n">
        <v>382</v>
      </c>
      <c r="B383" s="9" t="s">
        <v>1443</v>
      </c>
      <c r="C383" s="8" t="n">
        <v>120</v>
      </c>
      <c r="D383" s="9" t="str">
        <f aca="false">INDEX(Radicals!$B$2:$B$215,MATCH(C383,Radicals!$A$2:$A$215,0))</f>
        <v>糸</v>
      </c>
      <c r="E383" s="10" t="str">
        <f aca="false">INDEX(Radicals!$G$2:$G$215,MATCH(C383,Radicals!$A$2:$A$215,0))</f>
        <v>thread, silk</v>
      </c>
      <c r="F383" s="8" t="n">
        <f aca="false">INDEX(Radicals!$D$2:$D$215,MATCH(C383,Radicals!$A$2:$A$215,0))</f>
        <v>6</v>
      </c>
      <c r="G383" s="8" t="n">
        <v>15</v>
      </c>
    </row>
    <row r="384" customFormat="false" ht="17.35" hidden="false" customHeight="false" outlineLevel="0" collapsed="false">
      <c r="A384" s="8" t="n">
        <v>383</v>
      </c>
      <c r="B384" s="9" t="s">
        <v>1444</v>
      </c>
      <c r="C384" s="8" t="n">
        <v>95</v>
      </c>
      <c r="D384" s="9" t="str">
        <f aca="false">INDEX(Radicals!$B$2:$B$215,MATCH(C384,Radicals!$A$2:$A$215,0))</f>
        <v>玄</v>
      </c>
      <c r="E384" s="10" t="str">
        <f aca="false">INDEX(Radicals!$G$2:$G$215,MATCH(C384,Radicals!$A$2:$A$215,0))</f>
        <v>dark, profound</v>
      </c>
      <c r="F384" s="8" t="n">
        <f aca="false">INDEX(Radicals!$D$2:$D$215,MATCH(C384,Radicals!$A$2:$A$215,0))</f>
        <v>5</v>
      </c>
      <c r="G384" s="8" t="n">
        <v>11</v>
      </c>
    </row>
    <row r="385" customFormat="false" ht="17.35" hidden="false" customHeight="false" outlineLevel="0" collapsed="false">
      <c r="A385" s="8" t="n">
        <v>384</v>
      </c>
      <c r="B385" s="9" t="s">
        <v>1445</v>
      </c>
      <c r="C385" s="8" t="n">
        <v>104</v>
      </c>
      <c r="D385" s="9" t="str">
        <f aca="false">INDEX(Radicals!$B$2:$B$215,MATCH(C385,Radicals!$A$2:$A$215,0))</f>
        <v>疒</v>
      </c>
      <c r="E385" s="10" t="str">
        <f aca="false">INDEX(Radicals!$G$2:$G$215,MATCH(C385,Radicals!$A$2:$A$215,0))</f>
        <v>sickness</v>
      </c>
      <c r="F385" s="8" t="n">
        <f aca="false">INDEX(Radicals!$D$2:$D$215,MATCH(C385,Radicals!$A$2:$A$215,0))</f>
        <v>5</v>
      </c>
      <c r="G385" s="8" t="n">
        <v>10</v>
      </c>
    </row>
    <row r="386" customFormat="false" ht="17.35" hidden="false" customHeight="false" outlineLevel="0" collapsed="false">
      <c r="A386" s="8" t="n">
        <v>385</v>
      </c>
      <c r="B386" s="9" t="s">
        <v>1446</v>
      </c>
      <c r="C386" s="8" t="n">
        <v>161</v>
      </c>
      <c r="D386" s="9" t="str">
        <f aca="false">INDEX(Radicals!$B$2:$B$215,MATCH(C386,Radicals!$A$2:$A$215,0))</f>
        <v>辰</v>
      </c>
      <c r="E386" s="10" t="str">
        <f aca="false">INDEX(Radicals!$G$2:$G$215,MATCH(C386,Radicals!$A$2:$A$215,0))</f>
        <v>morning, 5th zodiac sign (dragon)</v>
      </c>
      <c r="F386" s="8" t="n">
        <f aca="false">INDEX(Radicals!$D$2:$D$215,MATCH(C386,Radicals!$A$2:$A$215,0))</f>
        <v>7</v>
      </c>
      <c r="G386" s="8" t="n">
        <v>13</v>
      </c>
    </row>
    <row r="387" customFormat="false" ht="17.35" hidden="false" customHeight="false" outlineLevel="0" collapsed="false">
      <c r="A387" s="8" t="n">
        <v>386</v>
      </c>
      <c r="B387" s="9" t="s">
        <v>1447</v>
      </c>
      <c r="C387" s="8" t="n">
        <v>47</v>
      </c>
      <c r="D387" s="9" t="str">
        <f aca="false">INDEX(Radicals!$B$2:$B$215,MATCH(C387,Radicals!$A$2:$A$215,0))</f>
        <v>巛</v>
      </c>
      <c r="E387" s="10" t="str">
        <f aca="false">INDEX(Radicals!$G$2:$G$215,MATCH(C387,Radicals!$A$2:$A$215,0))</f>
        <v>river</v>
      </c>
      <c r="F387" s="8" t="n">
        <f aca="false">INDEX(Radicals!$D$2:$D$215,MATCH(C387,Radicals!$A$2:$A$215,0))</f>
        <v>3</v>
      </c>
      <c r="G387" s="8" t="n">
        <v>6</v>
      </c>
    </row>
    <row r="388" customFormat="false" ht="17.35" hidden="false" customHeight="false" outlineLevel="0" collapsed="false">
      <c r="A388" s="8" t="n">
        <v>387</v>
      </c>
      <c r="B388" s="9" t="s">
        <v>1448</v>
      </c>
      <c r="C388" s="8" t="n">
        <v>77</v>
      </c>
      <c r="D388" s="9" t="str">
        <f aca="false">INDEX(Radicals!$B$2:$B$215,MATCH(C388,Radicals!$A$2:$A$215,0))</f>
        <v>止</v>
      </c>
      <c r="E388" s="10" t="str">
        <f aca="false">INDEX(Radicals!$G$2:$G$215,MATCH(C388,Radicals!$A$2:$A$215,0))</f>
        <v>stop</v>
      </c>
      <c r="F388" s="8" t="n">
        <f aca="false">INDEX(Radicals!$D$2:$D$215,MATCH(C388,Radicals!$A$2:$A$215,0))</f>
        <v>4</v>
      </c>
      <c r="G388" s="8" t="n">
        <v>8</v>
      </c>
    </row>
    <row r="389" customFormat="false" ht="17.35" hidden="false" customHeight="false" outlineLevel="0" collapsed="false">
      <c r="A389" s="8" t="n">
        <v>388</v>
      </c>
      <c r="B389" s="9" t="s">
        <v>1449</v>
      </c>
      <c r="C389" s="8" t="n">
        <v>33</v>
      </c>
      <c r="D389" s="9" t="str">
        <f aca="false">INDEX(Radicals!$B$2:$B$215,MATCH(C389,Radicals!$A$2:$A$215,0))</f>
        <v>士</v>
      </c>
      <c r="E389" s="10" t="str">
        <f aca="false">INDEX(Radicals!$G$2:$G$215,MATCH(C389,Radicals!$A$2:$A$215,0))</f>
        <v>scholar, samurai</v>
      </c>
      <c r="F389" s="8" t="n">
        <f aca="false">INDEX(Radicals!$D$2:$D$215,MATCH(C389,Radicals!$A$2:$A$215,0))</f>
        <v>3</v>
      </c>
      <c r="G389" s="8" t="n">
        <v>7</v>
      </c>
    </row>
    <row r="390" customFormat="false" ht="17.35" hidden="false" customHeight="false" outlineLevel="0" collapsed="false">
      <c r="A390" s="8" t="n">
        <v>389</v>
      </c>
      <c r="B390" s="9" t="s">
        <v>1450</v>
      </c>
      <c r="C390" s="8" t="n">
        <v>154</v>
      </c>
      <c r="D390" s="9" t="str">
        <f aca="false">INDEX(Radicals!$B$2:$B$215,MATCH(C390,Radicals!$A$2:$A$215,0))</f>
        <v>貝</v>
      </c>
      <c r="E390" s="10" t="str">
        <f aca="false">INDEX(Radicals!$G$2:$G$215,MATCH(C390,Radicals!$A$2:$A$215,0))</f>
        <v>shell, money</v>
      </c>
      <c r="F390" s="8" t="n">
        <f aca="false">INDEX(Radicals!$D$2:$D$215,MATCH(C390,Radicals!$A$2:$A$215,0))</f>
        <v>7</v>
      </c>
      <c r="G390" s="8" t="n">
        <v>15</v>
      </c>
    </row>
    <row r="391" customFormat="false" ht="17.35" hidden="false" customHeight="false" outlineLevel="0" collapsed="false">
      <c r="A391" s="8" t="n">
        <v>390</v>
      </c>
      <c r="B391" s="9" t="s">
        <v>1451</v>
      </c>
      <c r="C391" s="8" t="n">
        <v>61</v>
      </c>
      <c r="D391" s="9" t="str">
        <f aca="false">INDEX(Radicals!$B$2:$B$215,MATCH(C391,Radicals!$A$2:$A$215,0))</f>
        <v>心</v>
      </c>
      <c r="E391" s="10" t="str">
        <f aca="false">INDEX(Radicals!$G$2:$G$215,MATCH(C391,Radicals!$A$2:$A$215,0))</f>
        <v>heart, mind</v>
      </c>
      <c r="F391" s="8" t="n">
        <f aca="false">INDEX(Radicals!$D$2:$D$215,MATCH(C391,Radicals!$A$2:$A$215,0))</f>
        <v>4</v>
      </c>
      <c r="G391" s="8" t="n">
        <v>8</v>
      </c>
    </row>
    <row r="392" customFormat="false" ht="17.35" hidden="false" customHeight="false" outlineLevel="0" collapsed="false">
      <c r="A392" s="8" t="n">
        <v>391</v>
      </c>
      <c r="B392" s="9" t="s">
        <v>1452</v>
      </c>
      <c r="C392" s="8" t="n">
        <v>60</v>
      </c>
      <c r="D392" s="9" t="str">
        <f aca="false">INDEX(Radicals!$B$2:$B$215,MATCH(C392,Radicals!$A$2:$A$215,0))</f>
        <v>彳</v>
      </c>
      <c r="E392" s="10" t="str">
        <f aca="false">INDEX(Radicals!$G$2:$G$215,MATCH(C392,Radicals!$A$2:$A$215,0))</f>
        <v>step, small step</v>
      </c>
      <c r="F392" s="8" t="n">
        <f aca="false">INDEX(Radicals!$D$2:$D$215,MATCH(C392,Radicals!$A$2:$A$215,0))</f>
        <v>3</v>
      </c>
      <c r="G392" s="8" t="n">
        <v>9</v>
      </c>
    </row>
    <row r="393" customFormat="false" ht="17.35" hidden="false" customHeight="false" outlineLevel="0" collapsed="false">
      <c r="A393" s="8" t="n">
        <v>392</v>
      </c>
      <c r="B393" s="9" t="s">
        <v>1453</v>
      </c>
      <c r="C393" s="8" t="n">
        <v>149</v>
      </c>
      <c r="D393" s="9" t="str">
        <f aca="false">INDEX(Radicals!$B$2:$B$215,MATCH(C393,Radicals!$A$2:$A$215,0))</f>
        <v>言</v>
      </c>
      <c r="E393" s="10" t="str">
        <f aca="false">INDEX(Radicals!$G$2:$G$215,MATCH(C393,Radicals!$A$2:$A$215,0))</f>
        <v>speech, say</v>
      </c>
      <c r="F393" s="8" t="n">
        <f aca="false">INDEX(Radicals!$D$2:$D$215,MATCH(C393,Radicals!$A$2:$A$215,0))</f>
        <v>7</v>
      </c>
      <c r="G393" s="8" t="n">
        <v>13</v>
      </c>
    </row>
    <row r="394" customFormat="false" ht="17.35" hidden="false" customHeight="false" outlineLevel="0" collapsed="false">
      <c r="A394" s="8" t="n">
        <v>393</v>
      </c>
      <c r="B394" s="9" t="s">
        <v>1454</v>
      </c>
      <c r="C394" s="8" t="n">
        <v>70</v>
      </c>
      <c r="D394" s="9" t="str">
        <f aca="false">INDEX(Radicals!$B$2:$B$215,MATCH(C394,Radicals!$A$2:$A$215,0))</f>
        <v>方</v>
      </c>
      <c r="E394" s="10" t="str">
        <f aca="false">INDEX(Radicals!$G$2:$G$215,MATCH(C394,Radicals!$A$2:$A$215,0))</f>
        <v>square, direction</v>
      </c>
      <c r="F394" s="8" t="n">
        <f aca="false">INDEX(Radicals!$D$2:$D$215,MATCH(C394,Radicals!$A$2:$A$215,0))</f>
        <v>4</v>
      </c>
      <c r="G394" s="8" t="n">
        <v>11</v>
      </c>
    </row>
    <row r="395" customFormat="false" ht="17.35" hidden="false" customHeight="false" outlineLevel="0" collapsed="false">
      <c r="A395" s="8" t="n">
        <v>394</v>
      </c>
      <c r="B395" s="9" t="s">
        <v>1455</v>
      </c>
      <c r="C395" s="8" t="n">
        <v>152</v>
      </c>
      <c r="D395" s="9" t="str">
        <f aca="false">INDEX(Radicals!$B$2:$B$215,MATCH(C395,Radicals!$A$2:$A$215,0))</f>
        <v>豕</v>
      </c>
      <c r="E395" s="10" t="str">
        <f aca="false">INDEX(Radicals!$G$2:$G$215,MATCH(C395,Radicals!$A$2:$A$215,0))</f>
        <v>pig</v>
      </c>
      <c r="F395" s="8" t="n">
        <f aca="false">INDEX(Radicals!$D$2:$D$215,MATCH(C395,Radicals!$A$2:$A$215,0))</f>
        <v>7</v>
      </c>
      <c r="G395" s="8" t="n">
        <v>12</v>
      </c>
    </row>
    <row r="396" customFormat="false" ht="17.35" hidden="false" customHeight="false" outlineLevel="0" collapsed="false">
      <c r="A396" s="8" t="n">
        <v>395</v>
      </c>
      <c r="B396" s="9" t="s">
        <v>1456</v>
      </c>
      <c r="C396" s="8" t="n">
        <v>167</v>
      </c>
      <c r="D396" s="9" t="str">
        <f aca="false">INDEX(Radicals!$B$2:$B$215,MATCH(C396,Radicals!$A$2:$A$215,0))</f>
        <v>金</v>
      </c>
      <c r="E396" s="10" t="str">
        <f aca="false">INDEX(Radicals!$G$2:$G$215,MATCH(C396,Radicals!$A$2:$A$215,0))</f>
        <v>metal, gold</v>
      </c>
      <c r="F396" s="8" t="n">
        <f aca="false">INDEX(Radicals!$D$2:$D$215,MATCH(C396,Radicals!$A$2:$A$215,0))</f>
        <v>8</v>
      </c>
      <c r="G396" s="8" t="n">
        <v>14</v>
      </c>
    </row>
    <row r="397" customFormat="false" ht="17.35" hidden="false" customHeight="false" outlineLevel="0" collapsed="false">
      <c r="A397" s="8" t="n">
        <v>396</v>
      </c>
      <c r="B397" s="9" t="s">
        <v>1457</v>
      </c>
      <c r="C397" s="8" t="n">
        <v>32</v>
      </c>
      <c r="D397" s="9" t="str">
        <f aca="false">INDEX(Radicals!$B$2:$B$215,MATCH(C397,Radicals!$A$2:$A$215,0))</f>
        <v>土</v>
      </c>
      <c r="E397" s="10" t="str">
        <f aca="false">INDEX(Radicals!$G$2:$G$215,MATCH(C397,Radicals!$A$2:$A$215,0))</f>
        <v>earth, soil</v>
      </c>
      <c r="F397" s="8" t="n">
        <f aca="false">INDEX(Radicals!$D$2:$D$215,MATCH(C397,Radicals!$A$2:$A$215,0))</f>
        <v>3</v>
      </c>
      <c r="G397" s="8" t="n">
        <v>11</v>
      </c>
    </row>
    <row r="398" customFormat="false" ht="17.35" hidden="false" customHeight="false" outlineLevel="0" collapsed="false">
      <c r="A398" s="8" t="n">
        <v>397</v>
      </c>
      <c r="B398" s="9" t="s">
        <v>1458</v>
      </c>
      <c r="C398" s="8" t="n">
        <v>19</v>
      </c>
      <c r="D398" s="9" t="str">
        <f aca="false">INDEX(Radicals!$B$2:$B$215,MATCH(C398,Radicals!$A$2:$A$215,0))</f>
        <v>力</v>
      </c>
      <c r="E398" s="10" t="str">
        <f aca="false">INDEX(Radicals!$G$2:$G$215,MATCH(C398,Radicals!$A$2:$A$215,0))</f>
        <v>power, strength</v>
      </c>
      <c r="F398" s="8" t="n">
        <f aca="false">INDEX(Radicals!$D$2:$D$215,MATCH(C398,Radicals!$A$2:$A$215,0))</f>
        <v>2</v>
      </c>
      <c r="G398" s="8" t="n">
        <v>7</v>
      </c>
    </row>
    <row r="399" customFormat="false" ht="17.35" hidden="false" customHeight="false" outlineLevel="0" collapsed="false">
      <c r="A399" s="8" t="n">
        <v>398</v>
      </c>
      <c r="B399" s="9" t="s">
        <v>1459</v>
      </c>
      <c r="C399" s="8" t="n">
        <v>19</v>
      </c>
      <c r="D399" s="9" t="str">
        <f aca="false">INDEX(Radicals!$B$2:$B$215,MATCH(C399,Radicals!$A$2:$A$215,0))</f>
        <v>力</v>
      </c>
      <c r="E399" s="10" t="str">
        <f aca="false">INDEX(Radicals!$G$2:$G$215,MATCH(C399,Radicals!$A$2:$A$215,0))</f>
        <v>power, strength</v>
      </c>
      <c r="F399" s="8" t="n">
        <f aca="false">INDEX(Radicals!$D$2:$D$215,MATCH(C399,Radicals!$A$2:$A$215,0))</f>
        <v>2</v>
      </c>
      <c r="G399" s="8" t="n">
        <v>7</v>
      </c>
    </row>
    <row r="400" customFormat="false" ht="17.35" hidden="false" customHeight="false" outlineLevel="0" collapsed="false">
      <c r="A400" s="8" t="n">
        <v>399</v>
      </c>
      <c r="B400" s="9" t="s">
        <v>1460</v>
      </c>
      <c r="C400" s="8" t="n">
        <v>9</v>
      </c>
      <c r="D400" s="9" t="str">
        <f aca="false">INDEX(Radicals!$B$2:$B$215,MATCH(C400,Radicals!$A$2:$A$215,0))</f>
        <v>人</v>
      </c>
      <c r="E400" s="10" t="str">
        <f aca="false">INDEX(Radicals!$G$2:$G$215,MATCH(C400,Radicals!$A$2:$A$215,0))</f>
        <v>person</v>
      </c>
      <c r="F400" s="8" t="n">
        <f aca="false">INDEX(Radicals!$D$2:$D$215,MATCH(C400,Radicals!$A$2:$A$215,0))</f>
        <v>2</v>
      </c>
      <c r="G400" s="8" t="n">
        <v>8</v>
      </c>
    </row>
    <row r="401" customFormat="false" ht="17.35" hidden="false" customHeight="false" outlineLevel="0" collapsed="false">
      <c r="A401" s="8" t="n">
        <v>400</v>
      </c>
      <c r="B401" s="9" t="s">
        <v>1461</v>
      </c>
      <c r="C401" s="8" t="n">
        <v>144</v>
      </c>
      <c r="D401" s="9" t="str">
        <f aca="false">INDEX(Radicals!$B$2:$B$215,MATCH(C401,Radicals!$A$2:$A$215,0))</f>
        <v>行</v>
      </c>
      <c r="E401" s="10" t="str">
        <f aca="false">INDEX(Radicals!$G$2:$G$215,MATCH(C401,Radicals!$A$2:$A$215,0))</f>
        <v>walk, go, line</v>
      </c>
      <c r="F401" s="8" t="n">
        <f aca="false">INDEX(Radicals!$D$2:$D$215,MATCH(C401,Radicals!$A$2:$A$215,0))</f>
        <v>6</v>
      </c>
      <c r="G401" s="8" t="n">
        <v>16</v>
      </c>
    </row>
    <row r="402" customFormat="false" ht="17.35" hidden="false" customHeight="false" outlineLevel="0" collapsed="false">
      <c r="A402" s="8" t="n">
        <v>401</v>
      </c>
      <c r="B402" s="9" t="s">
        <v>1462</v>
      </c>
      <c r="C402" s="8" t="n">
        <v>86</v>
      </c>
      <c r="D402" s="9" t="str">
        <f aca="false">INDEX(Radicals!$B$2:$B$215,MATCH(C402,Radicals!$A$2:$A$215,0))</f>
        <v>火</v>
      </c>
      <c r="E402" s="10" t="str">
        <f aca="false">INDEX(Radicals!$G$2:$G$215,MATCH(C402,Radicals!$A$2:$A$215,0))</f>
        <v>fire</v>
      </c>
      <c r="F402" s="8" t="n">
        <f aca="false">INDEX(Radicals!$D$2:$D$215,MATCH(C402,Radicals!$A$2:$A$215,0))</f>
        <v>4</v>
      </c>
      <c r="G402" s="8" t="n">
        <v>12</v>
      </c>
    </row>
    <row r="403" customFormat="false" ht="17.35" hidden="false" customHeight="false" outlineLevel="0" collapsed="false">
      <c r="A403" s="8" t="n">
        <v>402</v>
      </c>
      <c r="B403" s="9" t="s">
        <v>1463</v>
      </c>
      <c r="C403" s="8" t="n">
        <v>72</v>
      </c>
      <c r="D403" s="9" t="str">
        <f aca="false">INDEX(Radicals!$B$2:$B$215,MATCH(C403,Radicals!$A$2:$A$215,0))</f>
        <v>日</v>
      </c>
      <c r="E403" s="10" t="str">
        <f aca="false">INDEX(Radicals!$G$2:$G$215,MATCH(C403,Radicals!$A$2:$A$215,0))</f>
        <v>sun, day</v>
      </c>
      <c r="F403" s="8" t="n">
        <f aca="false">INDEX(Radicals!$D$2:$D$215,MATCH(C403,Radicals!$A$2:$A$215,0))</f>
        <v>4</v>
      </c>
      <c r="G403" s="8" t="n">
        <v>6</v>
      </c>
    </row>
    <row r="404" customFormat="false" ht="17.35" hidden="false" customHeight="false" outlineLevel="0" collapsed="false">
      <c r="A404" s="8" t="n">
        <v>403</v>
      </c>
      <c r="B404" s="9" t="s">
        <v>1464</v>
      </c>
      <c r="C404" s="8" t="n">
        <v>57</v>
      </c>
      <c r="D404" s="9" t="str">
        <f aca="false">INDEX(Radicals!$B$2:$B$215,MATCH(C404,Radicals!$A$2:$A$215,0))</f>
        <v>弓</v>
      </c>
      <c r="E404" s="10" t="str">
        <f aca="false">INDEX(Radicals!$G$2:$G$215,MATCH(C404,Radicals!$A$2:$A$215,0))</f>
        <v>bow</v>
      </c>
      <c r="F404" s="8" t="n">
        <f aca="false">INDEX(Radicals!$D$2:$D$215,MATCH(C404,Radicals!$A$2:$A$215,0))</f>
        <v>3</v>
      </c>
      <c r="G404" s="8" t="n">
        <v>11</v>
      </c>
    </row>
    <row r="405" customFormat="false" ht="17.35" hidden="false" customHeight="false" outlineLevel="0" collapsed="false">
      <c r="A405" s="8" t="n">
        <v>404</v>
      </c>
      <c r="B405" s="9" t="s">
        <v>1465</v>
      </c>
      <c r="C405" s="8" t="n">
        <v>72</v>
      </c>
      <c r="D405" s="9" t="str">
        <f aca="false">INDEX(Radicals!$B$2:$B$215,MATCH(C405,Radicals!$A$2:$A$215,0))</f>
        <v>日</v>
      </c>
      <c r="E405" s="10" t="str">
        <f aca="false">INDEX(Radicals!$G$2:$G$215,MATCH(C405,Radicals!$A$2:$A$215,0))</f>
        <v>sun, day</v>
      </c>
      <c r="F405" s="8" t="n">
        <f aca="false">INDEX(Radicals!$D$2:$D$215,MATCH(C405,Radicals!$A$2:$A$215,0))</f>
        <v>4</v>
      </c>
      <c r="G405" s="8" t="n">
        <v>9</v>
      </c>
    </row>
    <row r="406" customFormat="false" ht="17.35" hidden="false" customHeight="false" outlineLevel="0" collapsed="false">
      <c r="A406" s="8" t="n">
        <v>405</v>
      </c>
      <c r="B406" s="9" t="s">
        <v>1466</v>
      </c>
      <c r="C406" s="8" t="n">
        <v>170</v>
      </c>
      <c r="D406" s="9" t="str">
        <f aca="false">INDEX(Radicals!$B$2:$B$215,MATCH(C406,Radicals!$A$2:$A$215,0))</f>
        <v>阜</v>
      </c>
      <c r="E406" s="10" t="str">
        <f aca="false">INDEX(Radicals!$G$2:$G$215,MATCH(C406,Radicals!$A$2:$A$215,0))</f>
        <v>mound, hill</v>
      </c>
      <c r="F406" s="8" t="n">
        <f aca="false">INDEX(Radicals!$D$2:$D$215,MATCH(C406,Radicals!$A$2:$A$215,0))</f>
        <v>8</v>
      </c>
      <c r="G406" s="8" t="n">
        <v>9</v>
      </c>
    </row>
    <row r="407" customFormat="false" ht="17.35" hidden="false" customHeight="false" outlineLevel="0" collapsed="false">
      <c r="A407" s="8" t="n">
        <v>406</v>
      </c>
      <c r="B407" s="9" t="s">
        <v>1467</v>
      </c>
      <c r="C407" s="8" t="n">
        <v>147</v>
      </c>
      <c r="D407" s="9" t="str">
        <f aca="false">INDEX(Radicals!$B$2:$B$215,MATCH(C407,Radicals!$A$2:$A$215,0))</f>
        <v>見</v>
      </c>
      <c r="E407" s="10" t="str">
        <f aca="false">INDEX(Radicals!$G$2:$G$215,MATCH(C407,Radicals!$A$2:$A$215,0))</f>
        <v>see</v>
      </c>
      <c r="F407" s="8" t="n">
        <f aca="false">INDEX(Radicals!$D$2:$D$215,MATCH(C407,Radicals!$A$2:$A$215,0))</f>
        <v>7</v>
      </c>
      <c r="G407" s="8" t="n">
        <v>16</v>
      </c>
    </row>
    <row r="408" customFormat="false" ht="17.35" hidden="false" customHeight="false" outlineLevel="0" collapsed="false">
      <c r="A408" s="8" t="n">
        <v>407</v>
      </c>
      <c r="B408" s="9" t="s">
        <v>1468</v>
      </c>
      <c r="C408" s="8" t="n">
        <v>181</v>
      </c>
      <c r="D408" s="9" t="str">
        <f aca="false">INDEX(Radicals!$B$2:$B$215,MATCH(C408,Radicals!$A$2:$A$215,0))</f>
        <v>頁</v>
      </c>
      <c r="E408" s="10" t="str">
        <f aca="false">INDEX(Radicals!$G$2:$G$215,MATCH(C408,Radicals!$A$2:$A$215,0))</f>
        <v>page, leaf (head)</v>
      </c>
      <c r="F408" s="8" t="n">
        <f aca="false">INDEX(Radicals!$D$2:$D$215,MATCH(C408,Radicals!$A$2:$A$215,0))</f>
        <v>9</v>
      </c>
      <c r="G408" s="8" t="n">
        <v>18</v>
      </c>
    </row>
    <row r="409" customFormat="false" ht="17.35" hidden="false" customHeight="false" outlineLevel="0" collapsed="false">
      <c r="A409" s="8" t="n">
        <v>408</v>
      </c>
      <c r="B409" s="9" t="s">
        <v>1469</v>
      </c>
      <c r="C409" s="8" t="n">
        <v>108</v>
      </c>
      <c r="D409" s="9" t="str">
        <f aca="false">INDEX(Radicals!$B$2:$B$215,MATCH(C409,Radicals!$A$2:$A$215,0))</f>
        <v>皿</v>
      </c>
      <c r="E409" s="10" t="str">
        <f aca="false">INDEX(Radicals!$G$2:$G$215,MATCH(C409,Radicals!$A$2:$A$215,0))</f>
        <v>dish</v>
      </c>
      <c r="F409" s="8" t="n">
        <f aca="false">INDEX(Radicals!$D$2:$D$215,MATCH(C409,Radicals!$A$2:$A$215,0))</f>
        <v>5</v>
      </c>
      <c r="G409" s="8" t="n">
        <v>15</v>
      </c>
    </row>
    <row r="410" customFormat="false" ht="17.35" hidden="false" customHeight="false" outlineLevel="0" collapsed="false">
      <c r="A410" s="8" t="n">
        <v>409</v>
      </c>
      <c r="B410" s="9" t="s">
        <v>1470</v>
      </c>
      <c r="C410" s="8" t="n">
        <v>96</v>
      </c>
      <c r="D410" s="9" t="str">
        <f aca="false">INDEX(Radicals!$B$2:$B$215,MATCH(C410,Radicals!$A$2:$A$215,0))</f>
        <v>玉</v>
      </c>
      <c r="E410" s="10" t="str">
        <f aca="false">INDEX(Radicals!$G$2:$G$215,MATCH(C410,Radicals!$A$2:$A$215,0))</f>
        <v>jade, king</v>
      </c>
      <c r="F410" s="8" t="n">
        <f aca="false">INDEX(Radicals!$D$2:$D$215,MATCH(C410,Radicals!$A$2:$A$215,0))</f>
        <v>5</v>
      </c>
      <c r="G410" s="8" t="n">
        <v>17</v>
      </c>
    </row>
    <row r="411" customFormat="false" ht="17.35" hidden="false" customHeight="false" outlineLevel="0" collapsed="false">
      <c r="A411" s="8" t="n">
        <v>410</v>
      </c>
      <c r="B411" s="9" t="s">
        <v>1471</v>
      </c>
      <c r="C411" s="8" t="n">
        <v>187</v>
      </c>
      <c r="D411" s="9" t="str">
        <f aca="false">INDEX(Radicals!$B$2:$B$215,MATCH(C411,Radicals!$A$2:$A$215,0))</f>
        <v>馬</v>
      </c>
      <c r="E411" s="10" t="str">
        <f aca="false">INDEX(Radicals!$G$2:$G$215,MATCH(C411,Radicals!$A$2:$A$215,0))</f>
        <v>horse</v>
      </c>
      <c r="F411" s="8" t="n">
        <f aca="false">INDEX(Radicals!$D$2:$D$215,MATCH(C411,Radicals!$A$2:$A$215,0))</f>
        <v>10</v>
      </c>
      <c r="G411" s="8" t="n">
        <v>18</v>
      </c>
    </row>
    <row r="412" customFormat="false" ht="17.35" hidden="false" customHeight="false" outlineLevel="0" collapsed="false">
      <c r="A412" s="8" t="n">
        <v>411</v>
      </c>
      <c r="B412" s="9" t="s">
        <v>1472</v>
      </c>
      <c r="C412" s="8" t="n">
        <v>162</v>
      </c>
      <c r="D412" s="9" t="str">
        <f aca="false">INDEX(Radicals!$B$2:$B$215,MATCH(C412,Radicals!$A$2:$A$215,0))</f>
        <v>辵</v>
      </c>
      <c r="E412" s="10" t="str">
        <f aca="false">INDEX(Radicals!$G$2:$G$215,MATCH(C412,Radicals!$A$2:$A$215,0))</f>
        <v>walk, movement</v>
      </c>
      <c r="F412" s="8" t="n">
        <f aca="false">INDEX(Radicals!$D$2:$D$215,MATCH(C412,Radicals!$A$2:$A$215,0))</f>
        <v>7</v>
      </c>
      <c r="G412" s="8" t="n">
        <v>9</v>
      </c>
    </row>
    <row r="413" customFormat="false" ht="17.35" hidden="false" customHeight="false" outlineLevel="0" collapsed="false">
      <c r="A413" s="8" t="n">
        <v>412</v>
      </c>
      <c r="B413" s="9" t="s">
        <v>1473</v>
      </c>
      <c r="C413" s="8" t="n">
        <v>40</v>
      </c>
      <c r="D413" s="9" t="str">
        <f aca="false">INDEX(Radicals!$B$2:$B$215,MATCH(C413,Radicals!$A$2:$A$215,0))</f>
        <v>宀</v>
      </c>
      <c r="E413" s="10" t="str">
        <f aca="false">INDEX(Radicals!$G$2:$G$215,MATCH(C413,Radicals!$A$2:$A$215,0))</f>
        <v>roof</v>
      </c>
      <c r="F413" s="8" t="n">
        <f aca="false">INDEX(Radicals!$D$2:$D$215,MATCH(C413,Radicals!$A$2:$A$215,0))</f>
        <v>3</v>
      </c>
      <c r="G413" s="8" t="n">
        <v>15</v>
      </c>
    </row>
    <row r="414" customFormat="false" ht="17.35" hidden="false" customHeight="false" outlineLevel="0" collapsed="false">
      <c r="A414" s="8" t="n">
        <v>413</v>
      </c>
      <c r="B414" s="9" t="s">
        <v>1474</v>
      </c>
      <c r="C414" s="8" t="n">
        <v>30</v>
      </c>
      <c r="D414" s="9" t="str">
        <f aca="false">INDEX(Radicals!$B$2:$B$215,MATCH(C414,Radicals!$A$2:$A$215,0))</f>
        <v>口</v>
      </c>
      <c r="E414" s="10" t="str">
        <f aca="false">INDEX(Radicals!$G$2:$G$215,MATCH(C414,Radicals!$A$2:$A$215,0))</f>
        <v>mouth</v>
      </c>
      <c r="F414" s="8" t="n">
        <f aca="false">INDEX(Radicals!$D$2:$D$215,MATCH(C414,Radicals!$A$2:$A$215,0))</f>
        <v>3</v>
      </c>
      <c r="G414" s="8" t="n">
        <v>11</v>
      </c>
    </row>
    <row r="415" customFormat="false" ht="17.35" hidden="false" customHeight="false" outlineLevel="0" collapsed="false">
      <c r="A415" s="8" t="n">
        <v>414</v>
      </c>
      <c r="B415" s="9" t="s">
        <v>1475</v>
      </c>
      <c r="C415" s="8" t="n">
        <v>140</v>
      </c>
      <c r="D415" s="9" t="str">
        <f aca="false">INDEX(Radicals!$B$2:$B$215,MATCH(C415,Radicals!$A$2:$A$215,0))</f>
        <v>艸</v>
      </c>
      <c r="E415" s="10" t="str">
        <f aca="false">INDEX(Radicals!$G$2:$G$215,MATCH(C415,Radicals!$A$2:$A$215,0))</f>
        <v>grass, plant</v>
      </c>
      <c r="F415" s="8" t="n">
        <f aca="false">INDEX(Radicals!$D$2:$D$215,MATCH(C415,Radicals!$A$2:$A$215,0))</f>
        <v>6</v>
      </c>
      <c r="G415" s="8" t="n">
        <v>12</v>
      </c>
    </row>
    <row r="416" customFormat="false" ht="17.35" hidden="false" customHeight="false" outlineLevel="0" collapsed="false">
      <c r="A416" s="8" t="n">
        <v>415</v>
      </c>
      <c r="B416" s="9" t="s">
        <v>1476</v>
      </c>
      <c r="C416" s="8" t="n">
        <v>123</v>
      </c>
      <c r="D416" s="9" t="str">
        <f aca="false">INDEX(Radicals!$B$2:$B$215,MATCH(C416,Radicals!$A$2:$A$215,0))</f>
        <v>羊</v>
      </c>
      <c r="E416" s="10" t="str">
        <f aca="false">INDEX(Radicals!$G$2:$G$215,MATCH(C416,Radicals!$A$2:$A$215,0))</f>
        <v>sheep</v>
      </c>
      <c r="F416" s="8" t="n">
        <f aca="false">INDEX(Radicals!$D$2:$D$215,MATCH(C416,Radicals!$A$2:$A$215,0))</f>
        <v>6</v>
      </c>
      <c r="G416" s="8" t="n">
        <v>13</v>
      </c>
    </row>
    <row r="417" customFormat="false" ht="17.35" hidden="false" customHeight="false" outlineLevel="0" collapsed="false">
      <c r="A417" s="8" t="n">
        <v>416</v>
      </c>
      <c r="B417" s="9" t="s">
        <v>1477</v>
      </c>
      <c r="C417" s="8" t="n">
        <v>9</v>
      </c>
      <c r="D417" s="9" t="str">
        <f aca="false">INDEX(Radicals!$B$2:$B$215,MATCH(C417,Radicals!$A$2:$A$215,0))</f>
        <v>人</v>
      </c>
      <c r="E417" s="10" t="str">
        <f aca="false">INDEX(Radicals!$G$2:$G$215,MATCH(C417,Radicals!$A$2:$A$215,0))</f>
        <v>person</v>
      </c>
      <c r="F417" s="8" t="n">
        <f aca="false">INDEX(Radicals!$D$2:$D$215,MATCH(C417,Radicals!$A$2:$A$215,0))</f>
        <v>2</v>
      </c>
      <c r="G417" s="8" t="n">
        <v>6</v>
      </c>
    </row>
    <row r="418" customFormat="false" ht="17.35" hidden="false" customHeight="false" outlineLevel="0" collapsed="false">
      <c r="A418" s="8" t="n">
        <v>417</v>
      </c>
      <c r="B418" s="9" t="s">
        <v>1478</v>
      </c>
      <c r="C418" s="8" t="n">
        <v>9</v>
      </c>
      <c r="D418" s="9" t="str">
        <f aca="false">INDEX(Radicals!$B$2:$B$215,MATCH(C418,Radicals!$A$2:$A$215,0))</f>
        <v>人</v>
      </c>
      <c r="E418" s="10" t="str">
        <f aca="false">INDEX(Radicals!$G$2:$G$215,MATCH(C418,Radicals!$A$2:$A$215,0))</f>
        <v>person</v>
      </c>
      <c r="F418" s="8" t="n">
        <f aca="false">INDEX(Radicals!$D$2:$D$215,MATCH(C418,Radicals!$A$2:$A$215,0))</f>
        <v>2</v>
      </c>
      <c r="G418" s="8" t="n">
        <v>13</v>
      </c>
    </row>
    <row r="419" customFormat="false" ht="17.35" hidden="false" customHeight="false" outlineLevel="0" collapsed="false">
      <c r="A419" s="8" t="n">
        <v>418</v>
      </c>
      <c r="B419" s="9" t="s">
        <v>1479</v>
      </c>
      <c r="C419" s="8" t="n">
        <v>59</v>
      </c>
      <c r="D419" s="9" t="str">
        <f aca="false">INDEX(Radicals!$B$2:$B$215,MATCH(C419,Radicals!$A$2:$A$215,0))</f>
        <v>彡</v>
      </c>
      <c r="E419" s="10" t="str">
        <f aca="false">INDEX(Radicals!$G$2:$G$215,MATCH(C419,Radicals!$A$2:$A$215,0))</f>
        <v>bristle, hair, shadow</v>
      </c>
      <c r="F419" s="8" t="n">
        <f aca="false">INDEX(Radicals!$D$2:$D$215,MATCH(C419,Radicals!$A$2:$A$215,0))</f>
        <v>3</v>
      </c>
      <c r="G419" s="8" t="n">
        <v>7</v>
      </c>
    </row>
    <row r="420" customFormat="false" ht="17.35" hidden="false" customHeight="false" outlineLevel="0" collapsed="false">
      <c r="A420" s="8" t="n">
        <v>419</v>
      </c>
      <c r="B420" s="9" t="s">
        <v>1480</v>
      </c>
      <c r="C420" s="8" t="n">
        <v>72</v>
      </c>
      <c r="D420" s="9" t="str">
        <f aca="false">INDEX(Radicals!$B$2:$B$215,MATCH(C420,Radicals!$A$2:$A$215,0))</f>
        <v>日</v>
      </c>
      <c r="E420" s="10" t="str">
        <f aca="false">INDEX(Radicals!$G$2:$G$215,MATCH(C420,Radicals!$A$2:$A$215,0))</f>
        <v>sun, day</v>
      </c>
      <c r="F420" s="8" t="n">
        <f aca="false">INDEX(Radicals!$D$2:$D$215,MATCH(C420,Radicals!$A$2:$A$215,0))</f>
        <v>4</v>
      </c>
      <c r="G420" s="8" t="n">
        <v>12</v>
      </c>
    </row>
    <row r="421" customFormat="false" ht="17.35" hidden="false" customHeight="false" outlineLevel="0" collapsed="false">
      <c r="A421" s="8" t="n">
        <v>420</v>
      </c>
      <c r="B421" s="9" t="s">
        <v>1481</v>
      </c>
      <c r="C421" s="8" t="n">
        <v>140</v>
      </c>
      <c r="D421" s="9" t="str">
        <f aca="false">INDEX(Radicals!$B$2:$B$215,MATCH(C421,Radicals!$A$2:$A$215,0))</f>
        <v>艸</v>
      </c>
      <c r="E421" s="10" t="str">
        <f aca="false">INDEX(Radicals!$G$2:$G$215,MATCH(C421,Radicals!$A$2:$A$215,0))</f>
        <v>grass, plant</v>
      </c>
      <c r="F421" s="8" t="n">
        <f aca="false">INDEX(Radicals!$D$2:$D$215,MATCH(C421,Radicals!$A$2:$A$215,0))</f>
        <v>6</v>
      </c>
      <c r="G421" s="8" t="n">
        <v>12</v>
      </c>
    </row>
    <row r="422" customFormat="false" ht="17.35" hidden="false" customHeight="false" outlineLevel="0" collapsed="false">
      <c r="A422" s="8" t="n">
        <v>421</v>
      </c>
      <c r="B422" s="9" t="s">
        <v>1482</v>
      </c>
      <c r="C422" s="8" t="n">
        <v>76</v>
      </c>
      <c r="D422" s="9" t="str">
        <f aca="false">INDEX(Radicals!$B$2:$B$215,MATCH(C422,Radicals!$A$2:$A$215,0))</f>
        <v>欠</v>
      </c>
      <c r="E422" s="10" t="str">
        <f aca="false">INDEX(Radicals!$G$2:$G$215,MATCH(C422,Radicals!$A$2:$A$215,0))</f>
        <v>lack, yawn</v>
      </c>
      <c r="F422" s="8" t="n">
        <f aca="false">INDEX(Radicals!$D$2:$D$215,MATCH(C422,Radicals!$A$2:$A$215,0))</f>
        <v>4</v>
      </c>
      <c r="G422" s="8" t="n">
        <v>8</v>
      </c>
    </row>
    <row r="423" customFormat="false" ht="17.35" hidden="false" customHeight="false" outlineLevel="0" collapsed="false">
      <c r="A423" s="8" t="n">
        <v>422</v>
      </c>
      <c r="B423" s="9" t="s">
        <v>1483</v>
      </c>
      <c r="C423" s="8" t="n">
        <v>64</v>
      </c>
      <c r="D423" s="9" t="str">
        <f aca="false">INDEX(Radicals!$B$2:$B$215,MATCH(C423,Radicals!$A$2:$A$215,0))</f>
        <v>手</v>
      </c>
      <c r="E423" s="10" t="str">
        <f aca="false">INDEX(Radicals!$G$2:$G$215,MATCH(C423,Radicals!$A$2:$A$215,0))</f>
        <v>hand</v>
      </c>
      <c r="F423" s="8" t="n">
        <f aca="false">INDEX(Radicals!$D$2:$D$215,MATCH(C423,Radicals!$A$2:$A$215,0))</f>
        <v>4</v>
      </c>
      <c r="G423" s="8" t="n">
        <v>8</v>
      </c>
    </row>
    <row r="424" customFormat="false" ht="17.35" hidden="false" customHeight="false" outlineLevel="0" collapsed="false">
      <c r="A424" s="8" t="n">
        <v>423</v>
      </c>
      <c r="B424" s="9" t="s">
        <v>1484</v>
      </c>
      <c r="C424" s="8" t="n">
        <v>38</v>
      </c>
      <c r="D424" s="9" t="str">
        <f aca="false">INDEX(Radicals!$B$2:$B$215,MATCH(C424,Radicals!$A$2:$A$215,0))</f>
        <v>女</v>
      </c>
      <c r="E424" s="10" t="str">
        <f aca="false">INDEX(Radicals!$G$2:$G$215,MATCH(C424,Radicals!$A$2:$A$215,0))</f>
        <v>woman</v>
      </c>
      <c r="F424" s="8" t="n">
        <f aca="false">INDEX(Radicals!$D$2:$D$215,MATCH(C424,Radicals!$A$2:$A$215,0))</f>
        <v>3</v>
      </c>
      <c r="G424" s="8" t="n">
        <v>6</v>
      </c>
    </row>
    <row r="425" customFormat="false" ht="17.35" hidden="false" customHeight="false" outlineLevel="0" collapsed="false">
      <c r="A425" s="8" t="n">
        <v>424</v>
      </c>
      <c r="B425" s="9" t="s">
        <v>1485</v>
      </c>
      <c r="C425" s="8" t="n">
        <v>162</v>
      </c>
      <c r="D425" s="9" t="str">
        <f aca="false">INDEX(Radicals!$B$2:$B$215,MATCH(C425,Radicals!$A$2:$A$215,0))</f>
        <v>辵</v>
      </c>
      <c r="E425" s="10" t="str">
        <f aca="false">INDEX(Radicals!$G$2:$G$215,MATCH(C425,Radicals!$A$2:$A$215,0))</f>
        <v>walk, movement</v>
      </c>
      <c r="F425" s="8" t="n">
        <f aca="false">INDEX(Radicals!$D$2:$D$215,MATCH(C425,Radicals!$A$2:$A$215,0))</f>
        <v>7</v>
      </c>
      <c r="G425" s="8" t="n">
        <v>9</v>
      </c>
    </row>
    <row r="426" customFormat="false" ht="17.35" hidden="false" customHeight="false" outlineLevel="0" collapsed="false">
      <c r="A426" s="8" t="n">
        <v>425</v>
      </c>
      <c r="B426" s="9" t="s">
        <v>1486</v>
      </c>
      <c r="C426" s="8" t="n">
        <v>85</v>
      </c>
      <c r="D426" s="9" t="str">
        <f aca="false">INDEX(Radicals!$B$2:$B$215,MATCH(C426,Radicals!$A$2:$A$215,0))</f>
        <v>水</v>
      </c>
      <c r="E426" s="10" t="str">
        <f aca="false">INDEX(Radicals!$G$2:$G$215,MATCH(C426,Radicals!$A$2:$A$215,0))</f>
        <v>water</v>
      </c>
      <c r="F426" s="8" t="n">
        <f aca="false">INDEX(Radicals!$D$2:$D$215,MATCH(C426,Radicals!$A$2:$A$215,0))</f>
        <v>4</v>
      </c>
      <c r="G426" s="8" t="n">
        <v>13</v>
      </c>
    </row>
    <row r="427" customFormat="false" ht="17.35" hidden="false" customHeight="false" outlineLevel="0" collapsed="false">
      <c r="A427" s="8" t="n">
        <v>426</v>
      </c>
      <c r="B427" s="9" t="s">
        <v>1487</v>
      </c>
      <c r="C427" s="8" t="n">
        <v>154</v>
      </c>
      <c r="D427" s="9" t="str">
        <f aca="false">INDEX(Radicals!$B$2:$B$215,MATCH(C427,Radicals!$A$2:$A$215,0))</f>
        <v>貝</v>
      </c>
      <c r="E427" s="10" t="str">
        <f aca="false">INDEX(Radicals!$G$2:$G$215,MATCH(C427,Radicals!$A$2:$A$215,0))</f>
        <v>shell, money</v>
      </c>
      <c r="F427" s="8" t="n">
        <f aca="false">INDEX(Radicals!$D$2:$D$215,MATCH(C427,Radicals!$A$2:$A$215,0))</f>
        <v>7</v>
      </c>
      <c r="G427" s="8" t="n">
        <v>15</v>
      </c>
    </row>
    <row r="428" customFormat="false" ht="17.35" hidden="false" customHeight="false" outlineLevel="0" collapsed="false">
      <c r="A428" s="8" t="n">
        <v>427</v>
      </c>
      <c r="B428" s="9" t="s">
        <v>1488</v>
      </c>
      <c r="C428" s="8" t="n">
        <v>149</v>
      </c>
      <c r="D428" s="9" t="str">
        <f aca="false">INDEX(Radicals!$B$2:$B$215,MATCH(C428,Radicals!$A$2:$A$215,0))</f>
        <v>言</v>
      </c>
      <c r="E428" s="10" t="str">
        <f aca="false">INDEX(Radicals!$G$2:$G$215,MATCH(C428,Radicals!$A$2:$A$215,0))</f>
        <v>speech, say</v>
      </c>
      <c r="F428" s="8" t="n">
        <f aca="false">INDEX(Radicals!$D$2:$D$215,MATCH(C428,Radicals!$A$2:$A$215,0))</f>
        <v>7</v>
      </c>
      <c r="G428" s="8" t="n">
        <v>12</v>
      </c>
    </row>
    <row r="429" customFormat="false" ht="17.35" hidden="false" customHeight="false" outlineLevel="0" collapsed="false">
      <c r="A429" s="8" t="n">
        <v>428</v>
      </c>
      <c r="B429" s="9" t="s">
        <v>1489</v>
      </c>
      <c r="C429" s="8" t="n">
        <v>162</v>
      </c>
      <c r="D429" s="9" t="str">
        <f aca="false">INDEX(Radicals!$B$2:$B$215,MATCH(C429,Radicals!$A$2:$A$215,0))</f>
        <v>辵</v>
      </c>
      <c r="E429" s="10" t="str">
        <f aca="false">INDEX(Radicals!$G$2:$G$215,MATCH(C429,Radicals!$A$2:$A$215,0))</f>
        <v>walk, movement</v>
      </c>
      <c r="F429" s="8" t="n">
        <f aca="false">INDEX(Radicals!$D$2:$D$215,MATCH(C429,Radicals!$A$2:$A$215,0))</f>
        <v>7</v>
      </c>
      <c r="G429" s="8" t="n">
        <v>5</v>
      </c>
    </row>
    <row r="430" customFormat="false" ht="17.35" hidden="false" customHeight="false" outlineLevel="0" collapsed="false">
      <c r="A430" s="8" t="n">
        <v>429</v>
      </c>
      <c r="B430" s="9" t="s">
        <v>1490</v>
      </c>
      <c r="C430" s="8" t="n">
        <v>162</v>
      </c>
      <c r="D430" s="9" t="str">
        <f aca="false">INDEX(Radicals!$B$2:$B$215,MATCH(C430,Radicals!$A$2:$A$215,0))</f>
        <v>辵</v>
      </c>
      <c r="E430" s="10" t="str">
        <f aca="false">INDEX(Radicals!$G$2:$G$215,MATCH(C430,Radicals!$A$2:$A$215,0))</f>
        <v>walk, movement</v>
      </c>
      <c r="F430" s="8" t="n">
        <f aca="false">INDEX(Radicals!$D$2:$D$215,MATCH(C430,Radicals!$A$2:$A$215,0))</f>
        <v>7</v>
      </c>
      <c r="G430" s="8" t="n">
        <v>10</v>
      </c>
    </row>
    <row r="431" customFormat="false" ht="17.35" hidden="false" customHeight="false" outlineLevel="0" collapsed="false">
      <c r="A431" s="8" t="n">
        <v>430</v>
      </c>
      <c r="B431" s="9" t="s">
        <v>1491</v>
      </c>
      <c r="C431" s="8" t="n">
        <v>140</v>
      </c>
      <c r="D431" s="9" t="str">
        <f aca="false">INDEX(Radicals!$B$2:$B$215,MATCH(C431,Radicals!$A$2:$A$215,0))</f>
        <v>艸</v>
      </c>
      <c r="E431" s="10" t="str">
        <f aca="false">INDEX(Radicals!$G$2:$G$215,MATCH(C431,Radicals!$A$2:$A$215,0))</f>
        <v>grass, plant</v>
      </c>
      <c r="F431" s="8" t="n">
        <f aca="false">INDEX(Radicals!$D$2:$D$215,MATCH(C431,Radicals!$A$2:$A$215,0))</f>
        <v>6</v>
      </c>
      <c r="G431" s="8" t="n">
        <v>8</v>
      </c>
    </row>
    <row r="432" customFormat="false" ht="17.35" hidden="false" customHeight="false" outlineLevel="0" collapsed="false">
      <c r="A432" s="8" t="n">
        <v>431</v>
      </c>
      <c r="B432" s="9" t="s">
        <v>1492</v>
      </c>
      <c r="C432" s="8" t="n">
        <v>145</v>
      </c>
      <c r="D432" s="9" t="str">
        <f aca="false">INDEX(Radicals!$B$2:$B$215,MATCH(C432,Radicals!$A$2:$A$215,0))</f>
        <v>衣</v>
      </c>
      <c r="E432" s="10" t="str">
        <f aca="false">INDEX(Radicals!$G$2:$G$215,MATCH(C432,Radicals!$A$2:$A$215,0))</f>
        <v>clothes</v>
      </c>
      <c r="F432" s="8" t="n">
        <f aca="false">INDEX(Radicals!$D$2:$D$215,MATCH(C432,Radicals!$A$2:$A$215,0))</f>
        <v>6</v>
      </c>
      <c r="G432" s="8" t="n">
        <v>10</v>
      </c>
    </row>
    <row r="433" customFormat="false" ht="17.35" hidden="false" customHeight="false" outlineLevel="0" collapsed="false">
      <c r="A433" s="8" t="n">
        <v>432</v>
      </c>
      <c r="B433" s="9" t="s">
        <v>1493</v>
      </c>
      <c r="C433" s="8" t="n">
        <v>75</v>
      </c>
      <c r="D433" s="9" t="str">
        <f aca="false">INDEX(Radicals!$B$2:$B$215,MATCH(C433,Radicals!$A$2:$A$215,0))</f>
        <v>木</v>
      </c>
      <c r="E433" s="10" t="str">
        <f aca="false">INDEX(Radicals!$G$2:$G$215,MATCH(C433,Radicals!$A$2:$A$215,0))</f>
        <v>tree, wood</v>
      </c>
      <c r="F433" s="8" t="n">
        <f aca="false">INDEX(Radicals!$D$2:$D$215,MATCH(C433,Radicals!$A$2:$A$215,0))</f>
        <v>4</v>
      </c>
      <c r="G433" s="8" t="n">
        <v>10</v>
      </c>
    </row>
    <row r="434" customFormat="false" ht="17.35" hidden="false" customHeight="false" outlineLevel="0" collapsed="false">
      <c r="A434" s="8" t="n">
        <v>433</v>
      </c>
      <c r="B434" s="9" t="s">
        <v>1494</v>
      </c>
      <c r="C434" s="8" t="n">
        <v>181</v>
      </c>
      <c r="D434" s="9" t="str">
        <f aca="false">INDEX(Radicals!$B$2:$B$215,MATCH(C434,Radicals!$A$2:$A$215,0))</f>
        <v>頁</v>
      </c>
      <c r="E434" s="10" t="str">
        <f aca="false">INDEX(Radicals!$G$2:$G$215,MATCH(C434,Radicals!$A$2:$A$215,0))</f>
        <v>page, leaf (head)</v>
      </c>
      <c r="F434" s="8" t="n">
        <f aca="false">INDEX(Radicals!$D$2:$D$215,MATCH(C434,Radicals!$A$2:$A$215,0))</f>
        <v>9</v>
      </c>
      <c r="G434" s="8" t="n">
        <v>16</v>
      </c>
    </row>
    <row r="435" customFormat="false" ht="17.35" hidden="false" customHeight="false" outlineLevel="0" collapsed="false">
      <c r="A435" s="8" t="n">
        <v>434</v>
      </c>
      <c r="B435" s="9" t="s">
        <v>1495</v>
      </c>
      <c r="C435" s="8" t="n">
        <v>64</v>
      </c>
      <c r="D435" s="9" t="str">
        <f aca="false">INDEX(Radicals!$B$2:$B$215,MATCH(C435,Radicals!$A$2:$A$215,0))</f>
        <v>手</v>
      </c>
      <c r="E435" s="10" t="str">
        <f aca="false">INDEX(Radicals!$G$2:$G$215,MATCH(C435,Radicals!$A$2:$A$215,0))</f>
        <v>hand</v>
      </c>
      <c r="F435" s="8" t="n">
        <f aca="false">INDEX(Radicals!$D$2:$D$215,MATCH(C435,Radicals!$A$2:$A$215,0))</f>
        <v>4</v>
      </c>
      <c r="G435" s="8" t="n">
        <v>7</v>
      </c>
    </row>
    <row r="436" customFormat="false" ht="17.35" hidden="false" customHeight="false" outlineLevel="0" collapsed="false">
      <c r="A436" s="8" t="n">
        <v>435</v>
      </c>
      <c r="B436" s="9" t="s">
        <v>1496</v>
      </c>
      <c r="C436" s="8" t="n">
        <v>9</v>
      </c>
      <c r="D436" s="9" t="str">
        <f aca="false">INDEX(Radicals!$B$2:$B$215,MATCH(C436,Radicals!$A$2:$A$215,0))</f>
        <v>人</v>
      </c>
      <c r="E436" s="10" t="str">
        <f aca="false">INDEX(Radicals!$G$2:$G$215,MATCH(C436,Radicals!$A$2:$A$215,0))</f>
        <v>person</v>
      </c>
      <c r="F436" s="8" t="n">
        <f aca="false">INDEX(Radicals!$D$2:$D$215,MATCH(C436,Radicals!$A$2:$A$215,0))</f>
        <v>2</v>
      </c>
      <c r="G436" s="8" t="n">
        <v>7</v>
      </c>
    </row>
    <row r="437" customFormat="false" ht="17.35" hidden="false" customHeight="false" outlineLevel="0" collapsed="false">
      <c r="A437" s="8" t="n">
        <v>436</v>
      </c>
      <c r="B437" s="9" t="s">
        <v>1497</v>
      </c>
      <c r="C437" s="8" t="n">
        <v>80</v>
      </c>
      <c r="D437" s="9" t="str">
        <f aca="false">INDEX(Radicals!$B$2:$B$215,MATCH(C437,Radicals!$A$2:$A$215,0))</f>
        <v>毋</v>
      </c>
      <c r="E437" s="10" t="str">
        <f aca="false">INDEX(Radicals!$G$2:$G$215,MATCH(C437,Radicals!$A$2:$A$215,0))</f>
        <v>do not, mother</v>
      </c>
      <c r="F437" s="8" t="n">
        <f aca="false">INDEX(Radicals!$D$2:$D$215,MATCH(C437,Radicals!$A$2:$A$215,0))</f>
        <v>4</v>
      </c>
      <c r="G437" s="8" t="n">
        <v>6</v>
      </c>
    </row>
    <row r="438" customFormat="false" ht="17.35" hidden="false" customHeight="false" outlineLevel="0" collapsed="false">
      <c r="A438" s="8" t="n">
        <v>437</v>
      </c>
      <c r="B438" s="9" t="s">
        <v>1498</v>
      </c>
      <c r="C438" s="8" t="n">
        <v>23</v>
      </c>
      <c r="D438" s="9" t="str">
        <f aca="false">INDEX(Radicals!$B$2:$B$215,MATCH(C438,Radicals!$A$2:$A$215,0))</f>
        <v>匸</v>
      </c>
      <c r="E438" s="10" t="str">
        <f aca="false">INDEX(Radicals!$G$2:$G$215,MATCH(C438,Radicals!$A$2:$A$215,0))</f>
        <v>hiding enclosure</v>
      </c>
      <c r="F438" s="8" t="n">
        <f aca="false">INDEX(Radicals!$D$2:$D$215,MATCH(C438,Radicals!$A$2:$A$215,0))</f>
        <v>2</v>
      </c>
      <c r="G438" s="8" t="n">
        <v>7</v>
      </c>
    </row>
    <row r="439" customFormat="false" ht="17.35" hidden="false" customHeight="false" outlineLevel="0" collapsed="false">
      <c r="A439" s="8" t="n">
        <v>438</v>
      </c>
      <c r="B439" s="9" t="s">
        <v>1499</v>
      </c>
      <c r="C439" s="8" t="n">
        <v>60</v>
      </c>
      <c r="D439" s="9" t="str">
        <f aca="false">INDEX(Radicals!$B$2:$B$215,MATCH(C439,Radicals!$A$2:$A$215,0))</f>
        <v>彳</v>
      </c>
      <c r="E439" s="10" t="str">
        <f aca="false">INDEX(Radicals!$G$2:$G$215,MATCH(C439,Radicals!$A$2:$A$215,0))</f>
        <v>step, small step</v>
      </c>
      <c r="F439" s="8" t="n">
        <f aca="false">INDEX(Radicals!$D$2:$D$215,MATCH(C439,Radicals!$A$2:$A$215,0))</f>
        <v>3</v>
      </c>
      <c r="G439" s="8" t="n">
        <v>12</v>
      </c>
    </row>
    <row r="440" customFormat="false" ht="17.35" hidden="false" customHeight="false" outlineLevel="0" collapsed="false">
      <c r="A440" s="8" t="n">
        <v>439</v>
      </c>
      <c r="B440" s="9" t="s">
        <v>1500</v>
      </c>
      <c r="C440" s="8" t="n">
        <v>9</v>
      </c>
      <c r="D440" s="9" t="str">
        <f aca="false">INDEX(Radicals!$B$2:$B$215,MATCH(C440,Radicals!$A$2:$A$215,0))</f>
        <v>人</v>
      </c>
      <c r="E440" s="10" t="str">
        <f aca="false">INDEX(Radicals!$G$2:$G$215,MATCH(C440,Radicals!$A$2:$A$215,0))</f>
        <v>person</v>
      </c>
      <c r="F440" s="8" t="n">
        <f aca="false">INDEX(Radicals!$D$2:$D$215,MATCH(C440,Radicals!$A$2:$A$215,0))</f>
        <v>2</v>
      </c>
      <c r="G440" s="8" t="n">
        <v>5</v>
      </c>
    </row>
    <row r="441" customFormat="false" ht="17.35" hidden="false" customHeight="false" outlineLevel="0" collapsed="false">
      <c r="A441" s="8" t="n">
        <v>440</v>
      </c>
      <c r="B441" s="9" t="s">
        <v>1501</v>
      </c>
      <c r="C441" s="8" t="n">
        <v>28</v>
      </c>
      <c r="D441" s="9" t="str">
        <f aca="false">INDEX(Radicals!$B$2:$B$215,MATCH(C441,Radicals!$A$2:$A$215,0))</f>
        <v>厶</v>
      </c>
      <c r="E441" s="10" t="str">
        <f aca="false">INDEX(Radicals!$G$2:$G$215,MATCH(C441,Radicals!$A$2:$A$215,0))</f>
        <v>private</v>
      </c>
      <c r="F441" s="8" t="n">
        <f aca="false">INDEX(Radicals!$D$2:$D$215,MATCH(C441,Radicals!$A$2:$A$215,0))</f>
        <v>2</v>
      </c>
      <c r="G441" s="8" t="n">
        <v>5</v>
      </c>
    </row>
    <row r="442" customFormat="false" ht="17.35" hidden="false" customHeight="false" outlineLevel="0" collapsed="false">
      <c r="A442" s="8" t="n">
        <v>441</v>
      </c>
      <c r="B442" s="9" t="s">
        <v>1502</v>
      </c>
      <c r="C442" s="8" t="n">
        <v>38</v>
      </c>
      <c r="D442" s="9" t="str">
        <f aca="false">INDEX(Radicals!$B$2:$B$215,MATCH(C442,Radicals!$A$2:$A$215,0))</f>
        <v>女</v>
      </c>
      <c r="E442" s="10" t="str">
        <f aca="false">INDEX(Radicals!$G$2:$G$215,MATCH(C442,Radicals!$A$2:$A$215,0))</f>
        <v>woman</v>
      </c>
      <c r="F442" s="8" t="n">
        <f aca="false">INDEX(Radicals!$D$2:$D$215,MATCH(C442,Radicals!$A$2:$A$215,0))</f>
        <v>3</v>
      </c>
      <c r="G442" s="8" t="n">
        <v>9</v>
      </c>
    </row>
    <row r="443" customFormat="false" ht="17.35" hidden="false" customHeight="false" outlineLevel="0" collapsed="false">
      <c r="A443" s="8" t="n">
        <v>442</v>
      </c>
      <c r="B443" s="9" t="s">
        <v>1503</v>
      </c>
      <c r="C443" s="8" t="n">
        <v>30</v>
      </c>
      <c r="D443" s="9" t="str">
        <f aca="false">INDEX(Radicals!$B$2:$B$215,MATCH(C443,Radicals!$A$2:$A$215,0))</f>
        <v>口</v>
      </c>
      <c r="E443" s="10" t="str">
        <f aca="false">INDEX(Radicals!$G$2:$G$215,MATCH(C443,Radicals!$A$2:$A$215,0))</f>
        <v>mouth</v>
      </c>
      <c r="F443" s="8" t="n">
        <f aca="false">INDEX(Radicals!$D$2:$D$215,MATCH(C443,Radicals!$A$2:$A$215,0))</f>
        <v>3</v>
      </c>
      <c r="G443" s="8" t="n">
        <v>8</v>
      </c>
    </row>
    <row r="444" customFormat="false" ht="17.35" hidden="false" customHeight="false" outlineLevel="0" collapsed="false">
      <c r="A444" s="8" t="n">
        <v>443</v>
      </c>
      <c r="B444" s="9" t="s">
        <v>1504</v>
      </c>
      <c r="C444" s="8" t="n">
        <v>154</v>
      </c>
      <c r="D444" s="9" t="str">
        <f aca="false">INDEX(Radicals!$B$2:$B$215,MATCH(C444,Radicals!$A$2:$A$215,0))</f>
        <v>貝</v>
      </c>
      <c r="E444" s="10" t="str">
        <f aca="false">INDEX(Radicals!$G$2:$G$215,MATCH(C444,Radicals!$A$2:$A$215,0))</f>
        <v>shell, money</v>
      </c>
      <c r="F444" s="8" t="n">
        <f aca="false">INDEX(Radicals!$D$2:$D$215,MATCH(C444,Radicals!$A$2:$A$215,0))</f>
        <v>7</v>
      </c>
      <c r="G444" s="8" t="n">
        <v>9</v>
      </c>
    </row>
    <row r="445" customFormat="false" ht="17.35" hidden="false" customHeight="false" outlineLevel="0" collapsed="false">
      <c r="A445" s="8" t="n">
        <v>444</v>
      </c>
      <c r="B445" s="9" t="s">
        <v>1505</v>
      </c>
      <c r="C445" s="8" t="n">
        <v>169</v>
      </c>
      <c r="D445" s="9" t="str">
        <f aca="false">INDEX(Radicals!$B$2:$B$215,MATCH(C445,Radicals!$A$2:$A$215,0))</f>
        <v>門</v>
      </c>
      <c r="E445" s="10" t="str">
        <f aca="false">INDEX(Radicals!$G$2:$G$215,MATCH(C445,Radicals!$A$2:$A$215,0))</f>
        <v>gate</v>
      </c>
      <c r="F445" s="8" t="n">
        <f aca="false">INDEX(Radicals!$D$2:$D$215,MATCH(C445,Radicals!$A$2:$A$215,0))</f>
        <v>8</v>
      </c>
      <c r="G445" s="8" t="n">
        <v>14</v>
      </c>
    </row>
    <row r="446" customFormat="false" ht="17.35" hidden="false" customHeight="false" outlineLevel="0" collapsed="false">
      <c r="A446" s="8" t="n">
        <v>445</v>
      </c>
      <c r="B446" s="9" t="s">
        <v>937</v>
      </c>
      <c r="C446" s="8" t="n">
        <v>178</v>
      </c>
      <c r="D446" s="9" t="str">
        <f aca="false">INDEX(Radicals!$B$2:$B$215,MATCH(C446,Radicals!$A$2:$A$215,0))</f>
        <v>韋</v>
      </c>
      <c r="E446" s="10" t="str">
        <f aca="false">INDEX(Radicals!$G$2:$G$215,MATCH(C446,Radicals!$A$2:$A$215,0))</f>
        <v>tanned leather</v>
      </c>
      <c r="F446" s="8" t="n">
        <f aca="false">INDEX(Radicals!$D$2:$D$215,MATCH(C446,Radicals!$A$2:$A$215,0))</f>
        <v>9</v>
      </c>
      <c r="G446" s="8" t="n">
        <v>18</v>
      </c>
    </row>
    <row r="447" customFormat="false" ht="17.35" hidden="false" customHeight="false" outlineLevel="0" collapsed="false">
      <c r="A447" s="8" t="n">
        <v>446</v>
      </c>
      <c r="B447" s="9" t="s">
        <v>1506</v>
      </c>
      <c r="C447" s="8" t="n">
        <v>85</v>
      </c>
      <c r="D447" s="9" t="str">
        <f aca="false">INDEX(Radicals!$B$2:$B$215,MATCH(C447,Radicals!$A$2:$A$215,0))</f>
        <v>水</v>
      </c>
      <c r="E447" s="10" t="str">
        <f aca="false">INDEX(Radicals!$G$2:$G$215,MATCH(C447,Radicals!$A$2:$A$215,0))</f>
        <v>water</v>
      </c>
      <c r="F447" s="8" t="n">
        <f aca="false">INDEX(Radicals!$D$2:$D$215,MATCH(C447,Radicals!$A$2:$A$215,0))</f>
        <v>4</v>
      </c>
      <c r="G447" s="8" t="n">
        <v>12</v>
      </c>
    </row>
    <row r="448" customFormat="false" ht="17.35" hidden="false" customHeight="false" outlineLevel="0" collapsed="false">
      <c r="A448" s="8" t="n">
        <v>447</v>
      </c>
      <c r="B448" s="9" t="s">
        <v>1507</v>
      </c>
      <c r="C448" s="8" t="n">
        <v>37</v>
      </c>
      <c r="D448" s="9" t="str">
        <f aca="false">INDEX(Radicals!$B$2:$B$215,MATCH(C448,Radicals!$A$2:$A$215,0))</f>
        <v>大</v>
      </c>
      <c r="E448" s="10" t="str">
        <f aca="false">INDEX(Radicals!$G$2:$G$215,MATCH(C448,Radicals!$A$2:$A$215,0))</f>
        <v>big</v>
      </c>
      <c r="F448" s="8" t="n">
        <f aca="false">INDEX(Radicals!$D$2:$D$215,MATCH(C448,Radicals!$A$2:$A$215,0))</f>
        <v>3</v>
      </c>
      <c r="G448" s="8" t="n">
        <v>5</v>
      </c>
    </row>
    <row r="449" customFormat="false" ht="17.35" hidden="false" customHeight="false" outlineLevel="0" collapsed="false">
      <c r="A449" s="8" t="n">
        <v>448</v>
      </c>
      <c r="B449" s="9" t="s">
        <v>1508</v>
      </c>
      <c r="C449" s="8" t="n">
        <v>115</v>
      </c>
      <c r="D449" s="9" t="str">
        <f aca="false">INDEX(Radicals!$B$2:$B$215,MATCH(C449,Radicals!$A$2:$A$215,0))</f>
        <v>禾</v>
      </c>
      <c r="E449" s="10" t="str">
        <f aca="false">INDEX(Radicals!$G$2:$G$215,MATCH(C449,Radicals!$A$2:$A$215,0))</f>
        <v>grain, rice plant</v>
      </c>
      <c r="F449" s="8" t="n">
        <f aca="false">INDEX(Radicals!$D$2:$D$215,MATCH(C449,Radicals!$A$2:$A$215,0))</f>
        <v>5</v>
      </c>
      <c r="G449" s="8" t="n">
        <v>11</v>
      </c>
    </row>
    <row r="450" customFormat="false" ht="17.35" hidden="false" customHeight="false" outlineLevel="0" collapsed="false">
      <c r="A450" s="8" t="n">
        <v>449</v>
      </c>
      <c r="B450" s="9" t="s">
        <v>1509</v>
      </c>
      <c r="C450" s="8" t="n">
        <v>48</v>
      </c>
      <c r="D450" s="9" t="str">
        <f aca="false">INDEX(Radicals!$B$2:$B$215,MATCH(C450,Radicals!$A$2:$A$215,0))</f>
        <v>工</v>
      </c>
      <c r="E450" s="10" t="str">
        <f aca="false">INDEX(Radicals!$G$2:$G$215,MATCH(C450,Radicals!$A$2:$A$215,0))</f>
        <v>work, craftsman</v>
      </c>
      <c r="F450" s="8" t="n">
        <f aca="false">INDEX(Radicals!$D$2:$D$215,MATCH(C450,Radicals!$A$2:$A$215,0))</f>
        <v>3</v>
      </c>
      <c r="G450" s="8" t="n">
        <v>10</v>
      </c>
    </row>
    <row r="451" customFormat="false" ht="17.35" hidden="false" customHeight="false" outlineLevel="0" collapsed="false">
      <c r="A451" s="8" t="n">
        <v>450</v>
      </c>
      <c r="B451" s="9" t="s">
        <v>1510</v>
      </c>
      <c r="C451" s="8" t="n">
        <v>143</v>
      </c>
      <c r="D451" s="9" t="str">
        <f aca="false">INDEX(Radicals!$B$2:$B$215,MATCH(C451,Radicals!$A$2:$A$215,0))</f>
        <v>血</v>
      </c>
      <c r="E451" s="10" t="str">
        <f aca="false">INDEX(Radicals!$G$2:$G$215,MATCH(C451,Radicals!$A$2:$A$215,0))</f>
        <v>blood</v>
      </c>
      <c r="F451" s="8" t="n">
        <f aca="false">INDEX(Radicals!$D$2:$D$215,MATCH(C451,Radicals!$A$2:$A$215,0))</f>
        <v>6</v>
      </c>
      <c r="G451" s="8" t="n">
        <v>12</v>
      </c>
    </row>
    <row r="452" customFormat="false" ht="17.35" hidden="false" customHeight="false" outlineLevel="0" collapsed="false">
      <c r="A452" s="8" t="n">
        <v>451</v>
      </c>
      <c r="B452" s="9" t="s">
        <v>1511</v>
      </c>
      <c r="C452" s="8" t="n">
        <v>9</v>
      </c>
      <c r="D452" s="9" t="str">
        <f aca="false">INDEX(Radicals!$B$2:$B$215,MATCH(C452,Radicals!$A$2:$A$215,0))</f>
        <v>人</v>
      </c>
      <c r="E452" s="10" t="str">
        <f aca="false">INDEX(Radicals!$G$2:$G$215,MATCH(C452,Radicals!$A$2:$A$215,0))</f>
        <v>person</v>
      </c>
      <c r="F452" s="8" t="n">
        <f aca="false">INDEX(Radicals!$D$2:$D$215,MATCH(C452,Radicals!$A$2:$A$215,0))</f>
        <v>2</v>
      </c>
      <c r="G452" s="8" t="n">
        <v>10</v>
      </c>
    </row>
    <row r="453" customFormat="false" ht="17.35" hidden="false" customHeight="false" outlineLevel="0" collapsed="false">
      <c r="A453" s="8" t="n">
        <v>452</v>
      </c>
      <c r="B453" s="9" t="s">
        <v>888</v>
      </c>
      <c r="C453" s="8" t="n">
        <v>169</v>
      </c>
      <c r="D453" s="9" t="str">
        <f aca="false">INDEX(Radicals!$B$2:$B$215,MATCH(C453,Radicals!$A$2:$A$215,0))</f>
        <v>門</v>
      </c>
      <c r="E453" s="10" t="str">
        <f aca="false">INDEX(Radicals!$G$2:$G$215,MATCH(C453,Radicals!$A$2:$A$215,0))</f>
        <v>gate</v>
      </c>
      <c r="F453" s="8" t="n">
        <f aca="false">INDEX(Radicals!$D$2:$D$215,MATCH(C453,Radicals!$A$2:$A$215,0))</f>
        <v>8</v>
      </c>
      <c r="G453" s="8" t="n">
        <v>8</v>
      </c>
    </row>
    <row r="454" customFormat="false" ht="17.35" hidden="false" customHeight="false" outlineLevel="0" collapsed="false">
      <c r="A454" s="8" t="n">
        <v>453</v>
      </c>
      <c r="B454" s="9" t="s">
        <v>1512</v>
      </c>
      <c r="C454" s="8" t="n">
        <v>14</v>
      </c>
      <c r="D454" s="9" t="str">
        <f aca="false">INDEX(Radicals!$B$2:$B$215,MATCH(C454,Radicals!$A$2:$A$215,0))</f>
        <v>冖</v>
      </c>
      <c r="E454" s="10" t="str">
        <f aca="false">INDEX(Radicals!$G$2:$G$215,MATCH(C454,Radicals!$A$2:$A$215,0))</f>
        <v>cover, crown</v>
      </c>
      <c r="F454" s="8" t="n">
        <f aca="false">INDEX(Radicals!$D$2:$D$215,MATCH(C454,Radicals!$A$2:$A$215,0))</f>
        <v>2</v>
      </c>
      <c r="G454" s="8" t="n">
        <v>5</v>
      </c>
    </row>
    <row r="455" customFormat="false" ht="17.35" hidden="false" customHeight="false" outlineLevel="0" collapsed="false">
      <c r="A455" s="8" t="n">
        <v>454</v>
      </c>
      <c r="B455" s="9" t="s">
        <v>1513</v>
      </c>
      <c r="C455" s="8" t="n">
        <v>149</v>
      </c>
      <c r="D455" s="9" t="str">
        <f aca="false">INDEX(Radicals!$B$2:$B$215,MATCH(C455,Radicals!$A$2:$A$215,0))</f>
        <v>言</v>
      </c>
      <c r="E455" s="10" t="str">
        <f aca="false">INDEX(Radicals!$G$2:$G$215,MATCH(C455,Radicals!$A$2:$A$215,0))</f>
        <v>speech, say</v>
      </c>
      <c r="F455" s="8" t="n">
        <f aca="false">INDEX(Radicals!$D$2:$D$215,MATCH(C455,Radicals!$A$2:$A$215,0))</f>
        <v>7</v>
      </c>
      <c r="G455" s="8" t="n">
        <v>12</v>
      </c>
    </row>
    <row r="456" customFormat="false" ht="17.35" hidden="false" customHeight="false" outlineLevel="0" collapsed="false">
      <c r="A456" s="8" t="n">
        <v>455</v>
      </c>
      <c r="B456" s="9" t="s">
        <v>1514</v>
      </c>
      <c r="C456" s="8" t="n">
        <v>149</v>
      </c>
      <c r="D456" s="9" t="str">
        <f aca="false">INDEX(Radicals!$B$2:$B$215,MATCH(C456,Radicals!$A$2:$A$215,0))</f>
        <v>言</v>
      </c>
      <c r="E456" s="10" t="str">
        <f aca="false">INDEX(Radicals!$G$2:$G$215,MATCH(C456,Radicals!$A$2:$A$215,0))</f>
        <v>speech, say</v>
      </c>
      <c r="F456" s="8" t="n">
        <f aca="false">INDEX(Radicals!$D$2:$D$215,MATCH(C456,Radicals!$A$2:$A$215,0))</f>
        <v>7</v>
      </c>
      <c r="G456" s="8" t="n">
        <v>15</v>
      </c>
    </row>
    <row r="457" customFormat="false" ht="17.35" hidden="false" customHeight="false" outlineLevel="0" collapsed="false">
      <c r="A457" s="8" t="n">
        <v>456</v>
      </c>
      <c r="B457" s="9" t="s">
        <v>1515</v>
      </c>
      <c r="C457" s="8" t="n">
        <v>75</v>
      </c>
      <c r="D457" s="9" t="str">
        <f aca="false">INDEX(Radicals!$B$2:$B$215,MATCH(C457,Radicals!$A$2:$A$215,0))</f>
        <v>木</v>
      </c>
      <c r="E457" s="10" t="str">
        <f aca="false">INDEX(Radicals!$G$2:$G$215,MATCH(C457,Radicals!$A$2:$A$215,0))</f>
        <v>tree, wood</v>
      </c>
      <c r="F457" s="8" t="n">
        <f aca="false">INDEX(Radicals!$D$2:$D$215,MATCH(C457,Radicals!$A$2:$A$215,0))</f>
        <v>4</v>
      </c>
      <c r="G457" s="8" t="n">
        <v>5</v>
      </c>
    </row>
    <row r="458" customFormat="false" ht="17.35" hidden="false" customHeight="false" outlineLevel="0" collapsed="false">
      <c r="A458" s="8" t="n">
        <v>457</v>
      </c>
      <c r="B458" s="9" t="s">
        <v>1516</v>
      </c>
      <c r="C458" s="8" t="n">
        <v>40</v>
      </c>
      <c r="D458" s="9" t="str">
        <f aca="false">INDEX(Radicals!$B$2:$B$215,MATCH(C458,Radicals!$A$2:$A$215,0))</f>
        <v>宀</v>
      </c>
      <c r="E458" s="10" t="str">
        <f aca="false">INDEX(Radicals!$G$2:$G$215,MATCH(C458,Radicals!$A$2:$A$215,0))</f>
        <v>roof</v>
      </c>
      <c r="F458" s="8" t="n">
        <f aca="false">INDEX(Radicals!$D$2:$D$215,MATCH(C458,Radicals!$A$2:$A$215,0))</f>
        <v>3</v>
      </c>
      <c r="G458" s="8" t="n">
        <v>6</v>
      </c>
    </row>
    <row r="459" customFormat="false" ht="17.35" hidden="false" customHeight="false" outlineLevel="0" collapsed="false">
      <c r="A459" s="8" t="n">
        <v>458</v>
      </c>
      <c r="B459" s="9" t="s">
        <v>1517</v>
      </c>
      <c r="C459" s="8" t="n">
        <v>140</v>
      </c>
      <c r="D459" s="9" t="str">
        <f aca="false">INDEX(Radicals!$B$2:$B$215,MATCH(C459,Radicals!$A$2:$A$215,0))</f>
        <v>艸</v>
      </c>
      <c r="E459" s="10" t="str">
        <f aca="false">INDEX(Radicals!$G$2:$G$215,MATCH(C459,Radicals!$A$2:$A$215,0))</f>
        <v>grass, plant</v>
      </c>
      <c r="F459" s="8" t="n">
        <f aca="false">INDEX(Radicals!$D$2:$D$215,MATCH(C459,Radicals!$A$2:$A$215,0))</f>
        <v>6</v>
      </c>
      <c r="G459" s="8" t="n">
        <v>8</v>
      </c>
    </row>
    <row r="460" customFormat="false" ht="17.35" hidden="false" customHeight="false" outlineLevel="0" collapsed="false">
      <c r="A460" s="8" t="n">
        <v>459</v>
      </c>
      <c r="B460" s="9" t="s">
        <v>1518</v>
      </c>
      <c r="C460" s="8" t="n">
        <v>130</v>
      </c>
      <c r="D460" s="9" t="str">
        <f aca="false">INDEX(Radicals!$B$2:$B$215,MATCH(C460,Radicals!$A$2:$A$215,0))</f>
        <v>肉</v>
      </c>
      <c r="E460" s="10" t="str">
        <f aca="false">INDEX(Radicals!$G$2:$G$215,MATCH(C460,Radicals!$A$2:$A$215,0))</f>
        <v>meat, flesh</v>
      </c>
      <c r="F460" s="8" t="n">
        <f aca="false">INDEX(Radicals!$D$2:$D$215,MATCH(C460,Radicals!$A$2:$A$215,0))</f>
        <v>6</v>
      </c>
      <c r="G460" s="8" t="n">
        <v>11</v>
      </c>
    </row>
    <row r="461" customFormat="false" ht="17.35" hidden="false" customHeight="false" outlineLevel="0" collapsed="false">
      <c r="A461" s="8" t="n">
        <v>460</v>
      </c>
      <c r="B461" s="9" t="s">
        <v>1519</v>
      </c>
      <c r="C461" s="8" t="n">
        <v>75</v>
      </c>
      <c r="D461" s="9" t="str">
        <f aca="false">INDEX(Radicals!$B$2:$B$215,MATCH(C461,Radicals!$A$2:$A$215,0))</f>
        <v>木</v>
      </c>
      <c r="E461" s="10" t="str">
        <f aca="false">INDEX(Radicals!$G$2:$G$215,MATCH(C461,Radicals!$A$2:$A$215,0))</f>
        <v>tree, wood</v>
      </c>
      <c r="F461" s="8" t="n">
        <f aca="false">INDEX(Radicals!$D$2:$D$215,MATCH(C461,Radicals!$A$2:$A$215,0))</f>
        <v>4</v>
      </c>
      <c r="G461" s="8" t="n">
        <v>12</v>
      </c>
    </row>
    <row r="462" customFormat="false" ht="17.35" hidden="false" customHeight="false" outlineLevel="0" collapsed="false">
      <c r="A462" s="8" t="n">
        <v>461</v>
      </c>
      <c r="B462" s="9" t="s">
        <v>1520</v>
      </c>
      <c r="C462" s="8" t="n">
        <v>115</v>
      </c>
      <c r="D462" s="9" t="str">
        <f aca="false">INDEX(Radicals!$B$2:$B$215,MATCH(C462,Radicals!$A$2:$A$215,0))</f>
        <v>禾</v>
      </c>
      <c r="E462" s="10" t="str">
        <f aca="false">INDEX(Radicals!$G$2:$G$215,MATCH(C462,Radicals!$A$2:$A$215,0))</f>
        <v>grain, rice plant</v>
      </c>
      <c r="F462" s="8" t="n">
        <f aca="false">INDEX(Radicals!$D$2:$D$215,MATCH(C462,Radicals!$A$2:$A$215,0))</f>
        <v>5</v>
      </c>
      <c r="G462" s="8" t="n">
        <v>14</v>
      </c>
    </row>
    <row r="463" customFormat="false" ht="17.35" hidden="false" customHeight="false" outlineLevel="0" collapsed="false">
      <c r="A463" s="8" t="n">
        <v>462</v>
      </c>
      <c r="B463" s="9" t="s">
        <v>1521</v>
      </c>
      <c r="C463" s="8" t="n">
        <v>123</v>
      </c>
      <c r="D463" s="9" t="str">
        <f aca="false">INDEX(Radicals!$B$2:$B$215,MATCH(C463,Radicals!$A$2:$A$215,0))</f>
        <v>羊</v>
      </c>
      <c r="E463" s="10" t="str">
        <f aca="false">INDEX(Radicals!$G$2:$G$215,MATCH(C463,Radicals!$A$2:$A$215,0))</f>
        <v>sheep</v>
      </c>
      <c r="F463" s="8" t="n">
        <f aca="false">INDEX(Radicals!$D$2:$D$215,MATCH(C463,Radicals!$A$2:$A$215,0))</f>
        <v>6</v>
      </c>
      <c r="G463" s="8" t="n">
        <v>9</v>
      </c>
    </row>
    <row r="464" customFormat="false" ht="17.35" hidden="false" customHeight="false" outlineLevel="0" collapsed="false">
      <c r="A464" s="8" t="n">
        <v>463</v>
      </c>
      <c r="B464" s="9" t="s">
        <v>1522</v>
      </c>
      <c r="C464" s="8" t="n">
        <v>46</v>
      </c>
      <c r="D464" s="9" t="str">
        <f aca="false">INDEX(Radicals!$B$2:$B$215,MATCH(C464,Radicals!$A$2:$A$215,0))</f>
        <v>山</v>
      </c>
      <c r="E464" s="10" t="str">
        <f aca="false">INDEX(Radicals!$G$2:$G$215,MATCH(C464,Radicals!$A$2:$A$215,0))</f>
        <v>mountain</v>
      </c>
      <c r="F464" s="8" t="n">
        <f aca="false">INDEX(Radicals!$D$2:$D$215,MATCH(C464,Radicals!$A$2:$A$215,0))</f>
        <v>3</v>
      </c>
      <c r="G464" s="8" t="n">
        <v>8</v>
      </c>
    </row>
    <row r="465" customFormat="false" ht="17.35" hidden="false" customHeight="false" outlineLevel="0" collapsed="false">
      <c r="A465" s="8" t="n">
        <v>464</v>
      </c>
      <c r="B465" s="9" t="s">
        <v>1523</v>
      </c>
      <c r="C465" s="8" t="n">
        <v>59</v>
      </c>
      <c r="D465" s="9" t="str">
        <f aca="false">INDEX(Radicals!$B$2:$B$215,MATCH(C465,Radicals!$A$2:$A$215,0))</f>
        <v>彡</v>
      </c>
      <c r="E465" s="10" t="str">
        <f aca="false">INDEX(Radicals!$G$2:$G$215,MATCH(C465,Radicals!$A$2:$A$215,0))</f>
        <v>bristle, hair, shadow</v>
      </c>
      <c r="F465" s="8" t="n">
        <f aca="false">INDEX(Radicals!$D$2:$D$215,MATCH(C465,Radicals!$A$2:$A$215,0))</f>
        <v>3</v>
      </c>
      <c r="G465" s="8" t="n">
        <v>15</v>
      </c>
    </row>
    <row r="466" customFormat="false" ht="17.35" hidden="false" customHeight="false" outlineLevel="0" collapsed="false">
      <c r="A466" s="8" t="n">
        <v>465</v>
      </c>
      <c r="B466" s="9" t="s">
        <v>1524</v>
      </c>
      <c r="C466" s="8" t="n">
        <v>30</v>
      </c>
      <c r="D466" s="9" t="str">
        <f aca="false">INDEX(Radicals!$B$2:$B$215,MATCH(C466,Radicals!$A$2:$A$215,0))</f>
        <v>口</v>
      </c>
      <c r="E466" s="10" t="str">
        <f aca="false">INDEX(Radicals!$G$2:$G$215,MATCH(C466,Radicals!$A$2:$A$215,0))</f>
        <v>mouth</v>
      </c>
      <c r="F466" s="8" t="n">
        <f aca="false">INDEX(Radicals!$D$2:$D$215,MATCH(C466,Radicals!$A$2:$A$215,0))</f>
        <v>3</v>
      </c>
      <c r="G466" s="8" t="n">
        <v>8</v>
      </c>
    </row>
    <row r="467" customFormat="false" ht="17.35" hidden="false" customHeight="false" outlineLevel="0" collapsed="false">
      <c r="A467" s="8" t="n">
        <v>466</v>
      </c>
      <c r="B467" s="9" t="s">
        <v>1525</v>
      </c>
      <c r="C467" s="8" t="n">
        <v>30</v>
      </c>
      <c r="D467" s="9" t="str">
        <f aca="false">INDEX(Radicals!$B$2:$B$215,MATCH(C467,Radicals!$A$2:$A$215,0))</f>
        <v>口</v>
      </c>
      <c r="E467" s="10" t="str">
        <f aca="false">INDEX(Radicals!$G$2:$G$215,MATCH(C467,Radicals!$A$2:$A$215,0))</f>
        <v>mouth</v>
      </c>
      <c r="F467" s="8" t="n">
        <f aca="false">INDEX(Radicals!$D$2:$D$215,MATCH(C467,Radicals!$A$2:$A$215,0))</f>
        <v>3</v>
      </c>
      <c r="G467" s="8" t="n">
        <v>7</v>
      </c>
    </row>
    <row r="468" customFormat="false" ht="17.35" hidden="false" customHeight="false" outlineLevel="0" collapsed="false">
      <c r="A468" s="8" t="n">
        <v>467</v>
      </c>
      <c r="B468" s="9" t="s">
        <v>1526</v>
      </c>
      <c r="C468" s="8" t="n">
        <v>113</v>
      </c>
      <c r="D468" s="9" t="str">
        <f aca="false">INDEX(Radicals!$B$2:$B$215,MATCH(C468,Radicals!$A$2:$A$215,0))</f>
        <v>示</v>
      </c>
      <c r="E468" s="10" t="str">
        <f aca="false">INDEX(Radicals!$G$2:$G$215,MATCH(C468,Radicals!$A$2:$A$215,0))</f>
        <v>spirit, altar, show</v>
      </c>
      <c r="F468" s="8" t="n">
        <f aca="false">INDEX(Radicals!$D$2:$D$215,MATCH(C468,Radicals!$A$2:$A$215,0))</f>
        <v>5</v>
      </c>
      <c r="G468" s="8" t="n">
        <v>13</v>
      </c>
    </row>
    <row r="469" customFormat="false" ht="17.35" hidden="false" customHeight="false" outlineLevel="0" collapsed="false">
      <c r="A469" s="8" t="n">
        <v>468</v>
      </c>
      <c r="B469" s="9" t="s">
        <v>1527</v>
      </c>
      <c r="C469" s="8" t="n">
        <v>140</v>
      </c>
      <c r="D469" s="9" t="str">
        <f aca="false">INDEX(Radicals!$B$2:$B$215,MATCH(C469,Radicals!$A$2:$A$215,0))</f>
        <v>艸</v>
      </c>
      <c r="E469" s="10" t="str">
        <f aca="false">INDEX(Radicals!$G$2:$G$215,MATCH(C469,Radicals!$A$2:$A$215,0))</f>
        <v>grass, plant</v>
      </c>
      <c r="F469" s="8" t="n">
        <f aca="false">INDEX(Radicals!$D$2:$D$215,MATCH(C469,Radicals!$A$2:$A$215,0))</f>
        <v>6</v>
      </c>
      <c r="G469" s="8" t="n">
        <v>15</v>
      </c>
    </row>
    <row r="470" customFormat="false" ht="17.35" hidden="false" customHeight="false" outlineLevel="0" collapsed="false">
      <c r="A470" s="8" t="n">
        <v>469</v>
      </c>
      <c r="B470" s="9" t="s">
        <v>1528</v>
      </c>
      <c r="C470" s="8" t="n">
        <v>166</v>
      </c>
      <c r="D470" s="9" t="str">
        <f aca="false">INDEX(Radicals!$B$2:$B$215,MATCH(C470,Radicals!$A$2:$A$215,0))</f>
        <v>里</v>
      </c>
      <c r="E470" s="10" t="str">
        <f aca="false">INDEX(Radicals!$G$2:$G$215,MATCH(C470,Radicals!$A$2:$A$215,0))</f>
        <v>village, ri (distance)</v>
      </c>
      <c r="F470" s="8" t="n">
        <f aca="false">INDEX(Radicals!$D$2:$D$215,MATCH(C470,Radicals!$A$2:$A$215,0))</f>
        <v>7</v>
      </c>
      <c r="G470" s="8" t="n">
        <v>12</v>
      </c>
    </row>
    <row r="471" customFormat="false" ht="17.35" hidden="false" customHeight="false" outlineLevel="0" collapsed="false">
      <c r="A471" s="8" t="n">
        <v>470</v>
      </c>
      <c r="B471" s="9" t="s">
        <v>1529</v>
      </c>
      <c r="C471" s="8" t="n">
        <v>74</v>
      </c>
      <c r="D471" s="9" t="str">
        <f aca="false">INDEX(Radicals!$B$2:$B$215,MATCH(C471,Radicals!$A$2:$A$215,0))</f>
        <v>月</v>
      </c>
      <c r="E471" s="10" t="str">
        <f aca="false">INDEX(Radicals!$G$2:$G$215,MATCH(C471,Radicals!$A$2:$A$215,0))</f>
        <v>moon, month</v>
      </c>
      <c r="F471" s="8" t="n">
        <f aca="false">INDEX(Radicals!$D$2:$D$215,MATCH(C471,Radicals!$A$2:$A$215,0))</f>
        <v>4</v>
      </c>
      <c r="G471" s="8" t="n">
        <v>11</v>
      </c>
    </row>
    <row r="472" customFormat="false" ht="17.35" hidden="false" customHeight="false" outlineLevel="0" collapsed="false">
      <c r="A472" s="8" t="n">
        <v>471</v>
      </c>
      <c r="B472" s="9" t="s">
        <v>1530</v>
      </c>
      <c r="C472" s="8" t="n">
        <v>75</v>
      </c>
      <c r="D472" s="9" t="str">
        <f aca="false">INDEX(Radicals!$B$2:$B$215,MATCH(C472,Radicals!$A$2:$A$215,0))</f>
        <v>木</v>
      </c>
      <c r="E472" s="10" t="str">
        <f aca="false">INDEX(Radicals!$G$2:$G$215,MATCH(C472,Radicals!$A$2:$A$215,0))</f>
        <v>tree, wood</v>
      </c>
      <c r="F472" s="8" t="n">
        <f aca="false">INDEX(Radicals!$D$2:$D$215,MATCH(C472,Radicals!$A$2:$A$215,0))</f>
        <v>4</v>
      </c>
      <c r="G472" s="8" t="n">
        <v>8</v>
      </c>
    </row>
    <row r="473" customFormat="false" ht="17.35" hidden="false" customHeight="false" outlineLevel="0" collapsed="false">
      <c r="A473" s="8" t="n">
        <v>472</v>
      </c>
      <c r="B473" s="9" t="s">
        <v>920</v>
      </c>
      <c r="C473" s="8" t="n">
        <v>175</v>
      </c>
      <c r="D473" s="9" t="str">
        <f aca="false">INDEX(Radicals!$B$2:$B$215,MATCH(C473,Radicals!$A$2:$A$215,0))</f>
        <v>非</v>
      </c>
      <c r="E473" s="10" t="str">
        <f aca="false">INDEX(Radicals!$G$2:$G$215,MATCH(C473,Radicals!$A$2:$A$215,0))</f>
        <v>wrong, not</v>
      </c>
      <c r="F473" s="8" t="n">
        <f aca="false">INDEX(Radicals!$D$2:$D$215,MATCH(C473,Radicals!$A$2:$A$215,0))</f>
        <v>8</v>
      </c>
      <c r="G473" s="8" t="n">
        <v>8</v>
      </c>
    </row>
    <row r="474" customFormat="false" ht="17.35" hidden="false" customHeight="false" outlineLevel="0" collapsed="false">
      <c r="A474" s="8" t="n">
        <v>473</v>
      </c>
      <c r="B474" s="9" t="s">
        <v>1531</v>
      </c>
      <c r="C474" s="8" t="n">
        <v>64</v>
      </c>
      <c r="D474" s="9" t="str">
        <f aca="false">INDEX(Radicals!$B$2:$B$215,MATCH(C474,Radicals!$A$2:$A$215,0))</f>
        <v>手</v>
      </c>
      <c r="E474" s="10" t="str">
        <f aca="false">INDEX(Radicals!$G$2:$G$215,MATCH(C474,Radicals!$A$2:$A$215,0))</f>
        <v>hand</v>
      </c>
      <c r="F474" s="8" t="n">
        <f aca="false">INDEX(Radicals!$D$2:$D$215,MATCH(C474,Radicals!$A$2:$A$215,0))</f>
        <v>4</v>
      </c>
      <c r="G474" s="8" t="n">
        <v>15</v>
      </c>
    </row>
    <row r="475" customFormat="false" ht="17.35" hidden="false" customHeight="false" outlineLevel="0" collapsed="false">
      <c r="A475" s="8" t="n">
        <v>474</v>
      </c>
      <c r="B475" s="9" t="s">
        <v>1532</v>
      </c>
      <c r="C475" s="8" t="n">
        <v>9</v>
      </c>
      <c r="D475" s="9" t="str">
        <f aca="false">INDEX(Radicals!$B$2:$B$215,MATCH(C475,Radicals!$A$2:$A$215,0))</f>
        <v>人</v>
      </c>
      <c r="E475" s="10" t="str">
        <f aca="false">INDEX(Radicals!$G$2:$G$215,MATCH(C475,Radicals!$A$2:$A$215,0))</f>
        <v>person</v>
      </c>
      <c r="F475" s="8" t="n">
        <f aca="false">INDEX(Radicals!$D$2:$D$215,MATCH(C475,Radicals!$A$2:$A$215,0))</f>
        <v>2</v>
      </c>
      <c r="G475" s="8" t="n">
        <v>7</v>
      </c>
    </row>
    <row r="476" customFormat="false" ht="17.35" hidden="false" customHeight="false" outlineLevel="0" collapsed="false">
      <c r="A476" s="8" t="n">
        <v>475</v>
      </c>
      <c r="B476" s="9" t="s">
        <v>1533</v>
      </c>
      <c r="C476" s="8" t="n">
        <v>75</v>
      </c>
      <c r="D476" s="9" t="str">
        <f aca="false">INDEX(Radicals!$B$2:$B$215,MATCH(C476,Radicals!$A$2:$A$215,0))</f>
        <v>木</v>
      </c>
      <c r="E476" s="10" t="str">
        <f aca="false">INDEX(Radicals!$G$2:$G$215,MATCH(C476,Radicals!$A$2:$A$215,0))</f>
        <v>tree, wood</v>
      </c>
      <c r="F476" s="8" t="n">
        <f aca="false">INDEX(Radicals!$D$2:$D$215,MATCH(C476,Radicals!$A$2:$A$215,0))</f>
        <v>4</v>
      </c>
      <c r="G476" s="8" t="n">
        <v>10</v>
      </c>
    </row>
    <row r="477" customFormat="false" ht="17.35" hidden="false" customHeight="false" outlineLevel="0" collapsed="false">
      <c r="A477" s="8" t="n">
        <v>476</v>
      </c>
      <c r="B477" s="9" t="s">
        <v>1534</v>
      </c>
      <c r="C477" s="8" t="n">
        <v>147</v>
      </c>
      <c r="D477" s="9" t="str">
        <f aca="false">INDEX(Radicals!$B$2:$B$215,MATCH(C477,Radicals!$A$2:$A$215,0))</f>
        <v>見</v>
      </c>
      <c r="E477" s="10" t="str">
        <f aca="false">INDEX(Radicals!$G$2:$G$215,MATCH(C477,Radicals!$A$2:$A$215,0))</f>
        <v>see</v>
      </c>
      <c r="F477" s="8" t="n">
        <f aca="false">INDEX(Radicals!$D$2:$D$215,MATCH(C477,Radicals!$A$2:$A$215,0))</f>
        <v>7</v>
      </c>
      <c r="G477" s="8" t="n">
        <v>18</v>
      </c>
    </row>
    <row r="478" customFormat="false" ht="17.35" hidden="false" customHeight="false" outlineLevel="0" collapsed="false">
      <c r="A478" s="8" t="n">
        <v>477</v>
      </c>
      <c r="B478" s="9" t="s">
        <v>1535</v>
      </c>
      <c r="C478" s="8" t="n">
        <v>40</v>
      </c>
      <c r="D478" s="9" t="str">
        <f aca="false">INDEX(Radicals!$B$2:$B$215,MATCH(C478,Radicals!$A$2:$A$215,0))</f>
        <v>宀</v>
      </c>
      <c r="E478" s="10" t="str">
        <f aca="false">INDEX(Radicals!$G$2:$G$215,MATCH(C478,Radicals!$A$2:$A$215,0))</f>
        <v>roof</v>
      </c>
      <c r="F478" s="8" t="n">
        <f aca="false">INDEX(Radicals!$D$2:$D$215,MATCH(C478,Radicals!$A$2:$A$215,0))</f>
        <v>3</v>
      </c>
      <c r="G478" s="8" t="n">
        <v>14</v>
      </c>
    </row>
    <row r="479" customFormat="false" ht="17.35" hidden="false" customHeight="false" outlineLevel="0" collapsed="false">
      <c r="A479" s="8" t="n">
        <v>478</v>
      </c>
      <c r="B479" s="9" t="s">
        <v>1536</v>
      </c>
      <c r="C479" s="8" t="n">
        <v>66</v>
      </c>
      <c r="D479" s="9" t="str">
        <f aca="false">INDEX(Radicals!$B$2:$B$215,MATCH(C479,Radicals!$A$2:$A$215,0))</f>
        <v>攴</v>
      </c>
      <c r="E479" s="10" t="str">
        <f aca="false">INDEX(Radicals!$G$2:$G$215,MATCH(C479,Radicals!$A$2:$A$215,0))</f>
        <v>rap, tap, strike</v>
      </c>
      <c r="F479" s="8" t="n">
        <f aca="false">INDEX(Radicals!$D$2:$D$215,MATCH(C479,Radicals!$A$2:$A$215,0))</f>
        <v>4</v>
      </c>
      <c r="G479" s="8" t="n">
        <v>16</v>
      </c>
    </row>
    <row r="480" customFormat="false" ht="17.35" hidden="false" customHeight="false" outlineLevel="0" collapsed="false">
      <c r="A480" s="8" t="n">
        <v>479</v>
      </c>
      <c r="B480" s="9" t="s">
        <v>1537</v>
      </c>
      <c r="C480" s="8" t="n">
        <v>79</v>
      </c>
      <c r="D480" s="9" t="str">
        <f aca="false">INDEX(Radicals!$B$2:$B$215,MATCH(C480,Radicals!$A$2:$A$215,0))</f>
        <v>殳</v>
      </c>
      <c r="E480" s="10" t="str">
        <f aca="false">INDEX(Radicals!$G$2:$G$215,MATCH(C480,Radicals!$A$2:$A$215,0))</f>
        <v>weapon, to strike</v>
      </c>
      <c r="F480" s="8" t="n">
        <f aca="false">INDEX(Radicals!$D$2:$D$215,MATCH(C480,Radicals!$A$2:$A$215,0))</f>
        <v>4</v>
      </c>
      <c r="G480" s="8" t="n">
        <v>9</v>
      </c>
    </row>
    <row r="481" customFormat="false" ht="17.35" hidden="false" customHeight="false" outlineLevel="0" collapsed="false">
      <c r="A481" s="8" t="n">
        <v>480</v>
      </c>
      <c r="B481" s="9" t="s">
        <v>1538</v>
      </c>
      <c r="C481" s="8" t="n">
        <v>75</v>
      </c>
      <c r="D481" s="9" t="str">
        <f aca="false">INDEX(Radicals!$B$2:$B$215,MATCH(C481,Radicals!$A$2:$A$215,0))</f>
        <v>木</v>
      </c>
      <c r="E481" s="10" t="str">
        <f aca="false">INDEX(Radicals!$G$2:$G$215,MATCH(C481,Radicals!$A$2:$A$215,0))</f>
        <v>tree, wood</v>
      </c>
      <c r="F481" s="8" t="n">
        <f aca="false">INDEX(Radicals!$D$2:$D$215,MATCH(C481,Radicals!$A$2:$A$215,0))</f>
        <v>4</v>
      </c>
      <c r="G481" s="8" t="n">
        <v>15</v>
      </c>
    </row>
    <row r="482" customFormat="false" ht="17.35" hidden="false" customHeight="false" outlineLevel="0" collapsed="false">
      <c r="A482" s="8" t="n">
        <v>481</v>
      </c>
      <c r="B482" s="9" t="s">
        <v>1539</v>
      </c>
      <c r="C482" s="8" t="n">
        <v>142</v>
      </c>
      <c r="D482" s="9" t="str">
        <f aca="false">INDEX(Radicals!$B$2:$B$215,MATCH(C482,Radicals!$A$2:$A$215,0))</f>
        <v>虫</v>
      </c>
      <c r="E482" s="10" t="str">
        <f aca="false">INDEX(Radicals!$G$2:$G$215,MATCH(C482,Radicals!$A$2:$A$215,0))</f>
        <v>insect</v>
      </c>
      <c r="F482" s="8" t="n">
        <f aca="false">INDEX(Radicals!$D$2:$D$215,MATCH(C482,Radicals!$A$2:$A$215,0))</f>
        <v>6</v>
      </c>
      <c r="G482" s="8" t="n">
        <v>16</v>
      </c>
    </row>
    <row r="483" customFormat="false" ht="17.35" hidden="false" customHeight="false" outlineLevel="0" collapsed="false">
      <c r="A483" s="8" t="n">
        <v>482</v>
      </c>
      <c r="B483" s="9" t="s">
        <v>1540</v>
      </c>
      <c r="C483" s="8" t="n">
        <v>32</v>
      </c>
      <c r="D483" s="9" t="str">
        <f aca="false">INDEX(Radicals!$B$2:$B$215,MATCH(C483,Radicals!$A$2:$A$215,0))</f>
        <v>土</v>
      </c>
      <c r="E483" s="10" t="str">
        <f aca="false">INDEX(Radicals!$G$2:$G$215,MATCH(C483,Radicals!$A$2:$A$215,0))</f>
        <v>earth, soil</v>
      </c>
      <c r="F483" s="8" t="n">
        <f aca="false">INDEX(Radicals!$D$2:$D$215,MATCH(C483,Radicals!$A$2:$A$215,0))</f>
        <v>3</v>
      </c>
      <c r="G483" s="8" t="n">
        <v>9</v>
      </c>
    </row>
    <row r="484" customFormat="false" ht="17.35" hidden="false" customHeight="false" outlineLevel="0" collapsed="false">
      <c r="A484" s="8" t="n">
        <v>483</v>
      </c>
      <c r="B484" s="9" t="s">
        <v>564</v>
      </c>
      <c r="C484" s="8" t="n">
        <v>106</v>
      </c>
      <c r="D484" s="9" t="str">
        <f aca="false">INDEX(Radicals!$B$2:$B$215,MATCH(C484,Radicals!$A$2:$A$215,0))</f>
        <v>白</v>
      </c>
      <c r="E484" s="10" t="str">
        <f aca="false">INDEX(Radicals!$G$2:$G$215,MATCH(C484,Radicals!$A$2:$A$215,0))</f>
        <v>white</v>
      </c>
      <c r="F484" s="8" t="n">
        <f aca="false">INDEX(Radicals!$D$2:$D$215,MATCH(C484,Radicals!$A$2:$A$215,0))</f>
        <v>5</v>
      </c>
      <c r="G484" s="8" t="n">
        <v>5</v>
      </c>
    </row>
    <row r="485" customFormat="false" ht="17.35" hidden="false" customHeight="false" outlineLevel="0" collapsed="false">
      <c r="A485" s="8" t="n">
        <v>484</v>
      </c>
      <c r="B485" s="9" t="s">
        <v>1541</v>
      </c>
      <c r="C485" s="8" t="n">
        <v>85</v>
      </c>
      <c r="D485" s="9" t="str">
        <f aca="false">INDEX(Radicals!$B$2:$B$215,MATCH(C485,Radicals!$A$2:$A$215,0))</f>
        <v>水</v>
      </c>
      <c r="E485" s="10" t="str">
        <f aca="false">INDEX(Radicals!$G$2:$G$215,MATCH(C485,Radicals!$A$2:$A$215,0))</f>
        <v>water</v>
      </c>
      <c r="F485" s="8" t="n">
        <f aca="false">INDEX(Radicals!$D$2:$D$215,MATCH(C485,Radicals!$A$2:$A$215,0))</f>
        <v>4</v>
      </c>
      <c r="G485" s="8" t="n">
        <v>11</v>
      </c>
    </row>
    <row r="486" customFormat="false" ht="17.35" hidden="false" customHeight="false" outlineLevel="0" collapsed="false">
      <c r="A486" s="8" t="n">
        <v>485</v>
      </c>
      <c r="B486" s="9" t="s">
        <v>1542</v>
      </c>
      <c r="C486" s="8" t="n">
        <v>39</v>
      </c>
      <c r="D486" s="9" t="str">
        <f aca="false">INDEX(Radicals!$B$2:$B$215,MATCH(C486,Radicals!$A$2:$A$215,0))</f>
        <v>子</v>
      </c>
      <c r="E486" s="10" t="str">
        <f aca="false">INDEX(Radicals!$G$2:$G$215,MATCH(C486,Radicals!$A$2:$A$215,0))</f>
        <v>child</v>
      </c>
      <c r="F486" s="8" t="n">
        <f aca="false">INDEX(Radicals!$D$2:$D$215,MATCH(C486,Radicals!$A$2:$A$215,0))</f>
        <v>3</v>
      </c>
      <c r="G486" s="8" t="n">
        <v>6</v>
      </c>
    </row>
    <row r="487" customFormat="false" ht="17.35" hidden="false" customHeight="false" outlineLevel="0" collapsed="false">
      <c r="A487" s="8" t="n">
        <v>486</v>
      </c>
      <c r="B487" s="9" t="s">
        <v>1543</v>
      </c>
      <c r="C487" s="8" t="n">
        <v>118</v>
      </c>
      <c r="D487" s="9" t="str">
        <f aca="false">INDEX(Radicals!$B$2:$B$215,MATCH(C487,Radicals!$A$2:$A$215,0))</f>
        <v>竹</v>
      </c>
      <c r="E487" s="10" t="str">
        <f aca="false">INDEX(Radicals!$G$2:$G$215,MATCH(C487,Radicals!$A$2:$A$215,0))</f>
        <v>bamboo</v>
      </c>
      <c r="F487" s="8" t="n">
        <f aca="false">INDEX(Radicals!$D$2:$D$215,MATCH(C487,Radicals!$A$2:$A$215,0))</f>
        <v>6</v>
      </c>
      <c r="G487" s="8" t="n">
        <v>12</v>
      </c>
    </row>
    <row r="488" customFormat="false" ht="17.35" hidden="false" customHeight="false" outlineLevel="0" collapsed="false">
      <c r="A488" s="8" t="n">
        <v>487</v>
      </c>
      <c r="B488" s="9" t="s">
        <v>1544</v>
      </c>
      <c r="C488" s="8" t="n">
        <v>36</v>
      </c>
      <c r="D488" s="9" t="str">
        <f aca="false">INDEX(Radicals!$B$2:$B$215,MATCH(C488,Radicals!$A$2:$A$215,0))</f>
        <v>夕</v>
      </c>
      <c r="E488" s="10" t="str">
        <f aca="false">INDEX(Radicals!$G$2:$G$215,MATCH(C488,Radicals!$A$2:$A$215,0))</f>
        <v>evening</v>
      </c>
      <c r="F488" s="8" t="n">
        <f aca="false">INDEX(Radicals!$D$2:$D$215,MATCH(C488,Radicals!$A$2:$A$215,0))</f>
        <v>3</v>
      </c>
      <c r="G488" s="8" t="n">
        <v>8</v>
      </c>
    </row>
    <row r="489" customFormat="false" ht="17.35" hidden="false" customHeight="false" outlineLevel="0" collapsed="false">
      <c r="A489" s="8" t="n">
        <v>488</v>
      </c>
      <c r="B489" s="9" t="s">
        <v>1545</v>
      </c>
      <c r="C489" s="8" t="n">
        <v>145</v>
      </c>
      <c r="D489" s="9" t="str">
        <f aca="false">INDEX(Radicals!$B$2:$B$215,MATCH(C489,Radicals!$A$2:$A$215,0))</f>
        <v>衣</v>
      </c>
      <c r="E489" s="10" t="str">
        <f aca="false">INDEX(Radicals!$G$2:$G$215,MATCH(C489,Radicals!$A$2:$A$215,0))</f>
        <v>clothes</v>
      </c>
      <c r="F489" s="8" t="n">
        <f aca="false">INDEX(Radicals!$D$2:$D$215,MATCH(C489,Radicals!$A$2:$A$215,0))</f>
        <v>6</v>
      </c>
      <c r="G489" s="8" t="n">
        <v>14</v>
      </c>
    </row>
    <row r="490" customFormat="false" ht="17.35" hidden="false" customHeight="false" outlineLevel="0" collapsed="false">
      <c r="A490" s="8" t="n">
        <v>489</v>
      </c>
      <c r="B490" s="9" t="s">
        <v>1546</v>
      </c>
      <c r="C490" s="8" t="n">
        <v>113</v>
      </c>
      <c r="D490" s="9" t="str">
        <f aca="false">INDEX(Radicals!$B$2:$B$215,MATCH(C490,Radicals!$A$2:$A$215,0))</f>
        <v>示</v>
      </c>
      <c r="E490" s="10" t="str">
        <f aca="false">INDEX(Radicals!$G$2:$G$215,MATCH(C490,Radicals!$A$2:$A$215,0))</f>
        <v>spirit, altar, show</v>
      </c>
      <c r="F490" s="8" t="n">
        <f aca="false">INDEX(Radicals!$D$2:$D$215,MATCH(C490,Radicals!$A$2:$A$215,0))</f>
        <v>5</v>
      </c>
      <c r="G490" s="8" t="n">
        <v>11</v>
      </c>
    </row>
    <row r="491" customFormat="false" ht="17.35" hidden="false" customHeight="false" outlineLevel="0" collapsed="false">
      <c r="A491" s="8" t="n">
        <v>490</v>
      </c>
      <c r="B491" s="9" t="s">
        <v>1547</v>
      </c>
      <c r="C491" s="8" t="n">
        <v>85</v>
      </c>
      <c r="D491" s="9" t="str">
        <f aca="false">INDEX(Radicals!$B$2:$B$215,MATCH(C491,Radicals!$A$2:$A$215,0))</f>
        <v>水</v>
      </c>
      <c r="E491" s="10" t="str">
        <f aca="false">INDEX(Radicals!$G$2:$G$215,MATCH(C491,Radicals!$A$2:$A$215,0))</f>
        <v>water</v>
      </c>
      <c r="F491" s="8" t="n">
        <f aca="false">INDEX(Radicals!$D$2:$D$215,MATCH(C491,Radicals!$A$2:$A$215,0))</f>
        <v>4</v>
      </c>
      <c r="G491" s="8" t="n">
        <v>8</v>
      </c>
    </row>
    <row r="492" customFormat="false" ht="17.35" hidden="false" customHeight="false" outlineLevel="0" collapsed="false">
      <c r="A492" s="8" t="n">
        <v>491</v>
      </c>
      <c r="B492" s="9" t="s">
        <v>943</v>
      </c>
      <c r="C492" s="8" t="n">
        <v>180</v>
      </c>
      <c r="D492" s="9" t="str">
        <f aca="false">INDEX(Radicals!$B$2:$B$215,MATCH(C492,Radicals!$A$2:$A$215,0))</f>
        <v>音</v>
      </c>
      <c r="E492" s="10" t="str">
        <f aca="false">INDEX(Radicals!$G$2:$G$215,MATCH(C492,Radicals!$A$2:$A$215,0))</f>
        <v>sound</v>
      </c>
      <c r="F492" s="8" t="n">
        <f aca="false">INDEX(Radicals!$D$2:$D$215,MATCH(C492,Radicals!$A$2:$A$215,0))</f>
        <v>9</v>
      </c>
      <c r="G492" s="8" t="n">
        <v>9</v>
      </c>
    </row>
    <row r="493" customFormat="false" ht="17.35" hidden="false" customHeight="false" outlineLevel="0" collapsed="false">
      <c r="A493" s="8" t="n">
        <v>492</v>
      </c>
      <c r="B493" s="9" t="s">
        <v>1548</v>
      </c>
      <c r="C493" s="8" t="n">
        <v>102</v>
      </c>
      <c r="D493" s="9" t="str">
        <f aca="false">INDEX(Radicals!$B$2:$B$215,MATCH(C493,Radicals!$A$2:$A$215,0))</f>
        <v>田</v>
      </c>
      <c r="E493" s="10" t="str">
        <f aca="false">INDEX(Radicals!$G$2:$G$215,MATCH(C493,Radicals!$A$2:$A$215,0))</f>
        <v>field, paddy</v>
      </c>
      <c r="F493" s="8" t="n">
        <f aca="false">INDEX(Radicals!$D$2:$D$215,MATCH(C493,Radicals!$A$2:$A$215,0))</f>
        <v>5</v>
      </c>
      <c r="G493" s="8" t="n">
        <v>5</v>
      </c>
    </row>
    <row r="494" customFormat="false" ht="17.35" hidden="false" customHeight="false" outlineLevel="0" collapsed="false">
      <c r="A494" s="8" t="n">
        <v>493</v>
      </c>
      <c r="B494" s="9" t="s">
        <v>1549</v>
      </c>
      <c r="C494" s="8" t="n">
        <v>75</v>
      </c>
      <c r="D494" s="9" t="str">
        <f aca="false">INDEX(Radicals!$B$2:$B$215,MATCH(C494,Radicals!$A$2:$A$215,0))</f>
        <v>木</v>
      </c>
      <c r="E494" s="10" t="str">
        <f aca="false">INDEX(Radicals!$G$2:$G$215,MATCH(C494,Radicals!$A$2:$A$215,0))</f>
        <v>tree, wood</v>
      </c>
      <c r="F494" s="8" t="n">
        <f aca="false">INDEX(Radicals!$D$2:$D$215,MATCH(C494,Radicals!$A$2:$A$215,0))</f>
        <v>4</v>
      </c>
      <c r="G494" s="8" t="n">
        <v>14</v>
      </c>
    </row>
    <row r="495" customFormat="false" ht="17.35" hidden="false" customHeight="false" outlineLevel="0" collapsed="false">
      <c r="A495" s="8" t="n">
        <v>494</v>
      </c>
      <c r="B495" s="9" t="s">
        <v>1550</v>
      </c>
      <c r="C495" s="8" t="n">
        <v>154</v>
      </c>
      <c r="D495" s="9" t="str">
        <f aca="false">INDEX(Radicals!$B$2:$B$215,MATCH(C495,Radicals!$A$2:$A$215,0))</f>
        <v>貝</v>
      </c>
      <c r="E495" s="10" t="str">
        <f aca="false">INDEX(Radicals!$G$2:$G$215,MATCH(C495,Radicals!$A$2:$A$215,0))</f>
        <v>shell, money</v>
      </c>
      <c r="F495" s="8" t="n">
        <f aca="false">INDEX(Radicals!$D$2:$D$215,MATCH(C495,Radicals!$A$2:$A$215,0))</f>
        <v>7</v>
      </c>
      <c r="G495" s="8" t="n">
        <v>10</v>
      </c>
    </row>
    <row r="496" customFormat="false" ht="17.35" hidden="false" customHeight="false" outlineLevel="0" collapsed="false">
      <c r="A496" s="8" t="n">
        <v>495</v>
      </c>
      <c r="B496" s="9" t="s">
        <v>1551</v>
      </c>
      <c r="C496" s="8" t="n">
        <v>85</v>
      </c>
      <c r="D496" s="9" t="str">
        <f aca="false">INDEX(Radicals!$B$2:$B$215,MATCH(C496,Radicals!$A$2:$A$215,0))</f>
        <v>水</v>
      </c>
      <c r="E496" s="10" t="str">
        <f aca="false">INDEX(Radicals!$G$2:$G$215,MATCH(C496,Radicals!$A$2:$A$215,0))</f>
        <v>water</v>
      </c>
      <c r="F496" s="8" t="n">
        <f aca="false">INDEX(Radicals!$D$2:$D$215,MATCH(C496,Radicals!$A$2:$A$215,0))</f>
        <v>4</v>
      </c>
      <c r="G496" s="8" t="n">
        <v>12</v>
      </c>
    </row>
    <row r="497" customFormat="false" ht="17.35" hidden="false" customHeight="false" outlineLevel="0" collapsed="false">
      <c r="A497" s="8" t="n">
        <v>496</v>
      </c>
      <c r="B497" s="9" t="s">
        <v>1552</v>
      </c>
      <c r="C497" s="8" t="n">
        <v>149</v>
      </c>
      <c r="D497" s="9" t="str">
        <f aca="false">INDEX(Radicals!$B$2:$B$215,MATCH(C497,Radicals!$A$2:$A$215,0))</f>
        <v>言</v>
      </c>
      <c r="E497" s="10" t="str">
        <f aca="false">INDEX(Radicals!$G$2:$G$215,MATCH(C497,Radicals!$A$2:$A$215,0))</f>
        <v>speech, say</v>
      </c>
      <c r="F497" s="8" t="n">
        <f aca="false">INDEX(Radicals!$D$2:$D$215,MATCH(C497,Radicals!$A$2:$A$215,0))</f>
        <v>7</v>
      </c>
      <c r="G497" s="8" t="n">
        <v>19</v>
      </c>
    </row>
    <row r="498" customFormat="false" ht="17.35" hidden="false" customHeight="false" outlineLevel="0" collapsed="false">
      <c r="A498" s="8" t="n">
        <v>497</v>
      </c>
      <c r="B498" s="9" t="s">
        <v>1553</v>
      </c>
      <c r="C498" s="8" t="n">
        <v>85</v>
      </c>
      <c r="D498" s="9" t="str">
        <f aca="false">INDEX(Radicals!$B$2:$B$215,MATCH(C498,Radicals!$A$2:$A$215,0))</f>
        <v>水</v>
      </c>
      <c r="E498" s="10" t="str">
        <f aca="false">INDEX(Radicals!$G$2:$G$215,MATCH(C498,Radicals!$A$2:$A$215,0))</f>
        <v>water</v>
      </c>
      <c r="F498" s="8" t="n">
        <f aca="false">INDEX(Radicals!$D$2:$D$215,MATCH(C498,Radicals!$A$2:$A$215,0))</f>
        <v>4</v>
      </c>
      <c r="G498" s="8" t="n">
        <v>8</v>
      </c>
    </row>
    <row r="499" customFormat="false" ht="17.35" hidden="false" customHeight="false" outlineLevel="0" collapsed="false">
      <c r="A499" s="8" t="n">
        <v>498</v>
      </c>
      <c r="B499" s="9" t="s">
        <v>1554</v>
      </c>
      <c r="C499" s="8" t="n">
        <v>30</v>
      </c>
      <c r="D499" s="9" t="str">
        <f aca="false">INDEX(Radicals!$B$2:$B$215,MATCH(C499,Radicals!$A$2:$A$215,0))</f>
        <v>口</v>
      </c>
      <c r="E499" s="10" t="str">
        <f aca="false">INDEX(Radicals!$G$2:$G$215,MATCH(C499,Radicals!$A$2:$A$215,0))</f>
        <v>mouth</v>
      </c>
      <c r="F499" s="8" t="n">
        <f aca="false">INDEX(Radicals!$D$2:$D$215,MATCH(C499,Radicals!$A$2:$A$215,0))</f>
        <v>3</v>
      </c>
      <c r="G499" s="8" t="n">
        <v>8</v>
      </c>
    </row>
    <row r="500" customFormat="false" ht="17.35" hidden="false" customHeight="false" outlineLevel="0" collapsed="false">
      <c r="A500" s="8" t="n">
        <v>499</v>
      </c>
      <c r="B500" s="9" t="s">
        <v>1555</v>
      </c>
      <c r="C500" s="8" t="n">
        <v>85</v>
      </c>
      <c r="D500" s="9" t="str">
        <f aca="false">INDEX(Radicals!$B$2:$B$215,MATCH(C500,Radicals!$A$2:$A$215,0))</f>
        <v>水</v>
      </c>
      <c r="E500" s="10" t="str">
        <f aca="false">INDEX(Radicals!$G$2:$G$215,MATCH(C500,Radicals!$A$2:$A$215,0))</f>
        <v>water</v>
      </c>
      <c r="F500" s="8" t="n">
        <f aca="false">INDEX(Radicals!$D$2:$D$215,MATCH(C500,Radicals!$A$2:$A$215,0))</f>
        <v>4</v>
      </c>
      <c r="G500" s="8" t="n">
        <v>11</v>
      </c>
    </row>
    <row r="501" customFormat="false" ht="17.35" hidden="false" customHeight="false" outlineLevel="0" collapsed="false">
      <c r="A501" s="8" t="n">
        <v>500</v>
      </c>
      <c r="B501" s="9" t="s">
        <v>1556</v>
      </c>
      <c r="C501" s="8" t="n">
        <v>162</v>
      </c>
      <c r="D501" s="9" t="str">
        <f aca="false">INDEX(Radicals!$B$2:$B$215,MATCH(C501,Radicals!$A$2:$A$215,0))</f>
        <v>辵</v>
      </c>
      <c r="E501" s="10" t="str">
        <f aca="false">INDEX(Radicals!$G$2:$G$215,MATCH(C501,Radicals!$A$2:$A$215,0))</f>
        <v>walk, movement</v>
      </c>
      <c r="F501" s="8" t="n">
        <f aca="false">INDEX(Radicals!$D$2:$D$215,MATCH(C501,Radicals!$A$2:$A$215,0))</f>
        <v>7</v>
      </c>
      <c r="G501" s="8" t="n">
        <v>12</v>
      </c>
    </row>
    <row r="502" customFormat="false" ht="17.35" hidden="false" customHeight="false" outlineLevel="0" collapsed="false">
      <c r="A502" s="8" t="n">
        <v>501</v>
      </c>
      <c r="B502" s="9" t="s">
        <v>732</v>
      </c>
      <c r="C502" s="8" t="n">
        <v>138</v>
      </c>
      <c r="D502" s="9" t="str">
        <f aca="false">INDEX(Radicals!$B$2:$B$215,MATCH(C502,Radicals!$A$2:$A$215,0))</f>
        <v>艮</v>
      </c>
      <c r="E502" s="10" t="str">
        <f aca="false">INDEX(Radicals!$G$2:$G$215,MATCH(C502,Radicals!$A$2:$A$215,0))</f>
        <v>stopping, tough</v>
      </c>
      <c r="F502" s="8" t="n">
        <f aca="false">INDEX(Radicals!$D$2:$D$215,MATCH(C502,Radicals!$A$2:$A$215,0))</f>
        <v>6</v>
      </c>
      <c r="G502" s="8" t="n">
        <v>7</v>
      </c>
    </row>
    <row r="503" customFormat="false" ht="17.35" hidden="false" customHeight="false" outlineLevel="0" collapsed="false">
      <c r="A503" s="8" t="n">
        <v>502</v>
      </c>
      <c r="B503" s="9" t="s">
        <v>1557</v>
      </c>
      <c r="C503" s="8" t="n">
        <v>180</v>
      </c>
      <c r="D503" s="9" t="str">
        <f aca="false">INDEX(Radicals!$B$2:$B$215,MATCH(C503,Radicals!$A$2:$A$215,0))</f>
        <v>音</v>
      </c>
      <c r="E503" s="10" t="str">
        <f aca="false">INDEX(Radicals!$G$2:$G$215,MATCH(C503,Radicals!$A$2:$A$215,0))</f>
        <v>sound</v>
      </c>
      <c r="F503" s="8" t="n">
        <f aca="false">INDEX(Radicals!$D$2:$D$215,MATCH(C503,Radicals!$A$2:$A$215,0))</f>
        <v>9</v>
      </c>
      <c r="G503" s="8" t="n">
        <v>20</v>
      </c>
    </row>
    <row r="504" customFormat="false" ht="17.35" hidden="false" customHeight="false" outlineLevel="0" collapsed="false">
      <c r="A504" s="8" t="n">
        <v>503</v>
      </c>
      <c r="B504" s="9" t="s">
        <v>1558</v>
      </c>
      <c r="C504" s="8" t="n">
        <v>170</v>
      </c>
      <c r="D504" s="9" t="str">
        <f aca="false">INDEX(Radicals!$B$2:$B$215,MATCH(C504,Radicals!$A$2:$A$215,0))</f>
        <v>阜</v>
      </c>
      <c r="E504" s="10" t="str">
        <f aca="false">INDEX(Radicals!$G$2:$G$215,MATCH(C504,Radicals!$A$2:$A$215,0))</f>
        <v>mound, hill</v>
      </c>
      <c r="F504" s="8" t="n">
        <f aca="false">INDEX(Radicals!$D$2:$D$215,MATCH(C504,Radicals!$A$2:$A$215,0))</f>
        <v>8</v>
      </c>
      <c r="G504" s="8" t="n">
        <v>7</v>
      </c>
    </row>
    <row r="505" customFormat="false" ht="17.35" hidden="false" customHeight="false" outlineLevel="0" collapsed="false">
      <c r="A505" s="8" t="n">
        <v>504</v>
      </c>
      <c r="B505" s="9" t="s">
        <v>1559</v>
      </c>
      <c r="C505" s="8" t="n">
        <v>50</v>
      </c>
      <c r="D505" s="9" t="str">
        <f aca="false">INDEX(Radicals!$B$2:$B$215,MATCH(C505,Radicals!$A$2:$A$215,0))</f>
        <v>巾</v>
      </c>
      <c r="E505" s="10" t="str">
        <f aca="false">INDEX(Radicals!$G$2:$G$215,MATCH(C505,Radicals!$A$2:$A$215,0))</f>
        <v>turban, cloth</v>
      </c>
      <c r="F505" s="8" t="n">
        <f aca="false">INDEX(Radicals!$D$2:$D$215,MATCH(C505,Radicals!$A$2:$A$215,0))</f>
        <v>3</v>
      </c>
      <c r="G505" s="8" t="n">
        <v>10</v>
      </c>
    </row>
    <row r="506" customFormat="false" ht="17.35" hidden="false" customHeight="false" outlineLevel="0" collapsed="false">
      <c r="A506" s="8" t="n">
        <v>505</v>
      </c>
      <c r="B506" s="9" t="s">
        <v>1560</v>
      </c>
      <c r="C506" s="8" t="n">
        <v>167</v>
      </c>
      <c r="D506" s="9" t="str">
        <f aca="false">INDEX(Radicals!$B$2:$B$215,MATCH(C506,Radicals!$A$2:$A$215,0))</f>
        <v>金</v>
      </c>
      <c r="E506" s="10" t="str">
        <f aca="false">INDEX(Radicals!$G$2:$G$215,MATCH(C506,Radicals!$A$2:$A$215,0))</f>
        <v>metal, gold</v>
      </c>
      <c r="F506" s="8" t="n">
        <f aca="false">INDEX(Radicals!$D$2:$D$215,MATCH(C506,Radicals!$A$2:$A$215,0))</f>
        <v>8</v>
      </c>
      <c r="G506" s="8" t="n">
        <v>10</v>
      </c>
    </row>
    <row r="507" customFormat="false" ht="17.35" hidden="false" customHeight="false" outlineLevel="0" collapsed="false">
      <c r="A507" s="8" t="n">
        <v>506</v>
      </c>
      <c r="B507" s="9" t="s">
        <v>1561</v>
      </c>
      <c r="C507" s="8" t="n">
        <v>41</v>
      </c>
      <c r="D507" s="9" t="str">
        <f aca="false">INDEX(Radicals!$B$2:$B$215,MATCH(C507,Radicals!$A$2:$A$215,0))</f>
        <v>寸</v>
      </c>
      <c r="E507" s="10" t="str">
        <f aca="false">INDEX(Radicals!$G$2:$G$215,MATCH(C507,Radicals!$A$2:$A$215,0))</f>
        <v>inch</v>
      </c>
      <c r="F507" s="8" t="n">
        <f aca="false">INDEX(Radicals!$D$2:$D$215,MATCH(C507,Radicals!$A$2:$A$215,0))</f>
        <v>3</v>
      </c>
      <c r="G507" s="8" t="n">
        <v>9</v>
      </c>
    </row>
    <row r="508" customFormat="false" ht="17.35" hidden="false" customHeight="false" outlineLevel="0" collapsed="false">
      <c r="A508" s="8" t="n">
        <v>507</v>
      </c>
      <c r="B508" s="9" t="s">
        <v>1562</v>
      </c>
      <c r="C508" s="8" t="n">
        <v>64</v>
      </c>
      <c r="D508" s="9" t="str">
        <f aca="false">INDEX(Radicals!$B$2:$B$215,MATCH(C508,Radicals!$A$2:$A$215,0))</f>
        <v>手</v>
      </c>
      <c r="E508" s="10" t="str">
        <f aca="false">INDEX(Radicals!$G$2:$G$215,MATCH(C508,Radicals!$A$2:$A$215,0))</f>
        <v>hand</v>
      </c>
      <c r="F508" s="8" t="n">
        <f aca="false">INDEX(Radicals!$D$2:$D$215,MATCH(C508,Radicals!$A$2:$A$215,0))</f>
        <v>4</v>
      </c>
      <c r="G508" s="8" t="n">
        <v>11</v>
      </c>
    </row>
    <row r="509" customFormat="false" ht="17.35" hidden="false" customHeight="false" outlineLevel="0" collapsed="false">
      <c r="A509" s="8" t="n">
        <v>508</v>
      </c>
      <c r="B509" s="9" t="s">
        <v>792</v>
      </c>
      <c r="C509" s="8" t="n">
        <v>150</v>
      </c>
      <c r="D509" s="9" t="str">
        <f aca="false">INDEX(Radicals!$B$2:$B$215,MATCH(C509,Radicals!$A$2:$A$215,0))</f>
        <v>谷</v>
      </c>
      <c r="E509" s="10" t="str">
        <f aca="false">INDEX(Radicals!$G$2:$G$215,MATCH(C509,Radicals!$A$2:$A$215,0))</f>
        <v>valley</v>
      </c>
      <c r="F509" s="8" t="n">
        <f aca="false">INDEX(Radicals!$D$2:$D$215,MATCH(C509,Radicals!$A$2:$A$215,0))</f>
        <v>7</v>
      </c>
      <c r="G509" s="8" t="n">
        <v>7</v>
      </c>
    </row>
    <row r="510" customFormat="false" ht="17.35" hidden="false" customHeight="false" outlineLevel="0" collapsed="false">
      <c r="A510" s="8" t="n">
        <v>509</v>
      </c>
      <c r="B510" s="9" t="s">
        <v>1563</v>
      </c>
      <c r="C510" s="8" t="n">
        <v>30</v>
      </c>
      <c r="D510" s="9" t="str">
        <f aca="false">INDEX(Radicals!$B$2:$B$215,MATCH(C510,Radicals!$A$2:$A$215,0))</f>
        <v>口</v>
      </c>
      <c r="E510" s="10" t="str">
        <f aca="false">INDEX(Radicals!$G$2:$G$215,MATCH(C510,Radicals!$A$2:$A$215,0))</f>
        <v>mouth</v>
      </c>
      <c r="F510" s="8" t="n">
        <f aca="false">INDEX(Radicals!$D$2:$D$215,MATCH(C510,Radicals!$A$2:$A$215,0))</f>
        <v>3</v>
      </c>
      <c r="G510" s="8" t="n">
        <v>5</v>
      </c>
    </row>
    <row r="511" customFormat="false" ht="17.35" hidden="false" customHeight="false" outlineLevel="0" collapsed="false">
      <c r="A511" s="8" t="n">
        <v>510</v>
      </c>
      <c r="B511" s="9" t="s">
        <v>1564</v>
      </c>
      <c r="C511" s="8" t="n">
        <v>9</v>
      </c>
      <c r="D511" s="9" t="str">
        <f aca="false">INDEX(Radicals!$B$2:$B$215,MATCH(C511,Radicals!$A$2:$A$215,0))</f>
        <v>人</v>
      </c>
      <c r="E511" s="10" t="str">
        <f aca="false">INDEX(Radicals!$G$2:$G$215,MATCH(C511,Radicals!$A$2:$A$215,0))</f>
        <v>person</v>
      </c>
      <c r="F511" s="8" t="n">
        <f aca="false">INDEX(Radicals!$D$2:$D$215,MATCH(C511,Radicals!$A$2:$A$215,0))</f>
        <v>2</v>
      </c>
      <c r="G511" s="8" t="n">
        <v>10</v>
      </c>
    </row>
    <row r="512" customFormat="false" ht="17.35" hidden="false" customHeight="false" outlineLevel="0" collapsed="false">
      <c r="A512" s="8" t="n">
        <v>511</v>
      </c>
      <c r="B512" s="9" t="s">
        <v>1565</v>
      </c>
      <c r="C512" s="8" t="n">
        <v>30</v>
      </c>
      <c r="D512" s="9" t="str">
        <f aca="false">INDEX(Radicals!$B$2:$B$215,MATCH(C512,Radicals!$A$2:$A$215,0))</f>
        <v>口</v>
      </c>
      <c r="E512" s="10" t="str">
        <f aca="false">INDEX(Radicals!$G$2:$G$215,MATCH(C512,Radicals!$A$2:$A$215,0))</f>
        <v>mouth</v>
      </c>
      <c r="F512" s="8" t="n">
        <f aca="false">INDEX(Radicals!$D$2:$D$215,MATCH(C512,Radicals!$A$2:$A$215,0))</f>
        <v>3</v>
      </c>
      <c r="G512" s="8" t="n">
        <v>5</v>
      </c>
    </row>
    <row r="513" customFormat="false" ht="17.35" hidden="false" customHeight="false" outlineLevel="0" collapsed="false">
      <c r="A513" s="8" t="n">
        <v>512</v>
      </c>
      <c r="B513" s="9" t="s">
        <v>1566</v>
      </c>
      <c r="C513" s="8" t="n">
        <v>37</v>
      </c>
      <c r="D513" s="9" t="str">
        <f aca="false">INDEX(Radicals!$B$2:$B$215,MATCH(C513,Radicals!$A$2:$A$215,0))</f>
        <v>大</v>
      </c>
      <c r="E513" s="10" t="str">
        <f aca="false">INDEX(Radicals!$G$2:$G$215,MATCH(C513,Radicals!$A$2:$A$215,0))</f>
        <v>big</v>
      </c>
      <c r="F513" s="8" t="n">
        <f aca="false">INDEX(Radicals!$D$2:$D$215,MATCH(C513,Radicals!$A$2:$A$215,0))</f>
        <v>3</v>
      </c>
      <c r="G513" s="8" t="n">
        <v>4</v>
      </c>
    </row>
    <row r="514" customFormat="false" ht="17.35" hidden="false" customHeight="false" outlineLevel="0" collapsed="false">
      <c r="A514" s="8" t="n">
        <v>513</v>
      </c>
      <c r="B514" s="9" t="s">
        <v>1567</v>
      </c>
      <c r="C514" s="8" t="n">
        <v>170</v>
      </c>
      <c r="D514" s="9" t="str">
        <f aca="false">INDEX(Radicals!$B$2:$B$215,MATCH(C514,Radicals!$A$2:$A$215,0))</f>
        <v>阜</v>
      </c>
      <c r="E514" s="10" t="str">
        <f aca="false">INDEX(Radicals!$G$2:$G$215,MATCH(C514,Radicals!$A$2:$A$215,0))</f>
        <v>mound, hill</v>
      </c>
      <c r="F514" s="8" t="n">
        <f aca="false">INDEX(Radicals!$D$2:$D$215,MATCH(C514,Radicals!$A$2:$A$215,0))</f>
        <v>8</v>
      </c>
      <c r="G514" s="8" t="n">
        <v>12</v>
      </c>
    </row>
    <row r="515" customFormat="false" ht="17.35" hidden="false" customHeight="false" outlineLevel="0" collapsed="false">
      <c r="A515" s="8" t="n">
        <v>514</v>
      </c>
      <c r="B515" s="9" t="s">
        <v>1568</v>
      </c>
      <c r="C515" s="8" t="n">
        <v>115</v>
      </c>
      <c r="D515" s="9" t="str">
        <f aca="false">INDEX(Radicals!$B$2:$B$215,MATCH(C515,Radicals!$A$2:$A$215,0))</f>
        <v>禾</v>
      </c>
      <c r="E515" s="10" t="str">
        <f aca="false">INDEX(Radicals!$G$2:$G$215,MATCH(C515,Radicals!$A$2:$A$215,0))</f>
        <v>grain, rice plant</v>
      </c>
      <c r="F515" s="8" t="n">
        <f aca="false">INDEX(Radicals!$D$2:$D$215,MATCH(C515,Radicals!$A$2:$A$215,0))</f>
        <v>5</v>
      </c>
      <c r="G515" s="8" t="n">
        <v>12</v>
      </c>
    </row>
    <row r="516" customFormat="false" ht="17.35" hidden="false" customHeight="false" outlineLevel="0" collapsed="false">
      <c r="A516" s="8" t="n">
        <v>515</v>
      </c>
      <c r="B516" s="9" t="s">
        <v>1569</v>
      </c>
      <c r="C516" s="8" t="n">
        <v>85</v>
      </c>
      <c r="D516" s="9" t="str">
        <f aca="false">INDEX(Radicals!$B$2:$B$215,MATCH(C516,Radicals!$A$2:$A$215,0))</f>
        <v>水</v>
      </c>
      <c r="E516" s="10" t="str">
        <f aca="false">INDEX(Radicals!$G$2:$G$215,MATCH(C516,Radicals!$A$2:$A$215,0))</f>
        <v>water</v>
      </c>
      <c r="F516" s="8" t="n">
        <f aca="false">INDEX(Radicals!$D$2:$D$215,MATCH(C516,Radicals!$A$2:$A$215,0))</f>
        <v>4</v>
      </c>
      <c r="G516" s="8" t="n">
        <v>12</v>
      </c>
    </row>
    <row r="517" customFormat="false" ht="17.35" hidden="false" customHeight="false" outlineLevel="0" collapsed="false">
      <c r="A517" s="8" t="n">
        <v>516</v>
      </c>
      <c r="B517" s="9" t="s">
        <v>1570</v>
      </c>
      <c r="C517" s="8" t="n">
        <v>66</v>
      </c>
      <c r="D517" s="9" t="str">
        <f aca="false">INDEX(Radicals!$B$2:$B$215,MATCH(C517,Radicals!$A$2:$A$215,0))</f>
        <v>攴</v>
      </c>
      <c r="E517" s="10" t="str">
        <f aca="false">INDEX(Radicals!$G$2:$G$215,MATCH(C517,Radicals!$A$2:$A$215,0))</f>
        <v>rap, tap, strike</v>
      </c>
      <c r="F517" s="8" t="n">
        <f aca="false">INDEX(Radicals!$D$2:$D$215,MATCH(C517,Radicals!$A$2:$A$215,0))</f>
        <v>4</v>
      </c>
      <c r="G517" s="8" t="n">
        <v>11</v>
      </c>
    </row>
    <row r="518" customFormat="false" ht="17.35" hidden="false" customHeight="false" outlineLevel="0" collapsed="false">
      <c r="A518" s="8" t="n">
        <v>517</v>
      </c>
      <c r="B518" s="9" t="s">
        <v>1571</v>
      </c>
      <c r="C518" s="8" t="n">
        <v>118</v>
      </c>
      <c r="D518" s="9" t="str">
        <f aca="false">INDEX(Radicals!$B$2:$B$215,MATCH(C518,Radicals!$A$2:$A$215,0))</f>
        <v>竹</v>
      </c>
      <c r="E518" s="10" t="str">
        <f aca="false">INDEX(Radicals!$G$2:$G$215,MATCH(C518,Radicals!$A$2:$A$215,0))</f>
        <v>bamboo</v>
      </c>
      <c r="F518" s="8" t="n">
        <f aca="false">INDEX(Radicals!$D$2:$D$215,MATCH(C518,Radicals!$A$2:$A$215,0))</f>
        <v>6</v>
      </c>
      <c r="G518" s="8" t="n">
        <v>14</v>
      </c>
    </row>
    <row r="519" customFormat="false" ht="17.35" hidden="false" customHeight="false" outlineLevel="0" collapsed="false">
      <c r="A519" s="8" t="n">
        <v>518</v>
      </c>
      <c r="B519" s="9" t="s">
        <v>1572</v>
      </c>
      <c r="C519" s="8" t="n">
        <v>9</v>
      </c>
      <c r="D519" s="9" t="str">
        <f aca="false">INDEX(Radicals!$B$2:$B$215,MATCH(C519,Radicals!$A$2:$A$215,0))</f>
        <v>人</v>
      </c>
      <c r="E519" s="10" t="str">
        <f aca="false">INDEX(Radicals!$G$2:$G$215,MATCH(C519,Radicals!$A$2:$A$215,0))</f>
        <v>person</v>
      </c>
      <c r="F519" s="8" t="n">
        <f aca="false">INDEX(Radicals!$D$2:$D$215,MATCH(C519,Radicals!$A$2:$A$215,0))</f>
        <v>2</v>
      </c>
      <c r="G519" s="8" t="n">
        <v>10</v>
      </c>
    </row>
    <row r="520" customFormat="false" ht="17.35" hidden="false" customHeight="false" outlineLevel="0" collapsed="false">
      <c r="A520" s="8" t="n">
        <v>519</v>
      </c>
      <c r="B520" s="9" t="s">
        <v>1573</v>
      </c>
      <c r="C520" s="8" t="n">
        <v>76</v>
      </c>
      <c r="D520" s="9" t="str">
        <f aca="false">INDEX(Radicals!$B$2:$B$215,MATCH(C520,Radicals!$A$2:$A$215,0))</f>
        <v>欠</v>
      </c>
      <c r="E520" s="10" t="str">
        <f aca="false">INDEX(Radicals!$G$2:$G$215,MATCH(C520,Radicals!$A$2:$A$215,0))</f>
        <v>lack, yawn</v>
      </c>
      <c r="F520" s="8" t="n">
        <f aca="false">INDEX(Radicals!$D$2:$D$215,MATCH(C520,Radicals!$A$2:$A$215,0))</f>
        <v>4</v>
      </c>
      <c r="G520" s="8" t="n">
        <v>14</v>
      </c>
    </row>
    <row r="521" customFormat="false" ht="17.35" hidden="false" customHeight="false" outlineLevel="0" collapsed="false">
      <c r="A521" s="8" t="n">
        <v>520</v>
      </c>
      <c r="B521" s="9" t="s">
        <v>1574</v>
      </c>
      <c r="C521" s="8" t="n">
        <v>154</v>
      </c>
      <c r="D521" s="9" t="str">
        <f aca="false">INDEX(Radicals!$B$2:$B$215,MATCH(C521,Radicals!$A$2:$A$215,0))</f>
        <v>貝</v>
      </c>
      <c r="E521" s="10" t="str">
        <f aca="false">INDEX(Radicals!$G$2:$G$215,MATCH(C521,Radicals!$A$2:$A$215,0))</f>
        <v>shell, money</v>
      </c>
      <c r="F521" s="8" t="n">
        <f aca="false">INDEX(Radicals!$D$2:$D$215,MATCH(C521,Radicals!$A$2:$A$215,0))</f>
        <v>7</v>
      </c>
      <c r="G521" s="8" t="n">
        <v>12</v>
      </c>
    </row>
    <row r="522" customFormat="false" ht="17.35" hidden="false" customHeight="false" outlineLevel="0" collapsed="false">
      <c r="A522" s="8" t="n">
        <v>521</v>
      </c>
      <c r="B522" s="9" t="s">
        <v>1575</v>
      </c>
      <c r="C522" s="8" t="n">
        <v>116</v>
      </c>
      <c r="D522" s="9" t="str">
        <f aca="false">INDEX(Radicals!$B$2:$B$215,MATCH(C522,Radicals!$A$2:$A$215,0))</f>
        <v>穴</v>
      </c>
      <c r="E522" s="10" t="str">
        <f aca="false">INDEX(Radicals!$G$2:$G$215,MATCH(C522,Radicals!$A$2:$A$215,0))</f>
        <v>cave, hole</v>
      </c>
      <c r="F522" s="8" t="n">
        <f aca="false">INDEX(Radicals!$D$2:$D$215,MATCH(C522,Radicals!$A$2:$A$215,0))</f>
        <v>5</v>
      </c>
      <c r="G522" s="8" t="n">
        <v>8</v>
      </c>
    </row>
    <row r="523" customFormat="false" ht="17.35" hidden="false" customHeight="false" outlineLevel="0" collapsed="false">
      <c r="A523" s="8" t="n">
        <v>522</v>
      </c>
      <c r="B523" s="9" t="s">
        <v>1576</v>
      </c>
      <c r="C523" s="8" t="n">
        <v>12</v>
      </c>
      <c r="D523" s="9" t="str">
        <f aca="false">INDEX(Radicals!$B$2:$B$215,MATCH(C523,Radicals!$A$2:$A$215,0))</f>
        <v>八</v>
      </c>
      <c r="E523" s="10" t="str">
        <f aca="false">INDEX(Radicals!$G$2:$G$215,MATCH(C523,Radicals!$A$2:$A$215,0))</f>
        <v>eight</v>
      </c>
      <c r="F523" s="8" t="n">
        <f aca="false">INDEX(Radicals!$D$2:$D$215,MATCH(C523,Radicals!$A$2:$A$215,0))</f>
        <v>2</v>
      </c>
      <c r="G523" s="8" t="n">
        <v>7</v>
      </c>
    </row>
    <row r="524" customFormat="false" ht="17.35" hidden="false" customHeight="false" outlineLevel="0" collapsed="false">
      <c r="A524" s="8" t="n">
        <v>523</v>
      </c>
      <c r="B524" s="9" t="s">
        <v>1577</v>
      </c>
      <c r="C524" s="8" t="n">
        <v>64</v>
      </c>
      <c r="D524" s="9" t="str">
        <f aca="false">INDEX(Radicals!$B$2:$B$215,MATCH(C524,Radicals!$A$2:$A$215,0))</f>
        <v>手</v>
      </c>
      <c r="E524" s="10" t="str">
        <f aca="false">INDEX(Radicals!$G$2:$G$215,MATCH(C524,Radicals!$A$2:$A$215,0))</f>
        <v>hand</v>
      </c>
      <c r="F524" s="8" t="n">
        <f aca="false">INDEX(Radicals!$D$2:$D$215,MATCH(C524,Radicals!$A$2:$A$215,0))</f>
        <v>4</v>
      </c>
      <c r="G524" s="8" t="n">
        <v>11</v>
      </c>
    </row>
    <row r="525" customFormat="false" ht="17.35" hidden="false" customHeight="false" outlineLevel="0" collapsed="false">
      <c r="A525" s="8" t="n">
        <v>524</v>
      </c>
      <c r="B525" s="9" t="s">
        <v>1578</v>
      </c>
      <c r="C525" s="8" t="n">
        <v>149</v>
      </c>
      <c r="D525" s="9" t="str">
        <f aca="false">INDEX(Radicals!$B$2:$B$215,MATCH(C525,Radicals!$A$2:$A$215,0))</f>
        <v>言</v>
      </c>
      <c r="E525" s="10" t="str">
        <f aca="false">INDEX(Radicals!$G$2:$G$215,MATCH(C525,Radicals!$A$2:$A$215,0))</f>
        <v>speech, say</v>
      </c>
      <c r="F525" s="8" t="n">
        <f aca="false">INDEX(Radicals!$D$2:$D$215,MATCH(C525,Radicals!$A$2:$A$215,0))</f>
        <v>7</v>
      </c>
      <c r="G525" s="8" t="n">
        <v>15</v>
      </c>
    </row>
    <row r="526" customFormat="false" ht="17.35" hidden="false" customHeight="false" outlineLevel="0" collapsed="false">
      <c r="A526" s="8" t="n">
        <v>525</v>
      </c>
      <c r="B526" s="9" t="s">
        <v>1579</v>
      </c>
      <c r="C526" s="8" t="n">
        <v>30</v>
      </c>
      <c r="D526" s="9" t="str">
        <f aca="false">INDEX(Radicals!$B$2:$B$215,MATCH(C526,Radicals!$A$2:$A$215,0))</f>
        <v>口</v>
      </c>
      <c r="E526" s="10" t="str">
        <f aca="false">INDEX(Radicals!$G$2:$G$215,MATCH(C526,Radicals!$A$2:$A$215,0))</f>
        <v>mouth</v>
      </c>
      <c r="F526" s="8" t="n">
        <f aca="false">INDEX(Radicals!$D$2:$D$215,MATCH(C526,Radicals!$A$2:$A$215,0))</f>
        <v>3</v>
      </c>
      <c r="G526" s="8" t="n">
        <v>15</v>
      </c>
    </row>
    <row r="527" customFormat="false" ht="17.35" hidden="false" customHeight="false" outlineLevel="0" collapsed="false">
      <c r="A527" s="8" t="n">
        <v>526</v>
      </c>
      <c r="B527" s="9" t="s">
        <v>183</v>
      </c>
      <c r="C527" s="8" t="n">
        <v>33</v>
      </c>
      <c r="D527" s="9" t="str">
        <f aca="false">INDEX(Radicals!$B$2:$B$215,MATCH(C527,Radicals!$A$2:$A$215,0))</f>
        <v>士</v>
      </c>
      <c r="E527" s="10" t="str">
        <f aca="false">INDEX(Radicals!$G$2:$G$215,MATCH(C527,Radicals!$A$2:$A$215,0))</f>
        <v>scholar, samurai</v>
      </c>
      <c r="F527" s="8" t="n">
        <f aca="false">INDEX(Radicals!$D$2:$D$215,MATCH(C527,Radicals!$A$2:$A$215,0))</f>
        <v>3</v>
      </c>
      <c r="G527" s="8" t="n">
        <v>3</v>
      </c>
    </row>
    <row r="528" customFormat="false" ht="17.35" hidden="false" customHeight="false" outlineLevel="0" collapsed="false">
      <c r="A528" s="8" t="n">
        <v>527</v>
      </c>
      <c r="B528" s="9" t="s">
        <v>1580</v>
      </c>
      <c r="C528" s="8" t="n">
        <v>10</v>
      </c>
      <c r="D528" s="9" t="str">
        <f aca="false">INDEX(Radicals!$B$2:$B$215,MATCH(C528,Radicals!$A$2:$A$215,0))</f>
        <v>儿</v>
      </c>
      <c r="E528" s="10" t="str">
        <f aca="false">INDEX(Radicals!$G$2:$G$215,MATCH(C528,Radicals!$A$2:$A$215,0))</f>
        <v>legs, walking person</v>
      </c>
      <c r="F528" s="8" t="n">
        <f aca="false">INDEX(Radicals!$D$2:$D$215,MATCH(C528,Radicals!$A$2:$A$215,0))</f>
        <v>2</v>
      </c>
      <c r="G528" s="8" t="n">
        <v>6</v>
      </c>
    </row>
    <row r="529" customFormat="false" ht="17.35" hidden="false" customHeight="false" outlineLevel="0" collapsed="false">
      <c r="A529" s="8" t="n">
        <v>528</v>
      </c>
      <c r="B529" s="9" t="s">
        <v>1581</v>
      </c>
      <c r="C529" s="8" t="n">
        <v>149</v>
      </c>
      <c r="D529" s="9" t="str">
        <f aca="false">INDEX(Radicals!$B$2:$B$215,MATCH(C529,Radicals!$A$2:$A$215,0))</f>
        <v>言</v>
      </c>
      <c r="E529" s="10" t="str">
        <f aca="false">INDEX(Radicals!$G$2:$G$215,MATCH(C529,Radicals!$A$2:$A$215,0))</f>
        <v>speech, say</v>
      </c>
      <c r="F529" s="8" t="n">
        <f aca="false">INDEX(Radicals!$D$2:$D$215,MATCH(C529,Radicals!$A$2:$A$215,0))</f>
        <v>7</v>
      </c>
      <c r="G529" s="8" t="n">
        <v>10</v>
      </c>
    </row>
    <row r="530" customFormat="false" ht="17.35" hidden="false" customHeight="false" outlineLevel="0" collapsed="false">
      <c r="A530" s="8" t="n">
        <v>529</v>
      </c>
      <c r="B530" s="9" t="s">
        <v>1582</v>
      </c>
      <c r="C530" s="8" t="n">
        <v>157</v>
      </c>
      <c r="D530" s="9" t="str">
        <f aca="false">INDEX(Radicals!$B$2:$B$215,MATCH(C530,Radicals!$A$2:$A$215,0))</f>
        <v>足</v>
      </c>
      <c r="E530" s="10" t="str">
        <f aca="false">INDEX(Radicals!$G$2:$G$215,MATCH(C530,Radicals!$A$2:$A$215,0))</f>
        <v>foot, leg</v>
      </c>
      <c r="F530" s="8" t="n">
        <f aca="false">INDEX(Radicals!$D$2:$D$215,MATCH(C530,Radicals!$A$2:$A$215,0))</f>
        <v>7</v>
      </c>
      <c r="G530" s="8" t="n">
        <v>13</v>
      </c>
    </row>
    <row r="531" customFormat="false" ht="17.35" hidden="false" customHeight="false" outlineLevel="0" collapsed="false">
      <c r="A531" s="8" t="n">
        <v>530</v>
      </c>
      <c r="B531" s="9" t="s">
        <v>1583</v>
      </c>
      <c r="C531" s="8" t="n">
        <v>61</v>
      </c>
      <c r="D531" s="9" t="str">
        <f aca="false">INDEX(Radicals!$B$2:$B$215,MATCH(C531,Radicals!$A$2:$A$215,0))</f>
        <v>心</v>
      </c>
      <c r="E531" s="10" t="str">
        <f aca="false">INDEX(Radicals!$G$2:$G$215,MATCH(C531,Radicals!$A$2:$A$215,0))</f>
        <v>heart, mind</v>
      </c>
      <c r="F531" s="8" t="n">
        <f aca="false">INDEX(Radicals!$D$2:$D$215,MATCH(C531,Radicals!$A$2:$A$215,0))</f>
        <v>4</v>
      </c>
      <c r="G531" s="8" t="n">
        <v>11</v>
      </c>
    </row>
    <row r="532" customFormat="false" ht="17.35" hidden="false" customHeight="false" outlineLevel="0" collapsed="false">
      <c r="A532" s="8" t="n">
        <v>531</v>
      </c>
      <c r="B532" s="9" t="s">
        <v>1584</v>
      </c>
      <c r="C532" s="8" t="n">
        <v>115</v>
      </c>
      <c r="D532" s="9" t="str">
        <f aca="false">INDEX(Radicals!$B$2:$B$215,MATCH(C532,Radicals!$A$2:$A$215,0))</f>
        <v>禾</v>
      </c>
      <c r="E532" s="10" t="str">
        <f aca="false">INDEX(Radicals!$G$2:$G$215,MATCH(C532,Radicals!$A$2:$A$215,0))</f>
        <v>grain, rice plant</v>
      </c>
      <c r="F532" s="8" t="n">
        <f aca="false">INDEX(Radicals!$D$2:$D$215,MATCH(C532,Radicals!$A$2:$A$215,0))</f>
        <v>5</v>
      </c>
      <c r="G532" s="8" t="n">
        <v>9</v>
      </c>
    </row>
    <row r="533" customFormat="false" ht="17.35" hidden="false" customHeight="false" outlineLevel="0" collapsed="false">
      <c r="A533" s="8" t="n">
        <v>532</v>
      </c>
      <c r="B533" s="9" t="s">
        <v>1585</v>
      </c>
      <c r="C533" s="8" t="n">
        <v>66</v>
      </c>
      <c r="D533" s="9" t="str">
        <f aca="false">INDEX(Radicals!$B$2:$B$215,MATCH(C533,Radicals!$A$2:$A$215,0))</f>
        <v>攴</v>
      </c>
      <c r="E533" s="10" t="str">
        <f aca="false">INDEX(Radicals!$G$2:$G$215,MATCH(C533,Radicals!$A$2:$A$215,0))</f>
        <v>rap, tap, strike</v>
      </c>
      <c r="F533" s="8" t="n">
        <f aca="false">INDEX(Radicals!$D$2:$D$215,MATCH(C533,Radicals!$A$2:$A$215,0))</f>
        <v>4</v>
      </c>
      <c r="G533" s="8" t="n">
        <v>7</v>
      </c>
    </row>
    <row r="534" customFormat="false" ht="17.35" hidden="false" customHeight="false" outlineLevel="0" collapsed="false">
      <c r="A534" s="8" t="n">
        <v>533</v>
      </c>
      <c r="B534" s="9" t="s">
        <v>1586</v>
      </c>
      <c r="C534" s="8" t="n">
        <v>46</v>
      </c>
      <c r="D534" s="9" t="str">
        <f aca="false">INDEX(Radicals!$B$2:$B$215,MATCH(C534,Radicals!$A$2:$A$215,0))</f>
        <v>山</v>
      </c>
      <c r="E534" s="10" t="str">
        <f aca="false">INDEX(Radicals!$G$2:$G$215,MATCH(C534,Radicals!$A$2:$A$215,0))</f>
        <v>mountain</v>
      </c>
      <c r="F534" s="8" t="n">
        <f aca="false">INDEX(Radicals!$D$2:$D$215,MATCH(C534,Radicals!$A$2:$A$215,0))</f>
        <v>3</v>
      </c>
      <c r="G534" s="8" t="n">
        <v>11</v>
      </c>
    </row>
    <row r="535" customFormat="false" ht="17.35" hidden="false" customHeight="false" outlineLevel="0" collapsed="false">
      <c r="A535" s="8" t="n">
        <v>534</v>
      </c>
      <c r="B535" s="9" t="s">
        <v>1587</v>
      </c>
      <c r="C535" s="8" t="n">
        <v>109</v>
      </c>
      <c r="D535" s="9" t="str">
        <f aca="false">INDEX(Radicals!$B$2:$B$215,MATCH(C535,Radicals!$A$2:$A$215,0))</f>
        <v>目</v>
      </c>
      <c r="E535" s="10" t="str">
        <f aca="false">INDEX(Radicals!$G$2:$G$215,MATCH(C535,Radicals!$A$2:$A$215,0))</f>
        <v>eye</v>
      </c>
      <c r="F535" s="8" t="n">
        <f aca="false">INDEX(Radicals!$D$2:$D$215,MATCH(C535,Radicals!$A$2:$A$215,0))</f>
        <v>5</v>
      </c>
      <c r="G535" s="8" t="n">
        <v>13</v>
      </c>
    </row>
    <row r="536" customFormat="false" ht="17.35" hidden="false" customHeight="false" outlineLevel="0" collapsed="false">
      <c r="A536" s="8" t="n">
        <v>535</v>
      </c>
      <c r="B536" s="9" t="s">
        <v>1588</v>
      </c>
      <c r="C536" s="8" t="n">
        <v>64</v>
      </c>
      <c r="D536" s="9" t="str">
        <f aca="false">INDEX(Radicals!$B$2:$B$215,MATCH(C536,Radicals!$A$2:$A$215,0))</f>
        <v>手</v>
      </c>
      <c r="E536" s="10" t="str">
        <f aca="false">INDEX(Radicals!$G$2:$G$215,MATCH(C536,Radicals!$A$2:$A$215,0))</f>
        <v>hand</v>
      </c>
      <c r="F536" s="8" t="n">
        <f aca="false">INDEX(Radicals!$D$2:$D$215,MATCH(C536,Radicals!$A$2:$A$215,0))</f>
        <v>4</v>
      </c>
      <c r="G536" s="8" t="n">
        <v>11</v>
      </c>
    </row>
    <row r="537" customFormat="false" ht="17.35" hidden="false" customHeight="false" outlineLevel="0" collapsed="false">
      <c r="A537" s="8" t="n">
        <v>536</v>
      </c>
      <c r="B537" s="9" t="s">
        <v>1589</v>
      </c>
      <c r="C537" s="8" t="n">
        <v>9</v>
      </c>
      <c r="D537" s="9" t="str">
        <f aca="false">INDEX(Radicals!$B$2:$B$215,MATCH(C537,Radicals!$A$2:$A$215,0))</f>
        <v>人</v>
      </c>
      <c r="E537" s="10" t="str">
        <f aca="false">INDEX(Radicals!$G$2:$G$215,MATCH(C537,Radicals!$A$2:$A$215,0))</f>
        <v>person</v>
      </c>
      <c r="F537" s="8" t="n">
        <f aca="false">INDEX(Radicals!$D$2:$D$215,MATCH(C537,Radicals!$A$2:$A$215,0))</f>
        <v>2</v>
      </c>
      <c r="G537" s="8" t="n">
        <v>13</v>
      </c>
    </row>
    <row r="538" customFormat="false" ht="17.35" hidden="false" customHeight="false" outlineLevel="0" collapsed="false">
      <c r="A538" s="8" t="n">
        <v>537</v>
      </c>
      <c r="B538" s="9" t="s">
        <v>1590</v>
      </c>
      <c r="C538" s="8" t="n">
        <v>120</v>
      </c>
      <c r="D538" s="9" t="str">
        <f aca="false">INDEX(Radicals!$B$2:$B$215,MATCH(C538,Radicals!$A$2:$A$215,0))</f>
        <v>糸</v>
      </c>
      <c r="E538" s="10" t="str">
        <f aca="false">INDEX(Radicals!$G$2:$G$215,MATCH(C538,Radicals!$A$2:$A$215,0))</f>
        <v>thread, silk</v>
      </c>
      <c r="F538" s="8" t="n">
        <f aca="false">INDEX(Radicals!$D$2:$D$215,MATCH(C538,Radicals!$A$2:$A$215,0))</f>
        <v>6</v>
      </c>
      <c r="G538" s="8" t="n">
        <v>11</v>
      </c>
    </row>
    <row r="539" customFormat="false" ht="17.35" hidden="false" customHeight="false" outlineLevel="0" collapsed="false">
      <c r="A539" s="8" t="n">
        <v>538</v>
      </c>
      <c r="B539" s="9" t="s">
        <v>1591</v>
      </c>
      <c r="C539" s="8" t="n">
        <v>19</v>
      </c>
      <c r="D539" s="9" t="str">
        <f aca="false">INDEX(Radicals!$B$2:$B$215,MATCH(C539,Radicals!$A$2:$A$215,0))</f>
        <v>力</v>
      </c>
      <c r="E539" s="10" t="str">
        <f aca="false">INDEX(Radicals!$G$2:$G$215,MATCH(C539,Radicals!$A$2:$A$215,0))</f>
        <v>power, strength</v>
      </c>
      <c r="F539" s="8" t="n">
        <f aca="false">INDEX(Radicals!$D$2:$D$215,MATCH(C539,Radicals!$A$2:$A$215,0))</f>
        <v>2</v>
      </c>
      <c r="G539" s="8" t="n">
        <v>8</v>
      </c>
    </row>
    <row r="540" customFormat="false" ht="17.35" hidden="false" customHeight="false" outlineLevel="0" collapsed="false">
      <c r="A540" s="8" t="n">
        <v>539</v>
      </c>
      <c r="B540" s="9" t="s">
        <v>1592</v>
      </c>
      <c r="C540" s="8" t="n">
        <v>31</v>
      </c>
      <c r="D540" s="9" t="str">
        <f aca="false">INDEX(Radicals!$B$2:$B$215,MATCH(C540,Radicals!$A$2:$A$215,0))</f>
        <v>囗</v>
      </c>
      <c r="E540" s="10" t="str">
        <f aca="false">INDEX(Radicals!$G$2:$G$215,MATCH(C540,Radicals!$A$2:$A$215,0))</f>
        <v>enclosure</v>
      </c>
      <c r="F540" s="8" t="n">
        <f aca="false">INDEX(Radicals!$D$2:$D$215,MATCH(C540,Radicals!$A$2:$A$215,0))</f>
        <v>3</v>
      </c>
      <c r="G540" s="8" t="n">
        <v>7</v>
      </c>
    </row>
    <row r="541" customFormat="false" ht="17.35" hidden="false" customHeight="false" outlineLevel="0" collapsed="false">
      <c r="A541" s="8" t="n">
        <v>540</v>
      </c>
      <c r="B541" s="9" t="s">
        <v>1593</v>
      </c>
      <c r="C541" s="8" t="n">
        <v>162</v>
      </c>
      <c r="D541" s="9" t="str">
        <f aca="false">INDEX(Radicals!$B$2:$B$215,MATCH(C541,Radicals!$A$2:$A$215,0))</f>
        <v>辵</v>
      </c>
      <c r="E541" s="10" t="str">
        <f aca="false">INDEX(Radicals!$G$2:$G$215,MATCH(C541,Radicals!$A$2:$A$215,0))</f>
        <v>walk, movement</v>
      </c>
      <c r="F541" s="8" t="n">
        <f aca="false">INDEX(Radicals!$D$2:$D$215,MATCH(C541,Radicals!$A$2:$A$215,0))</f>
        <v>7</v>
      </c>
      <c r="G541" s="8" t="n">
        <v>11</v>
      </c>
    </row>
    <row r="542" customFormat="false" ht="17.35" hidden="false" customHeight="false" outlineLevel="0" collapsed="false">
      <c r="A542" s="8" t="n">
        <v>541</v>
      </c>
      <c r="B542" s="9" t="s">
        <v>1594</v>
      </c>
      <c r="C542" s="8" t="n">
        <v>115</v>
      </c>
      <c r="D542" s="9" t="str">
        <f aca="false">INDEX(Radicals!$B$2:$B$215,MATCH(C542,Radicals!$A$2:$A$215,0))</f>
        <v>禾</v>
      </c>
      <c r="E542" s="10" t="str">
        <f aca="false">INDEX(Radicals!$G$2:$G$215,MATCH(C542,Radicals!$A$2:$A$215,0))</f>
        <v>grain, rice plant</v>
      </c>
      <c r="F542" s="8" t="n">
        <f aca="false">INDEX(Radicals!$D$2:$D$215,MATCH(C542,Radicals!$A$2:$A$215,0))</f>
        <v>5</v>
      </c>
      <c r="G542" s="8" t="n">
        <v>16</v>
      </c>
    </row>
    <row r="543" customFormat="false" ht="17.35" hidden="false" customHeight="false" outlineLevel="0" collapsed="false">
      <c r="A543" s="8" t="n">
        <v>542</v>
      </c>
      <c r="B543" s="9" t="s">
        <v>1595</v>
      </c>
      <c r="C543" s="8" t="n">
        <v>3</v>
      </c>
      <c r="D543" s="9" t="str">
        <f aca="false">INDEX(Radicals!$B$2:$B$215,MATCH(C543,Radicals!$A$2:$A$215,0))</f>
        <v>丶</v>
      </c>
      <c r="E543" s="10" t="str">
        <f aca="false">INDEX(Radicals!$G$2:$G$215,MATCH(C543,Radicals!$A$2:$A$215,0))</f>
        <v>dot</v>
      </c>
      <c r="F543" s="8" t="n">
        <f aca="false">INDEX(Radicals!$D$2:$D$215,MATCH(C543,Radicals!$A$2:$A$215,0))</f>
        <v>1</v>
      </c>
      <c r="G543" s="8" t="n">
        <v>3</v>
      </c>
    </row>
    <row r="544" customFormat="false" ht="17.35" hidden="false" customHeight="false" outlineLevel="0" collapsed="false">
      <c r="A544" s="8" t="n">
        <v>543</v>
      </c>
      <c r="B544" s="9" t="s">
        <v>1596</v>
      </c>
      <c r="C544" s="8" t="n">
        <v>9</v>
      </c>
      <c r="D544" s="9" t="str">
        <f aca="false">INDEX(Radicals!$B$2:$B$215,MATCH(C544,Radicals!$A$2:$A$215,0))</f>
        <v>人</v>
      </c>
      <c r="E544" s="10" t="str">
        <f aca="false">INDEX(Radicals!$G$2:$G$215,MATCH(C544,Radicals!$A$2:$A$215,0))</f>
        <v>person</v>
      </c>
      <c r="F544" s="8" t="n">
        <f aca="false">INDEX(Radicals!$D$2:$D$215,MATCH(C544,Radicals!$A$2:$A$215,0))</f>
        <v>2</v>
      </c>
      <c r="G544" s="8" t="n">
        <v>5</v>
      </c>
    </row>
    <row r="545" customFormat="false" ht="17.35" hidden="false" customHeight="false" outlineLevel="0" collapsed="false">
      <c r="A545" s="8" t="n">
        <v>544</v>
      </c>
      <c r="B545" s="9" t="s">
        <v>1597</v>
      </c>
      <c r="C545" s="8" t="n">
        <v>29</v>
      </c>
      <c r="D545" s="9" t="str">
        <f aca="false">INDEX(Radicals!$B$2:$B$215,MATCH(C545,Radicals!$A$2:$A$215,0))</f>
        <v>又</v>
      </c>
      <c r="E545" s="10" t="str">
        <f aca="false">INDEX(Radicals!$G$2:$G$215,MATCH(C545,Radicals!$A$2:$A$215,0))</f>
        <v>again, right hand</v>
      </c>
      <c r="F545" s="8" t="n">
        <f aca="false">INDEX(Radicals!$D$2:$D$215,MATCH(C545,Radicals!$A$2:$A$215,0))</f>
        <v>2</v>
      </c>
      <c r="G545" s="8" t="n">
        <v>3</v>
      </c>
    </row>
    <row r="546" customFormat="false" ht="17.35" hidden="false" customHeight="false" outlineLevel="0" collapsed="false">
      <c r="A546" s="8" t="n">
        <v>545</v>
      </c>
      <c r="B546" s="9" t="s">
        <v>1598</v>
      </c>
      <c r="C546" s="8" t="n">
        <v>85</v>
      </c>
      <c r="D546" s="9" t="str">
        <f aca="false">INDEX(Radicals!$B$2:$B$215,MATCH(C546,Radicals!$A$2:$A$215,0))</f>
        <v>水</v>
      </c>
      <c r="E546" s="10" t="str">
        <f aca="false">INDEX(Radicals!$G$2:$G$215,MATCH(C546,Radicals!$A$2:$A$215,0))</f>
        <v>water</v>
      </c>
      <c r="F546" s="8" t="n">
        <f aca="false">INDEX(Radicals!$D$2:$D$215,MATCH(C546,Radicals!$A$2:$A$215,0))</f>
        <v>4</v>
      </c>
      <c r="G546" s="8" t="n">
        <v>12</v>
      </c>
    </row>
    <row r="547" customFormat="false" ht="17.35" hidden="false" customHeight="false" outlineLevel="0" collapsed="false">
      <c r="A547" s="8" t="n">
        <v>546</v>
      </c>
      <c r="B547" s="9" t="s">
        <v>1599</v>
      </c>
      <c r="C547" s="8" t="n">
        <v>167</v>
      </c>
      <c r="D547" s="9" t="str">
        <f aca="false">INDEX(Radicals!$B$2:$B$215,MATCH(C547,Radicals!$A$2:$A$215,0))</f>
        <v>金</v>
      </c>
      <c r="E547" s="10" t="str">
        <f aca="false">INDEX(Radicals!$G$2:$G$215,MATCH(C547,Radicals!$A$2:$A$215,0))</f>
        <v>metal, gold</v>
      </c>
      <c r="F547" s="8" t="n">
        <f aca="false">INDEX(Radicals!$D$2:$D$215,MATCH(C547,Radicals!$A$2:$A$215,0))</f>
        <v>8</v>
      </c>
      <c r="G547" s="8" t="n">
        <v>16</v>
      </c>
    </row>
    <row r="548" customFormat="false" ht="17.35" hidden="false" customHeight="false" outlineLevel="0" collapsed="false">
      <c r="A548" s="8" t="n">
        <v>547</v>
      </c>
      <c r="B548" s="9" t="s">
        <v>1600</v>
      </c>
      <c r="C548" s="8" t="n">
        <v>16</v>
      </c>
      <c r="D548" s="9" t="str">
        <f aca="false">INDEX(Radicals!$B$2:$B$215,MATCH(C548,Radicals!$A$2:$A$215,0))</f>
        <v>几</v>
      </c>
      <c r="E548" s="10" t="str">
        <f aca="false">INDEX(Radicals!$G$2:$G$215,MATCH(C548,Radicals!$A$2:$A$215,0))</f>
        <v>table, wind</v>
      </c>
      <c r="F548" s="8" t="n">
        <f aca="false">INDEX(Radicals!$D$2:$D$215,MATCH(C548,Radicals!$A$2:$A$215,0))</f>
        <v>2</v>
      </c>
      <c r="G548" s="8" t="n">
        <v>5</v>
      </c>
    </row>
    <row r="549" customFormat="false" ht="17.35" hidden="false" customHeight="false" outlineLevel="0" collapsed="false">
      <c r="A549" s="8" t="n">
        <v>548</v>
      </c>
      <c r="B549" s="9" t="s">
        <v>1601</v>
      </c>
      <c r="C549" s="8" t="n">
        <v>109</v>
      </c>
      <c r="D549" s="9" t="str">
        <f aca="false">INDEX(Radicals!$B$2:$B$215,MATCH(C549,Radicals!$A$2:$A$215,0))</f>
        <v>目</v>
      </c>
      <c r="E549" s="10" t="str">
        <f aca="false">INDEX(Radicals!$G$2:$G$215,MATCH(C549,Radicals!$A$2:$A$215,0))</f>
        <v>eye</v>
      </c>
      <c r="F549" s="8" t="n">
        <f aca="false">INDEX(Radicals!$D$2:$D$215,MATCH(C549,Radicals!$A$2:$A$215,0))</f>
        <v>5</v>
      </c>
      <c r="G549" s="8" t="n">
        <v>9</v>
      </c>
    </row>
    <row r="550" customFormat="false" ht="17.35" hidden="false" customHeight="false" outlineLevel="0" collapsed="false">
      <c r="A550" s="8" t="n">
        <v>549</v>
      </c>
      <c r="B550" s="9" t="s">
        <v>1602</v>
      </c>
      <c r="C550" s="8" t="n">
        <v>72</v>
      </c>
      <c r="D550" s="9" t="str">
        <f aca="false">INDEX(Radicals!$B$2:$B$215,MATCH(C550,Radicals!$A$2:$A$215,0))</f>
        <v>日</v>
      </c>
      <c r="E550" s="10" t="str">
        <f aca="false">INDEX(Radicals!$G$2:$G$215,MATCH(C550,Radicals!$A$2:$A$215,0))</f>
        <v>sun, day</v>
      </c>
      <c r="F550" s="8" t="n">
        <f aca="false">INDEX(Radicals!$D$2:$D$215,MATCH(C550,Radicals!$A$2:$A$215,0))</f>
        <v>4</v>
      </c>
      <c r="G550" s="8" t="n">
        <v>5</v>
      </c>
    </row>
    <row r="551" customFormat="false" ht="17.35" hidden="false" customHeight="false" outlineLevel="0" collapsed="false">
      <c r="A551" s="8" t="n">
        <v>550</v>
      </c>
      <c r="B551" s="9" t="s">
        <v>1603</v>
      </c>
      <c r="C551" s="8" t="n">
        <v>40</v>
      </c>
      <c r="D551" s="9" t="str">
        <f aca="false">INDEX(Radicals!$B$2:$B$215,MATCH(C551,Radicals!$A$2:$A$215,0))</f>
        <v>宀</v>
      </c>
      <c r="E551" s="10" t="str">
        <f aca="false">INDEX(Radicals!$G$2:$G$215,MATCH(C551,Radicals!$A$2:$A$215,0))</f>
        <v>roof</v>
      </c>
      <c r="F551" s="8" t="n">
        <f aca="false">INDEX(Radicals!$D$2:$D$215,MATCH(C551,Radicals!$A$2:$A$215,0))</f>
        <v>3</v>
      </c>
      <c r="G551" s="8" t="n">
        <v>9</v>
      </c>
    </row>
    <row r="552" customFormat="false" ht="17.35" hidden="false" customHeight="false" outlineLevel="0" collapsed="false">
      <c r="A552" s="8" t="n">
        <v>551</v>
      </c>
      <c r="B552" s="9" t="s">
        <v>1604</v>
      </c>
      <c r="C552" s="8" t="n">
        <v>61</v>
      </c>
      <c r="D552" s="9" t="str">
        <f aca="false">INDEX(Radicals!$B$2:$B$215,MATCH(C552,Radicals!$A$2:$A$215,0))</f>
        <v>心</v>
      </c>
      <c r="E552" s="10" t="str">
        <f aca="false">INDEX(Radicals!$G$2:$G$215,MATCH(C552,Radicals!$A$2:$A$215,0))</f>
        <v>heart, mind</v>
      </c>
      <c r="F552" s="8" t="n">
        <f aca="false">INDEX(Radicals!$D$2:$D$215,MATCH(C552,Radicals!$A$2:$A$215,0))</f>
        <v>4</v>
      </c>
      <c r="G552" s="8" t="n">
        <v>16</v>
      </c>
    </row>
    <row r="553" customFormat="false" ht="17.35" hidden="false" customHeight="false" outlineLevel="0" collapsed="false">
      <c r="A553" s="8" t="n">
        <v>552</v>
      </c>
      <c r="B553" s="9" t="s">
        <v>1605</v>
      </c>
      <c r="C553" s="8" t="n">
        <v>37</v>
      </c>
      <c r="D553" s="9" t="str">
        <f aca="false">INDEX(Radicals!$B$2:$B$215,MATCH(C553,Radicals!$A$2:$A$215,0))</f>
        <v>大</v>
      </c>
      <c r="E553" s="10" t="str">
        <f aca="false">INDEX(Radicals!$G$2:$G$215,MATCH(C553,Radicals!$A$2:$A$215,0))</f>
        <v>big</v>
      </c>
      <c r="F553" s="8" t="n">
        <f aca="false">INDEX(Radicals!$D$2:$D$215,MATCH(C553,Radicals!$A$2:$A$215,0))</f>
        <v>3</v>
      </c>
      <c r="G553" s="8" t="n">
        <v>4</v>
      </c>
    </row>
    <row r="554" customFormat="false" ht="17.35" hidden="false" customHeight="false" outlineLevel="0" collapsed="false">
      <c r="A554" s="8" t="n">
        <v>553</v>
      </c>
      <c r="B554" s="9" t="s">
        <v>1606</v>
      </c>
      <c r="C554" s="8" t="n">
        <v>75</v>
      </c>
      <c r="D554" s="9" t="str">
        <f aca="false">INDEX(Radicals!$B$2:$B$215,MATCH(C554,Radicals!$A$2:$A$215,0))</f>
        <v>木</v>
      </c>
      <c r="E554" s="10" t="str">
        <f aca="false">INDEX(Radicals!$G$2:$G$215,MATCH(C554,Radicals!$A$2:$A$215,0))</f>
        <v>tree, wood</v>
      </c>
      <c r="F554" s="8" t="n">
        <f aca="false">INDEX(Radicals!$D$2:$D$215,MATCH(C554,Radicals!$A$2:$A$215,0))</f>
        <v>4</v>
      </c>
      <c r="G554" s="8" t="n">
        <v>16</v>
      </c>
    </row>
    <row r="555" customFormat="false" ht="17.35" hidden="false" customHeight="false" outlineLevel="0" collapsed="false">
      <c r="A555" s="8" t="n">
        <v>554</v>
      </c>
      <c r="B555" s="9" t="s">
        <v>1607</v>
      </c>
      <c r="C555" s="8" t="n">
        <v>77</v>
      </c>
      <c r="D555" s="9" t="str">
        <f aca="false">INDEX(Radicals!$B$2:$B$215,MATCH(C555,Radicals!$A$2:$A$215,0))</f>
        <v>止</v>
      </c>
      <c r="E555" s="10" t="str">
        <f aca="false">INDEX(Radicals!$G$2:$G$215,MATCH(C555,Radicals!$A$2:$A$215,0))</f>
        <v>stop</v>
      </c>
      <c r="F555" s="8" t="n">
        <f aca="false">INDEX(Radicals!$D$2:$D$215,MATCH(C555,Radicals!$A$2:$A$215,0))</f>
        <v>4</v>
      </c>
      <c r="G555" s="8" t="n">
        <v>8</v>
      </c>
    </row>
    <row r="556" customFormat="false" ht="17.35" hidden="false" customHeight="false" outlineLevel="0" collapsed="false">
      <c r="A556" s="8" t="n">
        <v>555</v>
      </c>
      <c r="B556" s="9" t="s">
        <v>1608</v>
      </c>
      <c r="C556" s="8" t="n">
        <v>172</v>
      </c>
      <c r="D556" s="9" t="str">
        <f aca="false">INDEX(Radicals!$B$2:$B$215,MATCH(C556,Radicals!$A$2:$A$215,0))</f>
        <v>隹</v>
      </c>
      <c r="E556" s="10" t="str">
        <f aca="false">INDEX(Radicals!$G$2:$G$215,MATCH(C556,Radicals!$A$2:$A$215,0))</f>
        <v>short-tailed bird</v>
      </c>
      <c r="F556" s="8" t="n">
        <f aca="false">INDEX(Radicals!$D$2:$D$215,MATCH(C556,Radicals!$A$2:$A$215,0))</f>
        <v>8</v>
      </c>
      <c r="G556" s="8" t="n">
        <v>19</v>
      </c>
    </row>
    <row r="557" customFormat="false" ht="17.35" hidden="false" customHeight="false" outlineLevel="0" collapsed="false">
      <c r="A557" s="8" t="n">
        <v>556</v>
      </c>
      <c r="B557" s="9" t="s">
        <v>1609</v>
      </c>
      <c r="C557" s="8" t="n">
        <v>46</v>
      </c>
      <c r="D557" s="9" t="str">
        <f aca="false">INDEX(Radicals!$B$2:$B$215,MATCH(C557,Radicals!$A$2:$A$215,0))</f>
        <v>山</v>
      </c>
      <c r="E557" s="10" t="str">
        <f aca="false">INDEX(Radicals!$G$2:$G$215,MATCH(C557,Radicals!$A$2:$A$215,0))</f>
        <v>mountain</v>
      </c>
      <c r="F557" s="8" t="n">
        <f aca="false">INDEX(Radicals!$D$2:$D$215,MATCH(C557,Radicals!$A$2:$A$215,0))</f>
        <v>3</v>
      </c>
      <c r="G557" s="8" t="n">
        <v>8</v>
      </c>
    </row>
    <row r="558" customFormat="false" ht="17.35" hidden="false" customHeight="false" outlineLevel="0" collapsed="false">
      <c r="A558" s="8" t="n">
        <v>557</v>
      </c>
      <c r="B558" s="9" t="s">
        <v>1610</v>
      </c>
      <c r="C558" s="8" t="n">
        <v>40</v>
      </c>
      <c r="D558" s="9" t="str">
        <f aca="false">INDEX(Radicals!$B$2:$B$215,MATCH(C558,Radicals!$A$2:$A$215,0))</f>
        <v>宀</v>
      </c>
      <c r="E558" s="10" t="str">
        <f aca="false">INDEX(Radicals!$G$2:$G$215,MATCH(C558,Radicals!$A$2:$A$215,0))</f>
        <v>roof</v>
      </c>
      <c r="F558" s="8" t="n">
        <f aca="false">INDEX(Radicals!$D$2:$D$215,MATCH(C558,Radicals!$A$2:$A$215,0))</f>
        <v>3</v>
      </c>
      <c r="G558" s="8" t="n">
        <v>9</v>
      </c>
    </row>
    <row r="559" customFormat="false" ht="17.35" hidden="false" customHeight="false" outlineLevel="0" collapsed="false">
      <c r="A559" s="8" t="n">
        <v>558</v>
      </c>
      <c r="B559" s="9" t="s">
        <v>953</v>
      </c>
      <c r="C559" s="8" t="n">
        <v>182</v>
      </c>
      <c r="D559" s="9" t="str">
        <f aca="false">INDEX(Radicals!$B$2:$B$215,MATCH(C559,Radicals!$A$2:$A$215,0))</f>
        <v>風</v>
      </c>
      <c r="E559" s="10" t="str">
        <f aca="false">INDEX(Radicals!$G$2:$G$215,MATCH(C559,Radicals!$A$2:$A$215,0))</f>
        <v>wind</v>
      </c>
      <c r="F559" s="8" t="n">
        <f aca="false">INDEX(Radicals!$D$2:$D$215,MATCH(C559,Radicals!$A$2:$A$215,0))</f>
        <v>9</v>
      </c>
      <c r="G559" s="8" t="n">
        <v>9</v>
      </c>
    </row>
    <row r="560" customFormat="false" ht="17.35" hidden="false" customHeight="false" outlineLevel="0" collapsed="false">
      <c r="A560" s="8" t="n">
        <v>559</v>
      </c>
      <c r="B560" s="9" t="s">
        <v>1611</v>
      </c>
      <c r="C560" s="8" t="n">
        <v>120</v>
      </c>
      <c r="D560" s="9" t="str">
        <f aca="false">INDEX(Radicals!$B$2:$B$215,MATCH(C560,Radicals!$A$2:$A$215,0))</f>
        <v>糸</v>
      </c>
      <c r="E560" s="10" t="str">
        <f aca="false">INDEX(Radicals!$G$2:$G$215,MATCH(C560,Radicals!$A$2:$A$215,0))</f>
        <v>thread, silk</v>
      </c>
      <c r="F560" s="8" t="n">
        <f aca="false">INDEX(Radicals!$D$2:$D$215,MATCH(C560,Radicals!$A$2:$A$215,0))</f>
        <v>6</v>
      </c>
      <c r="G560" s="8" t="n">
        <v>10</v>
      </c>
    </row>
    <row r="561" customFormat="false" ht="17.35" hidden="false" customHeight="false" outlineLevel="0" collapsed="false">
      <c r="A561" s="8" t="n">
        <v>560</v>
      </c>
      <c r="B561" s="9" t="s">
        <v>1612</v>
      </c>
      <c r="C561" s="8" t="n">
        <v>85</v>
      </c>
      <c r="D561" s="9" t="str">
        <f aca="false">INDEX(Radicals!$B$2:$B$215,MATCH(C561,Radicals!$A$2:$A$215,0))</f>
        <v>水</v>
      </c>
      <c r="E561" s="10" t="str">
        <f aca="false">INDEX(Radicals!$G$2:$G$215,MATCH(C561,Radicals!$A$2:$A$215,0))</f>
        <v>water</v>
      </c>
      <c r="F561" s="8" t="n">
        <f aca="false">INDEX(Radicals!$D$2:$D$215,MATCH(C561,Radicals!$A$2:$A$215,0))</f>
        <v>4</v>
      </c>
      <c r="G561" s="8" t="n">
        <v>16</v>
      </c>
    </row>
    <row r="562" customFormat="false" ht="17.35" hidden="false" customHeight="false" outlineLevel="0" collapsed="false">
      <c r="A562" s="8" t="n">
        <v>561</v>
      </c>
      <c r="B562" s="9" t="s">
        <v>1613</v>
      </c>
      <c r="C562" s="8" t="n">
        <v>30</v>
      </c>
      <c r="D562" s="9" t="str">
        <f aca="false">INDEX(Radicals!$B$2:$B$215,MATCH(C562,Radicals!$A$2:$A$215,0))</f>
        <v>口</v>
      </c>
      <c r="E562" s="10" t="str">
        <f aca="false">INDEX(Radicals!$G$2:$G$215,MATCH(C562,Radicals!$A$2:$A$215,0))</f>
        <v>mouth</v>
      </c>
      <c r="F562" s="8" t="n">
        <f aca="false">INDEX(Radicals!$D$2:$D$215,MATCH(C562,Radicals!$A$2:$A$215,0))</f>
        <v>3</v>
      </c>
      <c r="G562" s="8" t="n">
        <v>7</v>
      </c>
    </row>
    <row r="563" customFormat="false" ht="17.35" hidden="false" customHeight="false" outlineLevel="0" collapsed="false">
      <c r="A563" s="8" t="n">
        <v>562</v>
      </c>
      <c r="B563" s="9" t="s">
        <v>1614</v>
      </c>
      <c r="C563" s="8" t="n">
        <v>30</v>
      </c>
      <c r="D563" s="9" t="str">
        <f aca="false">INDEX(Radicals!$B$2:$B$215,MATCH(C563,Radicals!$A$2:$A$215,0))</f>
        <v>口</v>
      </c>
      <c r="E563" s="10" t="str">
        <f aca="false">INDEX(Radicals!$G$2:$G$215,MATCH(C563,Radicals!$A$2:$A$215,0))</f>
        <v>mouth</v>
      </c>
      <c r="F563" s="8" t="n">
        <f aca="false">INDEX(Radicals!$D$2:$D$215,MATCH(C563,Radicals!$A$2:$A$215,0))</f>
        <v>3</v>
      </c>
      <c r="G563" s="8" t="n">
        <v>8</v>
      </c>
    </row>
    <row r="564" customFormat="false" ht="17.35" hidden="false" customHeight="false" outlineLevel="0" collapsed="false">
      <c r="A564" s="8" t="n">
        <v>563</v>
      </c>
      <c r="B564" s="9" t="s">
        <v>1615</v>
      </c>
      <c r="C564" s="8" t="n">
        <v>50</v>
      </c>
      <c r="D564" s="9" t="str">
        <f aca="false">INDEX(Radicals!$B$2:$B$215,MATCH(C564,Radicals!$A$2:$A$215,0))</f>
        <v>巾</v>
      </c>
      <c r="E564" s="10" t="str">
        <f aca="false">INDEX(Radicals!$G$2:$G$215,MATCH(C564,Radicals!$A$2:$A$215,0))</f>
        <v>turban, cloth</v>
      </c>
      <c r="F564" s="8" t="n">
        <f aca="false">INDEX(Radicals!$D$2:$D$215,MATCH(C564,Radicals!$A$2:$A$215,0))</f>
        <v>3</v>
      </c>
      <c r="G564" s="8" t="n">
        <v>10</v>
      </c>
    </row>
    <row r="565" customFormat="false" ht="17.35" hidden="false" customHeight="false" outlineLevel="0" collapsed="false">
      <c r="A565" s="8" t="n">
        <v>564</v>
      </c>
      <c r="B565" s="9" t="s">
        <v>1616</v>
      </c>
      <c r="C565" s="8" t="n">
        <v>64</v>
      </c>
      <c r="D565" s="9" t="str">
        <f aca="false">INDEX(Radicals!$B$2:$B$215,MATCH(C565,Radicals!$A$2:$A$215,0))</f>
        <v>手</v>
      </c>
      <c r="E565" s="10" t="str">
        <f aca="false">INDEX(Radicals!$G$2:$G$215,MATCH(C565,Radicals!$A$2:$A$215,0))</f>
        <v>hand</v>
      </c>
      <c r="F565" s="8" t="n">
        <f aca="false">INDEX(Radicals!$D$2:$D$215,MATCH(C565,Radicals!$A$2:$A$215,0))</f>
        <v>4</v>
      </c>
      <c r="G565" s="8" t="n">
        <v>14</v>
      </c>
    </row>
    <row r="566" customFormat="false" ht="17.35" hidden="false" customHeight="false" outlineLevel="0" collapsed="false">
      <c r="A566" s="8" t="n">
        <v>565</v>
      </c>
      <c r="B566" s="9" t="s">
        <v>1617</v>
      </c>
      <c r="C566" s="8" t="n">
        <v>75</v>
      </c>
      <c r="D566" s="9" t="str">
        <f aca="false">INDEX(Radicals!$B$2:$B$215,MATCH(C566,Radicals!$A$2:$A$215,0))</f>
        <v>木</v>
      </c>
      <c r="E566" s="10" t="str">
        <f aca="false">INDEX(Radicals!$G$2:$G$215,MATCH(C566,Radicals!$A$2:$A$215,0))</f>
        <v>tree, wood</v>
      </c>
      <c r="F566" s="8" t="n">
        <f aca="false">INDEX(Radicals!$D$2:$D$215,MATCH(C566,Radicals!$A$2:$A$215,0))</f>
        <v>4</v>
      </c>
      <c r="G566" s="8" t="n">
        <v>7</v>
      </c>
    </row>
    <row r="567" customFormat="false" ht="17.35" hidden="false" customHeight="false" outlineLevel="0" collapsed="false">
      <c r="A567" s="8" t="n">
        <v>566</v>
      </c>
      <c r="B567" s="9" t="s">
        <v>1618</v>
      </c>
      <c r="C567" s="8" t="n">
        <v>105</v>
      </c>
      <c r="D567" s="9" t="str">
        <f aca="false">INDEX(Radicals!$B$2:$B$215,MATCH(C567,Radicals!$A$2:$A$215,0))</f>
        <v>癶</v>
      </c>
      <c r="E567" s="10" t="str">
        <f aca="false">INDEX(Radicals!$G$2:$G$215,MATCH(C567,Radicals!$A$2:$A$215,0))</f>
        <v>footsteps, legs spread</v>
      </c>
      <c r="F567" s="8" t="n">
        <f aca="false">INDEX(Radicals!$D$2:$D$215,MATCH(C567,Radicals!$A$2:$A$215,0))</f>
        <v>5</v>
      </c>
      <c r="G567" s="8" t="n">
        <v>12</v>
      </c>
    </row>
    <row r="568" customFormat="false" ht="17.35" hidden="false" customHeight="false" outlineLevel="0" collapsed="false">
      <c r="A568" s="8" t="n">
        <v>567</v>
      </c>
      <c r="B568" s="9" t="s">
        <v>1619</v>
      </c>
      <c r="C568" s="8" t="n">
        <v>120</v>
      </c>
      <c r="D568" s="9" t="str">
        <f aca="false">INDEX(Radicals!$B$2:$B$215,MATCH(C568,Radicals!$A$2:$A$215,0))</f>
        <v>糸</v>
      </c>
      <c r="E568" s="10" t="str">
        <f aca="false">INDEX(Radicals!$G$2:$G$215,MATCH(C568,Radicals!$A$2:$A$215,0))</f>
        <v>thread, silk</v>
      </c>
      <c r="F568" s="8" t="n">
        <f aca="false">INDEX(Radicals!$D$2:$D$215,MATCH(C568,Radicals!$A$2:$A$215,0))</f>
        <v>6</v>
      </c>
      <c r="G568" s="8" t="n">
        <v>7</v>
      </c>
    </row>
    <row r="569" customFormat="false" ht="17.35" hidden="false" customHeight="false" outlineLevel="0" collapsed="false">
      <c r="A569" s="8" t="n">
        <v>568</v>
      </c>
      <c r="B569" s="9" t="s">
        <v>1620</v>
      </c>
      <c r="C569" s="8" t="n">
        <v>64</v>
      </c>
      <c r="D569" s="9" t="str">
        <f aca="false">INDEX(Radicals!$B$2:$B$215,MATCH(C569,Radicals!$A$2:$A$215,0))</f>
        <v>手</v>
      </c>
      <c r="E569" s="10" t="str">
        <f aca="false">INDEX(Radicals!$G$2:$G$215,MATCH(C569,Radicals!$A$2:$A$215,0))</f>
        <v>hand</v>
      </c>
      <c r="F569" s="8" t="n">
        <f aca="false">INDEX(Radicals!$D$2:$D$215,MATCH(C569,Radicals!$A$2:$A$215,0))</f>
        <v>4</v>
      </c>
      <c r="G569" s="8" t="n">
        <v>7</v>
      </c>
    </row>
    <row r="570" customFormat="false" ht="17.35" hidden="false" customHeight="false" outlineLevel="0" collapsed="false">
      <c r="A570" s="8" t="n">
        <v>569</v>
      </c>
      <c r="B570" s="9" t="s">
        <v>1621</v>
      </c>
      <c r="C570" s="8" t="n">
        <v>163</v>
      </c>
      <c r="D570" s="9" t="str">
        <f aca="false">INDEX(Radicals!$B$2:$B$215,MATCH(C570,Radicals!$A$2:$A$215,0))</f>
        <v>邑</v>
      </c>
      <c r="E570" s="10" t="str">
        <f aca="false">INDEX(Radicals!$G$2:$G$215,MATCH(C570,Radicals!$A$2:$A$215,0))</f>
        <v>city, village</v>
      </c>
      <c r="F570" s="8" t="n">
        <f aca="false">INDEX(Radicals!$D$2:$D$215,MATCH(C570,Radicals!$A$2:$A$215,0))</f>
        <v>7</v>
      </c>
      <c r="G570" s="8" t="n">
        <v>9</v>
      </c>
    </row>
    <row r="571" customFormat="false" ht="17.35" hidden="false" customHeight="false" outlineLevel="0" collapsed="false">
      <c r="A571" s="8" t="n">
        <v>570</v>
      </c>
      <c r="B571" s="9" t="s">
        <v>1622</v>
      </c>
      <c r="C571" s="8" t="n">
        <v>80</v>
      </c>
      <c r="D571" s="9" t="str">
        <f aca="false">INDEX(Radicals!$B$2:$B$215,MATCH(C571,Radicals!$A$2:$A$215,0))</f>
        <v>毋</v>
      </c>
      <c r="E571" s="10" t="str">
        <f aca="false">INDEX(Radicals!$G$2:$G$215,MATCH(C571,Radicals!$A$2:$A$215,0))</f>
        <v>do not, mother</v>
      </c>
      <c r="F571" s="8" t="n">
        <f aca="false">INDEX(Radicals!$D$2:$D$215,MATCH(C571,Radicals!$A$2:$A$215,0))</f>
        <v>4</v>
      </c>
      <c r="G571" s="8" t="n">
        <v>5</v>
      </c>
    </row>
    <row r="572" customFormat="false" ht="17.35" hidden="false" customHeight="false" outlineLevel="0" collapsed="false">
      <c r="A572" s="8" t="n">
        <v>571</v>
      </c>
      <c r="B572" s="9" t="s">
        <v>1623</v>
      </c>
      <c r="C572" s="8" t="n">
        <v>72</v>
      </c>
      <c r="D572" s="9" t="str">
        <f aca="false">INDEX(Radicals!$B$2:$B$215,MATCH(C572,Radicals!$A$2:$A$215,0))</f>
        <v>日</v>
      </c>
      <c r="E572" s="10" t="str">
        <f aca="false">INDEX(Radicals!$G$2:$G$215,MATCH(C572,Radicals!$A$2:$A$215,0))</f>
        <v>sun, day</v>
      </c>
      <c r="F572" s="8" t="n">
        <f aca="false">INDEX(Radicals!$D$2:$D$215,MATCH(C572,Radicals!$A$2:$A$215,0))</f>
        <v>4</v>
      </c>
      <c r="G572" s="8" t="n">
        <v>8</v>
      </c>
    </row>
    <row r="573" customFormat="false" ht="17.35" hidden="false" customHeight="false" outlineLevel="0" collapsed="false">
      <c r="A573" s="8" t="n">
        <v>572</v>
      </c>
      <c r="B573" s="9" t="s">
        <v>1624</v>
      </c>
      <c r="C573" s="8" t="n">
        <v>9</v>
      </c>
      <c r="D573" s="9" t="str">
        <f aca="false">INDEX(Radicals!$B$2:$B$215,MATCH(C573,Radicals!$A$2:$A$215,0))</f>
        <v>人</v>
      </c>
      <c r="E573" s="10" t="str">
        <f aca="false">INDEX(Radicals!$G$2:$G$215,MATCH(C573,Radicals!$A$2:$A$215,0))</f>
        <v>person</v>
      </c>
      <c r="F573" s="8" t="n">
        <f aca="false">INDEX(Radicals!$D$2:$D$215,MATCH(C573,Radicals!$A$2:$A$215,0))</f>
        <v>2</v>
      </c>
      <c r="G573" s="8" t="n">
        <v>11</v>
      </c>
    </row>
    <row r="574" customFormat="false" ht="17.35" hidden="false" customHeight="false" outlineLevel="0" collapsed="false">
      <c r="A574" s="8" t="n">
        <v>573</v>
      </c>
      <c r="B574" s="9" t="s">
        <v>1053</v>
      </c>
      <c r="C574" s="8" t="n">
        <v>203</v>
      </c>
      <c r="D574" s="9" t="str">
        <f aca="false">INDEX(Radicals!$B$2:$B$215,MATCH(C574,Radicals!$A$2:$A$215,0))</f>
        <v>黑</v>
      </c>
      <c r="E574" s="10" t="str">
        <f aca="false">INDEX(Radicals!$G$2:$G$215,MATCH(C574,Radicals!$A$2:$A$215,0))</f>
        <v>black</v>
      </c>
      <c r="F574" s="8" t="n">
        <f aca="false">INDEX(Radicals!$D$2:$D$215,MATCH(C574,Radicals!$A$2:$A$215,0))</f>
        <v>12</v>
      </c>
      <c r="G574" s="8" t="n">
        <v>11</v>
      </c>
    </row>
    <row r="575" customFormat="false" ht="17.35" hidden="false" customHeight="false" outlineLevel="0" collapsed="false">
      <c r="A575" s="8" t="n">
        <v>574</v>
      </c>
      <c r="B575" s="9" t="s">
        <v>461</v>
      </c>
      <c r="C575" s="8" t="n">
        <v>86</v>
      </c>
      <c r="D575" s="9" t="str">
        <f aca="false">INDEX(Radicals!$B$2:$B$215,MATCH(C575,Radicals!$A$2:$A$215,0))</f>
        <v>火</v>
      </c>
      <c r="E575" s="10" t="str">
        <f aca="false">INDEX(Radicals!$G$2:$G$215,MATCH(C575,Radicals!$A$2:$A$215,0))</f>
        <v>fire</v>
      </c>
      <c r="F575" s="8" t="n">
        <f aca="false">INDEX(Radicals!$D$2:$D$215,MATCH(C575,Radicals!$A$2:$A$215,0))</f>
        <v>4</v>
      </c>
      <c r="G575" s="8" t="n">
        <v>4</v>
      </c>
    </row>
    <row r="576" customFormat="false" ht="17.35" hidden="false" customHeight="false" outlineLevel="0" collapsed="false">
      <c r="A576" s="8" t="n">
        <v>575</v>
      </c>
      <c r="B576" s="9" t="s">
        <v>1625</v>
      </c>
      <c r="C576" s="8" t="n">
        <v>63</v>
      </c>
      <c r="D576" s="9" t="str">
        <f aca="false">INDEX(Radicals!$B$2:$B$215,MATCH(C576,Radicals!$A$2:$A$215,0))</f>
        <v>戶</v>
      </c>
      <c r="E576" s="10" t="str">
        <f aca="false">INDEX(Radicals!$G$2:$G$215,MATCH(C576,Radicals!$A$2:$A$215,0))</f>
        <v>door</v>
      </c>
      <c r="F576" s="8" t="n">
        <f aca="false">INDEX(Radicals!$D$2:$D$215,MATCH(C576,Radicals!$A$2:$A$215,0))</f>
        <v>4</v>
      </c>
      <c r="G576" s="8" t="n">
        <v>4</v>
      </c>
    </row>
    <row r="577" customFormat="false" ht="17.35" hidden="false" customHeight="false" outlineLevel="0" collapsed="false">
      <c r="A577" s="8" t="n">
        <v>576</v>
      </c>
      <c r="B577" s="9" t="s">
        <v>1626</v>
      </c>
      <c r="C577" s="8" t="n">
        <v>162</v>
      </c>
      <c r="D577" s="9" t="str">
        <f aca="false">INDEX(Radicals!$B$2:$B$215,MATCH(C577,Radicals!$A$2:$A$215,0))</f>
        <v>辵</v>
      </c>
      <c r="E577" s="10" t="str">
        <f aca="false">INDEX(Radicals!$G$2:$G$215,MATCH(C577,Radicals!$A$2:$A$215,0))</f>
        <v>walk, movement</v>
      </c>
      <c r="F577" s="8" t="n">
        <f aca="false">INDEX(Radicals!$D$2:$D$215,MATCH(C577,Radicals!$A$2:$A$215,0))</f>
        <v>7</v>
      </c>
      <c r="G577" s="8" t="n">
        <v>10</v>
      </c>
    </row>
    <row r="578" customFormat="false" ht="17.35" hidden="false" customHeight="false" outlineLevel="0" collapsed="false">
      <c r="A578" s="8" t="n">
        <v>577</v>
      </c>
      <c r="B578" s="9" t="s">
        <v>1627</v>
      </c>
      <c r="C578" s="8" t="n">
        <v>39</v>
      </c>
      <c r="D578" s="9" t="str">
        <f aca="false">INDEX(Radicals!$B$2:$B$215,MATCH(C578,Radicals!$A$2:$A$215,0))</f>
        <v>子</v>
      </c>
      <c r="E578" s="10" t="str">
        <f aca="false">INDEX(Radicals!$G$2:$G$215,MATCH(C578,Radicals!$A$2:$A$215,0))</f>
        <v>child</v>
      </c>
      <c r="F578" s="8" t="n">
        <f aca="false">INDEX(Radicals!$D$2:$D$215,MATCH(C578,Radicals!$A$2:$A$215,0))</f>
        <v>3</v>
      </c>
      <c r="G578" s="8" t="n">
        <v>6</v>
      </c>
    </row>
    <row r="579" customFormat="false" ht="17.35" hidden="false" customHeight="false" outlineLevel="0" collapsed="false">
      <c r="A579" s="8" t="n">
        <v>578</v>
      </c>
      <c r="B579" s="9" t="s">
        <v>1628</v>
      </c>
      <c r="C579" s="8" t="n">
        <v>140</v>
      </c>
      <c r="D579" s="9" t="str">
        <f aca="false">INDEX(Radicals!$B$2:$B$215,MATCH(C579,Radicals!$A$2:$A$215,0))</f>
        <v>艸</v>
      </c>
      <c r="E579" s="10" t="str">
        <f aca="false">INDEX(Radicals!$G$2:$G$215,MATCH(C579,Radicals!$A$2:$A$215,0))</f>
        <v>grass, plant</v>
      </c>
      <c r="F579" s="8" t="n">
        <f aca="false">INDEX(Radicals!$D$2:$D$215,MATCH(C579,Radicals!$A$2:$A$215,0))</f>
        <v>6</v>
      </c>
      <c r="G579" s="8" t="n">
        <v>7</v>
      </c>
    </row>
    <row r="580" customFormat="false" ht="17.35" hidden="false" customHeight="false" outlineLevel="0" collapsed="false">
      <c r="A580" s="8" t="n">
        <v>579</v>
      </c>
      <c r="B580" s="9" t="s">
        <v>1629</v>
      </c>
      <c r="C580" s="8" t="n">
        <v>72</v>
      </c>
      <c r="D580" s="9" t="str">
        <f aca="false">INDEX(Radicals!$B$2:$B$215,MATCH(C580,Radicals!$A$2:$A$215,0))</f>
        <v>日</v>
      </c>
      <c r="E580" s="10" t="str">
        <f aca="false">INDEX(Radicals!$G$2:$G$215,MATCH(C580,Radicals!$A$2:$A$215,0))</f>
        <v>sun, day</v>
      </c>
      <c r="F580" s="8" t="n">
        <f aca="false">INDEX(Radicals!$D$2:$D$215,MATCH(C580,Radicals!$A$2:$A$215,0))</f>
        <v>4</v>
      </c>
      <c r="G580" s="8" t="n">
        <v>9</v>
      </c>
    </row>
    <row r="581" customFormat="false" ht="17.35" hidden="false" customHeight="false" outlineLevel="0" collapsed="false">
      <c r="A581" s="8" t="n">
        <v>580</v>
      </c>
      <c r="B581" s="9" t="s">
        <v>957</v>
      </c>
      <c r="C581" s="8" t="n">
        <v>183</v>
      </c>
      <c r="D581" s="9" t="str">
        <f aca="false">INDEX(Radicals!$B$2:$B$215,MATCH(C581,Radicals!$A$2:$A$215,0))</f>
        <v>飛</v>
      </c>
      <c r="E581" s="10" t="str">
        <f aca="false">INDEX(Radicals!$G$2:$G$215,MATCH(C581,Radicals!$A$2:$A$215,0))</f>
        <v>fly</v>
      </c>
      <c r="F581" s="8" t="n">
        <f aca="false">INDEX(Radicals!$D$2:$D$215,MATCH(C581,Radicals!$A$2:$A$215,0))</f>
        <v>9</v>
      </c>
      <c r="G581" s="8" t="n">
        <v>9</v>
      </c>
    </row>
    <row r="582" customFormat="false" ht="17.35" hidden="false" customHeight="false" outlineLevel="0" collapsed="false">
      <c r="A582" s="8" t="n">
        <v>581</v>
      </c>
      <c r="B582" s="9" t="s">
        <v>1630</v>
      </c>
      <c r="C582" s="8" t="n">
        <v>79</v>
      </c>
      <c r="D582" s="9" t="str">
        <f aca="false">INDEX(Radicals!$B$2:$B$215,MATCH(C582,Radicals!$A$2:$A$215,0))</f>
        <v>殳</v>
      </c>
      <c r="E582" s="10" t="str">
        <f aca="false">INDEX(Radicals!$G$2:$G$215,MATCH(C582,Radicals!$A$2:$A$215,0))</f>
        <v>weapon, to strike</v>
      </c>
      <c r="F582" s="8" t="n">
        <f aca="false">INDEX(Radicals!$D$2:$D$215,MATCH(C582,Radicals!$A$2:$A$215,0))</f>
        <v>4</v>
      </c>
      <c r="G582" s="8" t="n">
        <v>10</v>
      </c>
    </row>
    <row r="583" customFormat="false" ht="17.35" hidden="false" customHeight="false" outlineLevel="0" collapsed="false">
      <c r="A583" s="8" t="n">
        <v>582</v>
      </c>
      <c r="B583" s="9" t="s">
        <v>1631</v>
      </c>
      <c r="C583" s="8" t="n">
        <v>37</v>
      </c>
      <c r="D583" s="9" t="str">
        <f aca="false">INDEX(Radicals!$B$2:$B$215,MATCH(C583,Radicals!$A$2:$A$215,0))</f>
        <v>大</v>
      </c>
      <c r="E583" s="10" t="str">
        <f aca="false">INDEX(Radicals!$G$2:$G$215,MATCH(C583,Radicals!$A$2:$A$215,0))</f>
        <v>big</v>
      </c>
      <c r="F583" s="8" t="n">
        <f aca="false">INDEX(Radicals!$D$2:$D$215,MATCH(C583,Radicals!$A$2:$A$215,0))</f>
        <v>3</v>
      </c>
      <c r="G583" s="8" t="n">
        <v>5</v>
      </c>
    </row>
    <row r="584" customFormat="false" ht="17.35" hidden="false" customHeight="false" outlineLevel="0" collapsed="false">
      <c r="A584" s="8" t="n">
        <v>583</v>
      </c>
      <c r="B584" s="9" t="s">
        <v>1632</v>
      </c>
      <c r="C584" s="8" t="n">
        <v>18</v>
      </c>
      <c r="D584" s="9" t="str">
        <f aca="false">INDEX(Radicals!$B$2:$B$215,MATCH(C584,Radicals!$A$2:$A$215,0))</f>
        <v>刀</v>
      </c>
      <c r="E584" s="10" t="str">
        <f aca="false">INDEX(Radicals!$G$2:$G$215,MATCH(C584,Radicals!$A$2:$A$215,0))</f>
        <v>knife, sword</v>
      </c>
      <c r="F584" s="8" t="n">
        <f aca="false">INDEX(Radicals!$D$2:$D$215,MATCH(C584,Radicals!$A$2:$A$215,0))</f>
        <v>2</v>
      </c>
      <c r="G584" s="8" t="n">
        <v>8</v>
      </c>
    </row>
    <row r="585" customFormat="false" ht="17.35" hidden="false" customHeight="false" outlineLevel="0" collapsed="false">
      <c r="A585" s="8" t="n">
        <v>584</v>
      </c>
      <c r="B585" s="9" t="s">
        <v>815</v>
      </c>
      <c r="C585" s="8" t="n">
        <v>155</v>
      </c>
      <c r="D585" s="9" t="str">
        <f aca="false">INDEX(Radicals!$B$2:$B$215,MATCH(C585,Radicals!$A$2:$A$215,0))</f>
        <v>赤</v>
      </c>
      <c r="E585" s="10" t="str">
        <f aca="false">INDEX(Radicals!$G$2:$G$215,MATCH(C585,Radicals!$A$2:$A$215,0))</f>
        <v>red</v>
      </c>
      <c r="F585" s="8" t="n">
        <f aca="false">INDEX(Radicals!$D$2:$D$215,MATCH(C585,Radicals!$A$2:$A$215,0))</f>
        <v>7</v>
      </c>
      <c r="G585" s="8" t="n">
        <v>7</v>
      </c>
    </row>
    <row r="586" customFormat="false" ht="17.35" hidden="false" customHeight="false" outlineLevel="0" collapsed="false">
      <c r="A586" s="8" t="n">
        <v>585</v>
      </c>
      <c r="B586" s="9" t="s">
        <v>1633</v>
      </c>
      <c r="C586" s="8" t="n">
        <v>30</v>
      </c>
      <c r="D586" s="9" t="str">
        <f aca="false">INDEX(Radicals!$B$2:$B$215,MATCH(C586,Radicals!$A$2:$A$215,0))</f>
        <v>口</v>
      </c>
      <c r="E586" s="10" t="str">
        <f aca="false">INDEX(Radicals!$G$2:$G$215,MATCH(C586,Radicals!$A$2:$A$215,0))</f>
        <v>mouth</v>
      </c>
      <c r="F586" s="8" t="n">
        <f aca="false">INDEX(Radicals!$D$2:$D$215,MATCH(C586,Radicals!$A$2:$A$215,0))</f>
        <v>3</v>
      </c>
      <c r="G586" s="8" t="n">
        <v>5</v>
      </c>
    </row>
    <row r="587" customFormat="false" ht="17.35" hidden="false" customHeight="false" outlineLevel="0" collapsed="false">
      <c r="A587" s="8" t="n">
        <v>586</v>
      </c>
      <c r="B587" s="9" t="s">
        <v>1634</v>
      </c>
      <c r="C587" s="8" t="n">
        <v>24</v>
      </c>
      <c r="D587" s="9" t="str">
        <f aca="false">INDEX(Radicals!$B$2:$B$215,MATCH(C587,Radicals!$A$2:$A$215,0))</f>
        <v>十</v>
      </c>
      <c r="E587" s="10" t="str">
        <f aca="false">INDEX(Radicals!$G$2:$G$215,MATCH(C587,Radicals!$A$2:$A$215,0))</f>
        <v>ten</v>
      </c>
      <c r="F587" s="8" t="n">
        <f aca="false">INDEX(Radicals!$D$2:$D$215,MATCH(C587,Radicals!$A$2:$A$215,0))</f>
        <v>2</v>
      </c>
      <c r="G587" s="8" t="n">
        <v>9</v>
      </c>
    </row>
    <row r="588" customFormat="false" ht="17.35" hidden="false" customHeight="false" outlineLevel="0" collapsed="false">
      <c r="A588" s="8" t="n">
        <v>587</v>
      </c>
      <c r="B588" s="9" t="s">
        <v>1635</v>
      </c>
      <c r="C588" s="8" t="n">
        <v>108</v>
      </c>
      <c r="D588" s="9" t="str">
        <f aca="false">INDEX(Radicals!$B$2:$B$215,MATCH(C588,Radicals!$A$2:$A$215,0))</f>
        <v>皿</v>
      </c>
      <c r="E588" s="10" t="str">
        <f aca="false">INDEX(Radicals!$G$2:$G$215,MATCH(C588,Radicals!$A$2:$A$215,0))</f>
        <v>dish</v>
      </c>
      <c r="F588" s="8" t="n">
        <f aca="false">INDEX(Radicals!$D$2:$D$215,MATCH(C588,Radicals!$A$2:$A$215,0))</f>
        <v>5</v>
      </c>
      <c r="G588" s="8" t="n">
        <v>13</v>
      </c>
    </row>
    <row r="589" customFormat="false" ht="17.35" hidden="false" customHeight="false" outlineLevel="0" collapsed="false">
      <c r="A589" s="8" t="n">
        <v>588</v>
      </c>
      <c r="B589" s="9" t="s">
        <v>1636</v>
      </c>
      <c r="C589" s="8" t="n">
        <v>53</v>
      </c>
      <c r="D589" s="9" t="str">
        <f aca="false">INDEX(Radicals!$B$2:$B$215,MATCH(C589,Radicals!$A$2:$A$215,0))</f>
        <v>广</v>
      </c>
      <c r="E589" s="10" t="str">
        <f aca="false">INDEX(Radicals!$G$2:$G$215,MATCH(C589,Radicals!$A$2:$A$215,0))</f>
        <v>dotted cliff, building</v>
      </c>
      <c r="F589" s="8" t="n">
        <f aca="false">INDEX(Radicals!$D$2:$D$215,MATCH(C589,Radicals!$A$2:$A$215,0))</f>
        <v>3</v>
      </c>
      <c r="G589" s="8" t="n">
        <v>10</v>
      </c>
    </row>
    <row r="590" customFormat="false" ht="17.35" hidden="false" customHeight="false" outlineLevel="0" collapsed="false">
      <c r="A590" s="8" t="n">
        <v>589</v>
      </c>
      <c r="B590" s="9" t="s">
        <v>914</v>
      </c>
      <c r="C590" s="8" t="n">
        <v>174</v>
      </c>
      <c r="D590" s="9" t="str">
        <f aca="false">INDEX(Radicals!$B$2:$B$215,MATCH(C590,Radicals!$A$2:$A$215,0))</f>
        <v>青</v>
      </c>
      <c r="E590" s="10" t="str">
        <f aca="false">INDEX(Radicals!$G$2:$G$215,MATCH(C590,Radicals!$A$2:$A$215,0))</f>
        <v>blue, green</v>
      </c>
      <c r="F590" s="8" t="n">
        <f aca="false">INDEX(Radicals!$D$2:$D$215,MATCH(C590,Radicals!$A$2:$A$215,0))</f>
        <v>8</v>
      </c>
      <c r="G590" s="8" t="n">
        <v>8</v>
      </c>
    </row>
    <row r="591" customFormat="false" ht="17.35" hidden="false" customHeight="false" outlineLevel="0" collapsed="false">
      <c r="A591" s="8" t="n">
        <v>590</v>
      </c>
      <c r="B591" s="9" t="s">
        <v>1637</v>
      </c>
      <c r="C591" s="8" t="n">
        <v>112</v>
      </c>
      <c r="D591" s="9" t="str">
        <f aca="false">INDEX(Radicals!$B$2:$B$215,MATCH(C591,Radicals!$A$2:$A$215,0))</f>
        <v>石</v>
      </c>
      <c r="E591" s="10" t="str">
        <f aca="false">INDEX(Radicals!$G$2:$G$215,MATCH(C591,Radicals!$A$2:$A$215,0))</f>
        <v>stone</v>
      </c>
      <c r="F591" s="8" t="n">
        <f aca="false">INDEX(Radicals!$D$2:$D$215,MATCH(C591,Radicals!$A$2:$A$215,0))</f>
        <v>5</v>
      </c>
      <c r="G591" s="8" t="n">
        <v>10</v>
      </c>
    </row>
    <row r="592" customFormat="false" ht="17.35" hidden="false" customHeight="false" outlineLevel="0" collapsed="false">
      <c r="A592" s="8" t="n">
        <v>591</v>
      </c>
      <c r="B592" s="9" t="s">
        <v>1638</v>
      </c>
      <c r="C592" s="8" t="n">
        <v>120</v>
      </c>
      <c r="D592" s="9" t="str">
        <f aca="false">INDEX(Radicals!$B$2:$B$215,MATCH(C592,Radicals!$A$2:$A$215,0))</f>
        <v>糸</v>
      </c>
      <c r="E592" s="10" t="str">
        <f aca="false">INDEX(Radicals!$G$2:$G$215,MATCH(C592,Radicals!$A$2:$A$215,0))</f>
        <v>thread, silk</v>
      </c>
      <c r="F592" s="8" t="n">
        <f aca="false">INDEX(Radicals!$D$2:$D$215,MATCH(C592,Radicals!$A$2:$A$215,0))</f>
        <v>6</v>
      </c>
      <c r="G592" s="8" t="n">
        <v>15</v>
      </c>
    </row>
    <row r="593" customFormat="false" ht="17.35" hidden="false" customHeight="false" outlineLevel="0" collapsed="false">
      <c r="A593" s="8" t="n">
        <v>592</v>
      </c>
      <c r="B593" s="9" t="s">
        <v>1639</v>
      </c>
      <c r="C593" s="8" t="n">
        <v>64</v>
      </c>
      <c r="D593" s="9" t="str">
        <f aca="false">INDEX(Radicals!$B$2:$B$215,MATCH(C593,Radicals!$A$2:$A$215,0))</f>
        <v>手</v>
      </c>
      <c r="E593" s="10" t="str">
        <f aca="false">INDEX(Radicals!$G$2:$G$215,MATCH(C593,Radicals!$A$2:$A$215,0))</f>
        <v>hand</v>
      </c>
      <c r="F593" s="8" t="n">
        <f aca="false">INDEX(Radicals!$D$2:$D$215,MATCH(C593,Radicals!$A$2:$A$215,0))</f>
        <v>4</v>
      </c>
      <c r="G593" s="8" t="n">
        <v>10</v>
      </c>
    </row>
    <row r="594" customFormat="false" ht="17.35" hidden="false" customHeight="false" outlineLevel="0" collapsed="false">
      <c r="A594" s="8" t="n">
        <v>593</v>
      </c>
      <c r="B594" s="9" t="s">
        <v>622</v>
      </c>
      <c r="C594" s="8" t="n">
        <v>118</v>
      </c>
      <c r="D594" s="9" t="str">
        <f aca="false">INDEX(Radicals!$B$2:$B$215,MATCH(C594,Radicals!$A$2:$A$215,0))</f>
        <v>竹</v>
      </c>
      <c r="E594" s="10" t="str">
        <f aca="false">INDEX(Radicals!$G$2:$G$215,MATCH(C594,Radicals!$A$2:$A$215,0))</f>
        <v>bamboo</v>
      </c>
      <c r="F594" s="8" t="n">
        <f aca="false">INDEX(Radicals!$D$2:$D$215,MATCH(C594,Radicals!$A$2:$A$215,0))</f>
        <v>6</v>
      </c>
      <c r="G594" s="8" t="n">
        <v>6</v>
      </c>
    </row>
    <row r="595" customFormat="false" ht="17.35" hidden="false" customHeight="false" outlineLevel="0" collapsed="false">
      <c r="A595" s="8" t="n">
        <v>594</v>
      </c>
      <c r="B595" s="9" t="s">
        <v>1640</v>
      </c>
      <c r="C595" s="8" t="n">
        <v>170</v>
      </c>
      <c r="D595" s="9" t="str">
        <f aca="false">INDEX(Radicals!$B$2:$B$215,MATCH(C595,Radicals!$A$2:$A$215,0))</f>
        <v>阜</v>
      </c>
      <c r="E595" s="10" t="str">
        <f aca="false">INDEX(Radicals!$G$2:$G$215,MATCH(C595,Radicals!$A$2:$A$215,0))</f>
        <v>mound, hill</v>
      </c>
      <c r="F595" s="8" t="n">
        <f aca="false">INDEX(Radicals!$D$2:$D$215,MATCH(C595,Radicals!$A$2:$A$215,0))</f>
        <v>8</v>
      </c>
      <c r="G595" s="8" t="n">
        <v>10</v>
      </c>
    </row>
    <row r="596" customFormat="false" ht="17.35" hidden="false" customHeight="false" outlineLevel="0" collapsed="false">
      <c r="A596" s="8" t="n">
        <v>595</v>
      </c>
      <c r="B596" s="9" t="s">
        <v>1641</v>
      </c>
      <c r="C596" s="8" t="n">
        <v>40</v>
      </c>
      <c r="D596" s="9" t="str">
        <f aca="false">INDEX(Radicals!$B$2:$B$215,MATCH(C596,Radicals!$A$2:$A$215,0))</f>
        <v>宀</v>
      </c>
      <c r="E596" s="10" t="str">
        <f aca="false">INDEX(Radicals!$G$2:$G$215,MATCH(C596,Radicals!$A$2:$A$215,0))</f>
        <v>roof</v>
      </c>
      <c r="F596" s="8" t="n">
        <f aca="false">INDEX(Radicals!$D$2:$D$215,MATCH(C596,Radicals!$A$2:$A$215,0))</f>
        <v>3</v>
      </c>
      <c r="G596" s="8" t="n">
        <v>7</v>
      </c>
    </row>
    <row r="597" customFormat="false" ht="17.35" hidden="false" customHeight="false" outlineLevel="0" collapsed="false">
      <c r="A597" s="8" t="n">
        <v>596</v>
      </c>
      <c r="B597" s="9" t="s">
        <v>1642</v>
      </c>
      <c r="C597" s="8" t="n">
        <v>170</v>
      </c>
      <c r="D597" s="9" t="str">
        <f aca="false">INDEX(Radicals!$B$2:$B$215,MATCH(C597,Radicals!$A$2:$A$215,0))</f>
        <v>阜</v>
      </c>
      <c r="E597" s="10" t="str">
        <f aca="false">INDEX(Radicals!$G$2:$G$215,MATCH(C597,Radicals!$A$2:$A$215,0))</f>
        <v>mound, hill</v>
      </c>
      <c r="F597" s="8" t="n">
        <f aca="false">INDEX(Radicals!$D$2:$D$215,MATCH(C597,Radicals!$A$2:$A$215,0))</f>
        <v>8</v>
      </c>
      <c r="G597" s="8" t="n">
        <v>10</v>
      </c>
    </row>
    <row r="598" customFormat="false" ht="17.35" hidden="false" customHeight="false" outlineLevel="0" collapsed="false">
      <c r="A598" s="8" t="n">
        <v>597</v>
      </c>
      <c r="B598" s="9" t="s">
        <v>1643</v>
      </c>
      <c r="C598" s="8" t="n">
        <v>156</v>
      </c>
      <c r="D598" s="9" t="str">
        <f aca="false">INDEX(Radicals!$B$2:$B$215,MATCH(C598,Radicals!$A$2:$A$215,0))</f>
        <v>走</v>
      </c>
      <c r="E598" s="10" t="str">
        <f aca="false">INDEX(Radicals!$G$2:$G$215,MATCH(C598,Radicals!$A$2:$A$215,0))</f>
        <v>run</v>
      </c>
      <c r="F598" s="8" t="n">
        <f aca="false">INDEX(Radicals!$D$2:$D$215,MATCH(C598,Radicals!$A$2:$A$215,0))</f>
        <v>7</v>
      </c>
      <c r="G598" s="8" t="n">
        <v>12</v>
      </c>
    </row>
    <row r="599" customFormat="false" ht="17.35" hidden="false" customHeight="false" outlineLevel="0" collapsed="false">
      <c r="A599" s="8" t="n">
        <v>598</v>
      </c>
      <c r="B599" s="9" t="s">
        <v>1644</v>
      </c>
      <c r="C599" s="8" t="n">
        <v>154</v>
      </c>
      <c r="D599" s="9" t="str">
        <f aca="false">INDEX(Radicals!$B$2:$B$215,MATCH(C599,Radicals!$A$2:$A$215,0))</f>
        <v>貝</v>
      </c>
      <c r="E599" s="10" t="str">
        <f aca="false">INDEX(Radicals!$G$2:$G$215,MATCH(C599,Radicals!$A$2:$A$215,0))</f>
        <v>shell, money</v>
      </c>
      <c r="F599" s="8" t="n">
        <f aca="false">INDEX(Radicals!$D$2:$D$215,MATCH(C599,Radicals!$A$2:$A$215,0))</f>
        <v>7</v>
      </c>
      <c r="G599" s="8" t="n">
        <v>11</v>
      </c>
    </row>
    <row r="600" customFormat="false" ht="17.35" hidden="false" customHeight="false" outlineLevel="0" collapsed="false">
      <c r="A600" s="8" t="n">
        <v>599</v>
      </c>
      <c r="B600" s="9" t="s">
        <v>1645</v>
      </c>
      <c r="C600" s="8" t="n">
        <v>1</v>
      </c>
      <c r="D600" s="9" t="str">
        <f aca="false">INDEX(Radicals!$B$2:$B$215,MATCH(C600,Radicals!$A$2:$A$215,0))</f>
        <v>一</v>
      </c>
      <c r="E600" s="10" t="str">
        <f aca="false">INDEX(Radicals!$G$2:$G$215,MATCH(C600,Radicals!$A$2:$A$215,0))</f>
        <v>one</v>
      </c>
      <c r="F600" s="8" t="n">
        <f aca="false">INDEX(Radicals!$D$2:$D$215,MATCH(C600,Radicals!$A$2:$A$215,0))</f>
        <v>1</v>
      </c>
      <c r="G600" s="8" t="n">
        <v>8</v>
      </c>
    </row>
    <row r="601" customFormat="false" ht="17.35" hidden="false" customHeight="false" outlineLevel="0" collapsed="false">
      <c r="A601" s="8" t="n">
        <v>600</v>
      </c>
      <c r="B601" s="9" t="s">
        <v>1646</v>
      </c>
      <c r="C601" s="8" t="n">
        <v>104</v>
      </c>
      <c r="D601" s="9" t="str">
        <f aca="false">INDEX(Radicals!$B$2:$B$215,MATCH(C601,Radicals!$A$2:$A$215,0))</f>
        <v>疒</v>
      </c>
      <c r="E601" s="10" t="str">
        <f aca="false">INDEX(Radicals!$G$2:$G$215,MATCH(C601,Radicals!$A$2:$A$215,0))</f>
        <v>sickness</v>
      </c>
      <c r="F601" s="8" t="n">
        <f aca="false">INDEX(Radicals!$D$2:$D$215,MATCH(C601,Radicals!$A$2:$A$215,0))</f>
        <v>5</v>
      </c>
      <c r="G601" s="8" t="n">
        <v>17</v>
      </c>
    </row>
    <row r="602" customFormat="false" ht="17.35" hidden="false" customHeight="false" outlineLevel="0" collapsed="false">
      <c r="A602" s="8" t="n">
        <v>601</v>
      </c>
      <c r="B602" s="9" t="s">
        <v>1647</v>
      </c>
      <c r="C602" s="8" t="n">
        <v>60</v>
      </c>
      <c r="D602" s="9" t="str">
        <f aca="false">INDEX(Radicals!$B$2:$B$215,MATCH(C602,Radicals!$A$2:$A$215,0))</f>
        <v>彳</v>
      </c>
      <c r="E602" s="10" t="str">
        <f aca="false">INDEX(Radicals!$G$2:$G$215,MATCH(C602,Radicals!$A$2:$A$215,0))</f>
        <v>step, small step</v>
      </c>
      <c r="F602" s="8" t="n">
        <f aca="false">INDEX(Radicals!$D$2:$D$215,MATCH(C602,Radicals!$A$2:$A$215,0))</f>
        <v>3</v>
      </c>
      <c r="G602" s="8" t="n">
        <v>10</v>
      </c>
    </row>
    <row r="603" customFormat="false" ht="17.35" hidden="false" customHeight="false" outlineLevel="0" collapsed="false">
      <c r="A603" s="8" t="n">
        <v>602</v>
      </c>
      <c r="B603" s="9" t="s">
        <v>1648</v>
      </c>
      <c r="C603" s="8" t="n">
        <v>30</v>
      </c>
      <c r="D603" s="9" t="str">
        <f aca="false">INDEX(Radicals!$B$2:$B$215,MATCH(C603,Radicals!$A$2:$A$215,0))</f>
        <v>口</v>
      </c>
      <c r="E603" s="10" t="str">
        <f aca="false">INDEX(Radicals!$G$2:$G$215,MATCH(C603,Radicals!$A$2:$A$215,0))</f>
        <v>mouth</v>
      </c>
      <c r="F603" s="8" t="n">
        <f aca="false">INDEX(Radicals!$D$2:$D$215,MATCH(C603,Radicals!$A$2:$A$215,0))</f>
        <v>3</v>
      </c>
      <c r="G603" s="8" t="n">
        <v>5</v>
      </c>
    </row>
    <row r="604" customFormat="false" ht="17.35" hidden="false" customHeight="false" outlineLevel="0" collapsed="false">
      <c r="A604" s="8" t="n">
        <v>603</v>
      </c>
      <c r="B604" s="9" t="s">
        <v>1649</v>
      </c>
      <c r="C604" s="8" t="n">
        <v>9</v>
      </c>
      <c r="D604" s="9" t="str">
        <f aca="false">INDEX(Radicals!$B$2:$B$215,MATCH(C604,Radicals!$A$2:$A$215,0))</f>
        <v>人</v>
      </c>
      <c r="E604" s="10" t="str">
        <f aca="false">INDEX(Radicals!$G$2:$G$215,MATCH(C604,Radicals!$A$2:$A$215,0))</f>
        <v>person</v>
      </c>
      <c r="F604" s="8" t="n">
        <f aca="false">INDEX(Radicals!$D$2:$D$215,MATCH(C604,Radicals!$A$2:$A$215,0))</f>
        <v>2</v>
      </c>
      <c r="G604" s="8" t="n">
        <v>10</v>
      </c>
    </row>
    <row r="605" customFormat="false" ht="17.35" hidden="false" customHeight="false" outlineLevel="0" collapsed="false">
      <c r="A605" s="8" t="n">
        <v>604</v>
      </c>
      <c r="B605" s="9" t="s">
        <v>1650</v>
      </c>
      <c r="C605" s="8" t="n">
        <v>64</v>
      </c>
      <c r="D605" s="9" t="str">
        <f aca="false">INDEX(Radicals!$B$2:$B$215,MATCH(C605,Radicals!$A$2:$A$215,0))</f>
        <v>手</v>
      </c>
      <c r="E605" s="10" t="str">
        <f aca="false">INDEX(Radicals!$G$2:$G$215,MATCH(C605,Radicals!$A$2:$A$215,0))</f>
        <v>hand</v>
      </c>
      <c r="F605" s="8" t="n">
        <f aca="false">INDEX(Radicals!$D$2:$D$215,MATCH(C605,Radicals!$A$2:$A$215,0))</f>
        <v>4</v>
      </c>
      <c r="G605" s="8" t="n">
        <v>10</v>
      </c>
    </row>
    <row r="606" customFormat="false" ht="17.35" hidden="false" customHeight="false" outlineLevel="0" collapsed="false">
      <c r="A606" s="8" t="n">
        <v>605</v>
      </c>
      <c r="B606" s="9" t="s">
        <v>1651</v>
      </c>
      <c r="C606" s="8" t="n">
        <v>170</v>
      </c>
      <c r="D606" s="9" t="str">
        <f aca="false">INDEX(Radicals!$B$2:$B$215,MATCH(C606,Radicals!$A$2:$A$215,0))</f>
        <v>阜</v>
      </c>
      <c r="E606" s="10" t="str">
        <f aca="false">INDEX(Radicals!$G$2:$G$215,MATCH(C606,Radicals!$A$2:$A$215,0))</f>
        <v>mound, hill</v>
      </c>
      <c r="F606" s="8" t="n">
        <f aca="false">INDEX(Radicals!$D$2:$D$215,MATCH(C606,Radicals!$A$2:$A$215,0))</f>
        <v>8</v>
      </c>
      <c r="G606" s="8" t="n">
        <v>12</v>
      </c>
    </row>
    <row r="607" customFormat="false" ht="17.35" hidden="false" customHeight="false" outlineLevel="0" collapsed="false">
      <c r="A607" s="8" t="n">
        <v>606</v>
      </c>
      <c r="B607" s="9" t="s">
        <v>1652</v>
      </c>
      <c r="C607" s="8" t="n">
        <v>26</v>
      </c>
      <c r="D607" s="9" t="str">
        <f aca="false">INDEX(Radicals!$B$2:$B$215,MATCH(C607,Radicals!$A$2:$A$215,0))</f>
        <v>卩</v>
      </c>
      <c r="E607" s="10" t="str">
        <f aca="false">INDEX(Radicals!$G$2:$G$215,MATCH(C607,Radicals!$A$2:$A$215,0))</f>
        <v>seal, kneeling person</v>
      </c>
      <c r="F607" s="8" t="n">
        <f aca="false">INDEX(Radicals!$D$2:$D$215,MATCH(C607,Radicals!$A$2:$A$215,0))</f>
        <v>2</v>
      </c>
      <c r="G607" s="8" t="n">
        <v>6</v>
      </c>
    </row>
    <row r="608" customFormat="false" ht="17.35" hidden="false" customHeight="false" outlineLevel="0" collapsed="false">
      <c r="A608" s="8" t="n">
        <v>607</v>
      </c>
      <c r="B608" s="9" t="s">
        <v>1653</v>
      </c>
      <c r="C608" s="8" t="n">
        <v>64</v>
      </c>
      <c r="D608" s="9" t="str">
        <f aca="false">INDEX(Radicals!$B$2:$B$215,MATCH(C608,Radicals!$A$2:$A$215,0))</f>
        <v>手</v>
      </c>
      <c r="E608" s="10" t="str">
        <f aca="false">INDEX(Radicals!$G$2:$G$215,MATCH(C608,Radicals!$A$2:$A$215,0))</f>
        <v>hand</v>
      </c>
      <c r="F608" s="8" t="n">
        <f aca="false">INDEX(Radicals!$D$2:$D$215,MATCH(C608,Radicals!$A$2:$A$215,0))</f>
        <v>4</v>
      </c>
      <c r="G608" s="8" t="n">
        <v>11</v>
      </c>
    </row>
    <row r="609" customFormat="false" ht="17.35" hidden="false" customHeight="false" outlineLevel="0" collapsed="false">
      <c r="A609" s="8" t="n">
        <v>608</v>
      </c>
      <c r="B609" s="9" t="s">
        <v>1654</v>
      </c>
      <c r="C609" s="8" t="n">
        <v>120</v>
      </c>
      <c r="D609" s="9" t="str">
        <f aca="false">INDEX(Radicals!$B$2:$B$215,MATCH(C609,Radicals!$A$2:$A$215,0))</f>
        <v>糸</v>
      </c>
      <c r="E609" s="10" t="str">
        <f aca="false">INDEX(Radicals!$G$2:$G$215,MATCH(C609,Radicals!$A$2:$A$215,0))</f>
        <v>thread, silk</v>
      </c>
      <c r="F609" s="8" t="n">
        <f aca="false">INDEX(Radicals!$D$2:$D$215,MATCH(C609,Radicals!$A$2:$A$215,0))</f>
        <v>6</v>
      </c>
      <c r="G609" s="8" t="n">
        <v>18</v>
      </c>
    </row>
    <row r="610" customFormat="false" ht="17.35" hidden="false" customHeight="false" outlineLevel="0" collapsed="false">
      <c r="A610" s="8" t="n">
        <v>609</v>
      </c>
      <c r="B610" s="9" t="s">
        <v>1655</v>
      </c>
      <c r="C610" s="8" t="n">
        <v>75</v>
      </c>
      <c r="D610" s="9" t="str">
        <f aca="false">INDEX(Radicals!$B$2:$B$215,MATCH(C610,Radicals!$A$2:$A$215,0))</f>
        <v>木</v>
      </c>
      <c r="E610" s="10" t="str">
        <f aca="false">INDEX(Radicals!$G$2:$G$215,MATCH(C610,Radicals!$A$2:$A$215,0))</f>
        <v>tree, wood</v>
      </c>
      <c r="F610" s="8" t="n">
        <f aca="false">INDEX(Radicals!$D$2:$D$215,MATCH(C610,Radicals!$A$2:$A$215,0))</f>
        <v>4</v>
      </c>
      <c r="G610" s="8" t="n">
        <v>12</v>
      </c>
    </row>
    <row r="611" customFormat="false" ht="17.35" hidden="false" customHeight="false" outlineLevel="0" collapsed="false">
      <c r="A611" s="8" t="n">
        <v>610</v>
      </c>
      <c r="B611" s="9" t="s">
        <v>1656</v>
      </c>
      <c r="C611" s="8" t="n">
        <v>117</v>
      </c>
      <c r="D611" s="9" t="str">
        <f aca="false">INDEX(Radicals!$B$2:$B$215,MATCH(C611,Radicals!$A$2:$A$215,0))</f>
        <v>立</v>
      </c>
      <c r="E611" s="10" t="str">
        <f aca="false">INDEX(Radicals!$G$2:$G$215,MATCH(C611,Radicals!$A$2:$A$215,0))</f>
        <v>stand</v>
      </c>
      <c r="F611" s="8" t="n">
        <f aca="false">INDEX(Radicals!$D$2:$D$215,MATCH(C611,Radicals!$A$2:$A$215,0))</f>
        <v>5</v>
      </c>
      <c r="G611" s="8" t="n">
        <v>20</v>
      </c>
    </row>
    <row r="612" customFormat="false" ht="17.35" hidden="false" customHeight="false" outlineLevel="0" collapsed="false">
      <c r="A612" s="8" t="n">
        <v>611</v>
      </c>
      <c r="B612" s="9" t="s">
        <v>1657</v>
      </c>
      <c r="C612" s="8" t="n">
        <v>64</v>
      </c>
      <c r="D612" s="9" t="str">
        <f aca="false">INDEX(Radicals!$B$2:$B$215,MATCH(C612,Radicals!$A$2:$A$215,0))</f>
        <v>手</v>
      </c>
      <c r="E612" s="10" t="str">
        <f aca="false">INDEX(Radicals!$G$2:$G$215,MATCH(C612,Radicals!$A$2:$A$215,0))</f>
        <v>hand</v>
      </c>
      <c r="F612" s="8" t="n">
        <f aca="false">INDEX(Radicals!$D$2:$D$215,MATCH(C612,Radicals!$A$2:$A$215,0))</f>
        <v>4</v>
      </c>
      <c r="G612" s="8" t="n">
        <v>8</v>
      </c>
    </row>
    <row r="613" customFormat="false" ht="17.35" hidden="false" customHeight="false" outlineLevel="0" collapsed="false">
      <c r="A613" s="8" t="n">
        <v>612</v>
      </c>
      <c r="B613" s="9" t="s">
        <v>1658</v>
      </c>
      <c r="C613" s="8" t="n">
        <v>66</v>
      </c>
      <c r="D613" s="9" t="str">
        <f aca="false">INDEX(Radicals!$B$2:$B$215,MATCH(C613,Radicals!$A$2:$A$215,0))</f>
        <v>攴</v>
      </c>
      <c r="E613" s="10" t="str">
        <f aca="false">INDEX(Radicals!$G$2:$G$215,MATCH(C613,Radicals!$A$2:$A$215,0))</f>
        <v>rap, tap, strike</v>
      </c>
      <c r="F613" s="8" t="n">
        <f aca="false">INDEX(Radicals!$D$2:$D$215,MATCH(C613,Radicals!$A$2:$A$215,0))</f>
        <v>4</v>
      </c>
      <c r="G613" s="8" t="n">
        <v>9</v>
      </c>
    </row>
    <row r="614" customFormat="false" ht="17.35" hidden="false" customHeight="false" outlineLevel="0" collapsed="false">
      <c r="A614" s="8" t="n">
        <v>613</v>
      </c>
      <c r="B614" s="9" t="s">
        <v>1659</v>
      </c>
      <c r="C614" s="8" t="n">
        <v>184</v>
      </c>
      <c r="D614" s="9" t="str">
        <f aca="false">INDEX(Radicals!$B$2:$B$215,MATCH(C614,Radicals!$A$2:$A$215,0))</f>
        <v>食</v>
      </c>
      <c r="E614" s="10" t="str">
        <f aca="false">INDEX(Radicals!$G$2:$G$215,MATCH(C614,Radicals!$A$2:$A$215,0))</f>
        <v>eat, food</v>
      </c>
      <c r="F614" s="8" t="n">
        <f aca="false">INDEX(Radicals!$D$2:$D$215,MATCH(C614,Radicals!$A$2:$A$215,0))</f>
        <v>9</v>
      </c>
      <c r="G614" s="8" t="n">
        <v>16</v>
      </c>
    </row>
    <row r="615" customFormat="false" ht="17.35" hidden="false" customHeight="false" outlineLevel="0" collapsed="false">
      <c r="A615" s="8" t="n">
        <v>614</v>
      </c>
      <c r="B615" s="9" t="s">
        <v>1660</v>
      </c>
      <c r="C615" s="8" t="n">
        <v>64</v>
      </c>
      <c r="D615" s="9" t="str">
        <f aca="false">INDEX(Radicals!$B$2:$B$215,MATCH(C615,Radicals!$A$2:$A$215,0))</f>
        <v>手</v>
      </c>
      <c r="E615" s="10" t="str">
        <f aca="false">INDEX(Radicals!$G$2:$G$215,MATCH(C615,Radicals!$A$2:$A$215,0))</f>
        <v>hand</v>
      </c>
      <c r="F615" s="8" t="n">
        <f aca="false">INDEX(Radicals!$D$2:$D$215,MATCH(C615,Radicals!$A$2:$A$215,0))</f>
        <v>4</v>
      </c>
      <c r="G615" s="8" t="n">
        <v>10</v>
      </c>
    </row>
    <row r="616" customFormat="false" ht="17.35" hidden="false" customHeight="false" outlineLevel="0" collapsed="false">
      <c r="A616" s="8" t="n">
        <v>615</v>
      </c>
      <c r="B616" s="9" t="s">
        <v>1661</v>
      </c>
      <c r="C616" s="8" t="n">
        <v>120</v>
      </c>
      <c r="D616" s="9" t="str">
        <f aca="false">INDEX(Radicals!$B$2:$B$215,MATCH(C616,Radicals!$A$2:$A$215,0))</f>
        <v>糸</v>
      </c>
      <c r="E616" s="10" t="str">
        <f aca="false">INDEX(Radicals!$G$2:$G$215,MATCH(C616,Radicals!$A$2:$A$215,0))</f>
        <v>thread, silk</v>
      </c>
      <c r="F616" s="8" t="n">
        <f aca="false">INDEX(Radicals!$D$2:$D$215,MATCH(C616,Radicals!$A$2:$A$215,0))</f>
        <v>6</v>
      </c>
      <c r="G616" s="8" t="n">
        <v>12</v>
      </c>
    </row>
    <row r="617" customFormat="false" ht="17.35" hidden="false" customHeight="false" outlineLevel="0" collapsed="false">
      <c r="A617" s="8" t="n">
        <v>616</v>
      </c>
      <c r="B617" s="9" t="s">
        <v>1662</v>
      </c>
      <c r="C617" s="8" t="n">
        <v>44</v>
      </c>
      <c r="D617" s="9" t="str">
        <f aca="false">INDEX(Radicals!$B$2:$B$215,MATCH(C617,Radicals!$A$2:$A$215,0))</f>
        <v>尸</v>
      </c>
      <c r="E617" s="10" t="str">
        <f aca="false">INDEX(Radicals!$G$2:$G$215,MATCH(C617,Radicals!$A$2:$A$215,0))</f>
        <v>corpse, body</v>
      </c>
      <c r="F617" s="8" t="n">
        <f aca="false">INDEX(Radicals!$D$2:$D$215,MATCH(C617,Radicals!$A$2:$A$215,0))</f>
        <v>3</v>
      </c>
      <c r="G617" s="8" t="n">
        <v>9</v>
      </c>
    </row>
    <row r="618" customFormat="false" ht="17.35" hidden="false" customHeight="false" outlineLevel="0" collapsed="false">
      <c r="A618" s="8" t="n">
        <v>617</v>
      </c>
      <c r="B618" s="9" t="s">
        <v>1663</v>
      </c>
      <c r="C618" s="8" t="n">
        <v>9</v>
      </c>
      <c r="D618" s="9" t="str">
        <f aca="false">INDEX(Radicals!$B$2:$B$215,MATCH(C618,Radicals!$A$2:$A$215,0))</f>
        <v>人</v>
      </c>
      <c r="E618" s="10" t="str">
        <f aca="false">INDEX(Radicals!$G$2:$G$215,MATCH(C618,Radicals!$A$2:$A$215,0))</f>
        <v>person</v>
      </c>
      <c r="F618" s="8" t="n">
        <f aca="false">INDEX(Radicals!$D$2:$D$215,MATCH(C618,Radicals!$A$2:$A$215,0))</f>
        <v>2</v>
      </c>
      <c r="G618" s="8" t="n">
        <v>4</v>
      </c>
    </row>
    <row r="619" customFormat="false" ht="17.35" hidden="false" customHeight="false" outlineLevel="0" collapsed="false">
      <c r="A619" s="8" t="n">
        <v>618</v>
      </c>
      <c r="B619" s="9" t="s">
        <v>1664</v>
      </c>
      <c r="C619" s="8" t="n">
        <v>149</v>
      </c>
      <c r="D619" s="9" t="str">
        <f aca="false">INDEX(Radicals!$B$2:$B$215,MATCH(C619,Radicals!$A$2:$A$215,0))</f>
        <v>言</v>
      </c>
      <c r="E619" s="10" t="str">
        <f aca="false">INDEX(Radicals!$G$2:$G$215,MATCH(C619,Radicals!$A$2:$A$215,0))</f>
        <v>speech, say</v>
      </c>
      <c r="F619" s="8" t="n">
        <f aca="false">INDEX(Radicals!$D$2:$D$215,MATCH(C619,Radicals!$A$2:$A$215,0))</f>
        <v>7</v>
      </c>
      <c r="G619" s="8" t="n">
        <v>14</v>
      </c>
    </row>
    <row r="620" customFormat="false" ht="17.35" hidden="false" customHeight="false" outlineLevel="0" collapsed="false">
      <c r="A620" s="8" t="n">
        <v>619</v>
      </c>
      <c r="B620" s="9" t="s">
        <v>1665</v>
      </c>
      <c r="C620" s="8" t="n">
        <v>55</v>
      </c>
      <c r="D620" s="9" t="str">
        <f aca="false">INDEX(Radicals!$B$2:$B$215,MATCH(C620,Radicals!$A$2:$A$215,0))</f>
        <v>廾</v>
      </c>
      <c r="E620" s="10" t="str">
        <f aca="false">INDEX(Radicals!$G$2:$G$215,MATCH(C620,Radicals!$A$2:$A$215,0))</f>
        <v>two hands, joined hands</v>
      </c>
      <c r="F620" s="8" t="n">
        <f aca="false">INDEX(Radicals!$D$2:$D$215,MATCH(C620,Radicals!$A$2:$A$215,0))</f>
        <v>3</v>
      </c>
      <c r="G620" s="8" t="n">
        <v>5</v>
      </c>
    </row>
    <row r="621" customFormat="false" ht="17.35" hidden="false" customHeight="false" outlineLevel="0" collapsed="false">
      <c r="A621" s="8" t="n">
        <v>620</v>
      </c>
      <c r="B621" s="9" t="s">
        <v>1666</v>
      </c>
      <c r="C621" s="8" t="n">
        <v>75</v>
      </c>
      <c r="D621" s="9" t="str">
        <f aca="false">INDEX(Radicals!$B$2:$B$215,MATCH(C621,Radicals!$A$2:$A$215,0))</f>
        <v>木</v>
      </c>
      <c r="E621" s="10" t="str">
        <f aca="false">INDEX(Radicals!$G$2:$G$215,MATCH(C621,Radicals!$A$2:$A$215,0))</f>
        <v>tree, wood</v>
      </c>
      <c r="F621" s="8" t="n">
        <f aca="false">INDEX(Radicals!$D$2:$D$215,MATCH(C621,Radicals!$A$2:$A$215,0))</f>
        <v>4</v>
      </c>
      <c r="G621" s="8" t="n">
        <v>10</v>
      </c>
    </row>
    <row r="622" customFormat="false" ht="17.35" hidden="false" customHeight="false" outlineLevel="0" collapsed="false">
      <c r="A622" s="8" t="n">
        <v>621</v>
      </c>
      <c r="B622" s="9" t="s">
        <v>733</v>
      </c>
      <c r="C622" s="8" t="n">
        <v>139</v>
      </c>
      <c r="D622" s="9" t="str">
        <f aca="false">INDEX(Radicals!$B$2:$B$215,MATCH(C622,Radicals!$A$2:$A$215,0))</f>
        <v>色</v>
      </c>
      <c r="E622" s="10" t="str">
        <f aca="false">INDEX(Radicals!$G$2:$G$215,MATCH(C622,Radicals!$A$2:$A$215,0))</f>
        <v>color</v>
      </c>
      <c r="F622" s="8" t="n">
        <f aca="false">INDEX(Radicals!$D$2:$D$215,MATCH(C622,Radicals!$A$2:$A$215,0))</f>
        <v>6</v>
      </c>
      <c r="G622" s="8" t="n">
        <v>6</v>
      </c>
    </row>
    <row r="623" customFormat="false" ht="17.35" hidden="false" customHeight="false" outlineLevel="0" collapsed="false">
      <c r="A623" s="8" t="n">
        <v>622</v>
      </c>
      <c r="B623" s="9" t="s">
        <v>1667</v>
      </c>
      <c r="C623" s="8" t="n">
        <v>29</v>
      </c>
      <c r="D623" s="9" t="str">
        <f aca="false">INDEX(Radicals!$B$2:$B$215,MATCH(C623,Radicals!$A$2:$A$215,0))</f>
        <v>又</v>
      </c>
      <c r="E623" s="10" t="str">
        <f aca="false">INDEX(Radicals!$G$2:$G$215,MATCH(C623,Radicals!$A$2:$A$215,0))</f>
        <v>again, right hand</v>
      </c>
      <c r="F623" s="8" t="n">
        <f aca="false">INDEX(Radicals!$D$2:$D$215,MATCH(C623,Radicals!$A$2:$A$215,0))</f>
        <v>2</v>
      </c>
      <c r="G623" s="8" t="n">
        <v>4</v>
      </c>
    </row>
    <row r="624" customFormat="false" ht="17.35" hidden="false" customHeight="false" outlineLevel="0" collapsed="false">
      <c r="A624" s="8" t="n">
        <v>623</v>
      </c>
      <c r="B624" s="9" t="s">
        <v>1668</v>
      </c>
      <c r="C624" s="8" t="n">
        <v>140</v>
      </c>
      <c r="D624" s="9" t="str">
        <f aca="false">INDEX(Radicals!$B$2:$B$215,MATCH(C624,Radicals!$A$2:$A$215,0))</f>
        <v>艸</v>
      </c>
      <c r="E624" s="10" t="str">
        <f aca="false">INDEX(Radicals!$G$2:$G$215,MATCH(C624,Radicals!$A$2:$A$215,0))</f>
        <v>grass, plant</v>
      </c>
      <c r="F624" s="8" t="n">
        <f aca="false">INDEX(Radicals!$D$2:$D$215,MATCH(C624,Radicals!$A$2:$A$215,0))</f>
        <v>6</v>
      </c>
      <c r="G624" s="8" t="n">
        <v>8</v>
      </c>
    </row>
    <row r="625" customFormat="false" ht="17.35" hidden="false" customHeight="false" outlineLevel="0" collapsed="false">
      <c r="A625" s="8" t="n">
        <v>624</v>
      </c>
      <c r="B625" s="9" t="s">
        <v>241</v>
      </c>
      <c r="C625" s="8" t="n">
        <v>43</v>
      </c>
      <c r="D625" s="9" t="str">
        <f aca="false">INDEX(Radicals!$B$2:$B$215,MATCH(C625,Radicals!$A$2:$A$215,0))</f>
        <v>尢</v>
      </c>
      <c r="E625" s="10" t="str">
        <f aca="false">INDEX(Radicals!$G$2:$G$215,MATCH(C625,Radicals!$A$2:$A$215,0))</f>
        <v>lame</v>
      </c>
      <c r="F625" s="8" t="n">
        <f aca="false">INDEX(Radicals!$D$2:$D$215,MATCH(C625,Radicals!$A$2:$A$215,0))</f>
        <v>3</v>
      </c>
      <c r="G625" s="8" t="n">
        <v>12</v>
      </c>
    </row>
    <row r="626" customFormat="false" ht="17.35" hidden="false" customHeight="false" outlineLevel="0" collapsed="false">
      <c r="A626" s="8" t="n">
        <v>625</v>
      </c>
      <c r="B626" s="9" t="s">
        <v>1669</v>
      </c>
      <c r="C626" s="8" t="n">
        <v>162</v>
      </c>
      <c r="D626" s="9" t="str">
        <f aca="false">INDEX(Radicals!$B$2:$B$215,MATCH(C626,Radicals!$A$2:$A$215,0))</f>
        <v>辵</v>
      </c>
      <c r="E626" s="10" t="str">
        <f aca="false">INDEX(Radicals!$G$2:$G$215,MATCH(C626,Radicals!$A$2:$A$215,0))</f>
        <v>walk, movement</v>
      </c>
      <c r="F626" s="8" t="n">
        <f aca="false">INDEX(Radicals!$D$2:$D$215,MATCH(C626,Radicals!$A$2:$A$215,0))</f>
        <v>7</v>
      </c>
      <c r="G626" s="8" t="n">
        <v>7</v>
      </c>
    </row>
    <row r="627" customFormat="false" ht="17.35" hidden="false" customHeight="false" outlineLevel="0" collapsed="false">
      <c r="A627" s="8" t="n">
        <v>626</v>
      </c>
      <c r="B627" s="9" t="s">
        <v>820</v>
      </c>
      <c r="C627" s="8" t="n">
        <v>156</v>
      </c>
      <c r="D627" s="9" t="str">
        <f aca="false">INDEX(Radicals!$B$2:$B$215,MATCH(C627,Radicals!$A$2:$A$215,0))</f>
        <v>走</v>
      </c>
      <c r="E627" s="10" t="str">
        <f aca="false">INDEX(Radicals!$G$2:$G$215,MATCH(C627,Radicals!$A$2:$A$215,0))</f>
        <v>run</v>
      </c>
      <c r="F627" s="8" t="n">
        <f aca="false">INDEX(Radicals!$D$2:$D$215,MATCH(C627,Radicals!$A$2:$A$215,0))</f>
        <v>7</v>
      </c>
      <c r="G627" s="8" t="n">
        <v>7</v>
      </c>
    </row>
    <row r="628" customFormat="false" ht="17.35" hidden="false" customHeight="false" outlineLevel="0" collapsed="false">
      <c r="A628" s="8" t="n">
        <v>627</v>
      </c>
      <c r="B628" s="9" t="s">
        <v>1670</v>
      </c>
      <c r="C628" s="8" t="n">
        <v>154</v>
      </c>
      <c r="D628" s="9" t="str">
        <f aca="false">INDEX(Radicals!$B$2:$B$215,MATCH(C628,Radicals!$A$2:$A$215,0))</f>
        <v>貝</v>
      </c>
      <c r="E628" s="10" t="str">
        <f aca="false">INDEX(Radicals!$G$2:$G$215,MATCH(C628,Radicals!$A$2:$A$215,0))</f>
        <v>shell, money</v>
      </c>
      <c r="F628" s="8" t="n">
        <f aca="false">INDEX(Radicals!$D$2:$D$215,MATCH(C628,Radicals!$A$2:$A$215,0))</f>
        <v>7</v>
      </c>
      <c r="G628" s="8" t="n">
        <v>11</v>
      </c>
    </row>
    <row r="629" customFormat="false" ht="17.35" hidden="false" customHeight="false" outlineLevel="0" collapsed="false">
      <c r="A629" s="8" t="n">
        <v>628</v>
      </c>
      <c r="B629" s="9" t="s">
        <v>1671</v>
      </c>
      <c r="C629" s="8" t="n">
        <v>31</v>
      </c>
      <c r="D629" s="9" t="str">
        <f aca="false">INDEX(Radicals!$B$2:$B$215,MATCH(C629,Radicals!$A$2:$A$215,0))</f>
        <v>囗</v>
      </c>
      <c r="E629" s="10" t="str">
        <f aca="false">INDEX(Radicals!$G$2:$G$215,MATCH(C629,Radicals!$A$2:$A$215,0))</f>
        <v>enclosure</v>
      </c>
      <c r="F629" s="8" t="n">
        <f aca="false">INDEX(Radicals!$D$2:$D$215,MATCH(C629,Radicals!$A$2:$A$215,0))</f>
        <v>3</v>
      </c>
      <c r="G629" s="8" t="n">
        <v>13</v>
      </c>
    </row>
    <row r="630" customFormat="false" ht="17.35" hidden="false" customHeight="false" outlineLevel="0" collapsed="false">
      <c r="A630" s="8" t="n">
        <v>629</v>
      </c>
      <c r="B630" s="9" t="s">
        <v>1672</v>
      </c>
      <c r="C630" s="8" t="n">
        <v>12</v>
      </c>
      <c r="D630" s="9" t="str">
        <f aca="false">INDEX(Radicals!$B$2:$B$215,MATCH(C630,Radicals!$A$2:$A$215,0))</f>
        <v>八</v>
      </c>
      <c r="E630" s="10" t="str">
        <f aca="false">INDEX(Radicals!$G$2:$G$215,MATCH(C630,Radicals!$A$2:$A$215,0))</f>
        <v>eight</v>
      </c>
      <c r="F630" s="8" t="n">
        <f aca="false">INDEX(Radicals!$D$2:$D$215,MATCH(C630,Radicals!$A$2:$A$215,0))</f>
        <v>2</v>
      </c>
      <c r="G630" s="8" t="n">
        <v>8</v>
      </c>
    </row>
    <row r="631" customFormat="false" ht="17.35" hidden="false" customHeight="false" outlineLevel="0" collapsed="false">
      <c r="A631" s="8" t="n">
        <v>630</v>
      </c>
      <c r="B631" s="9" t="s">
        <v>1673</v>
      </c>
      <c r="C631" s="8" t="n">
        <v>48</v>
      </c>
      <c r="D631" s="9" t="str">
        <f aca="false">INDEX(Radicals!$B$2:$B$215,MATCH(C631,Radicals!$A$2:$A$215,0))</f>
        <v>工</v>
      </c>
      <c r="E631" s="10" t="str">
        <f aca="false">INDEX(Radicals!$G$2:$G$215,MATCH(C631,Radicals!$A$2:$A$215,0))</f>
        <v>work, craftsman</v>
      </c>
      <c r="F631" s="8" t="n">
        <f aca="false">INDEX(Radicals!$D$2:$D$215,MATCH(C631,Radicals!$A$2:$A$215,0))</f>
        <v>3</v>
      </c>
      <c r="G631" s="8" t="n">
        <v>5</v>
      </c>
    </row>
    <row r="632" customFormat="false" ht="17.35" hidden="false" customHeight="false" outlineLevel="0" collapsed="false">
      <c r="A632" s="8" t="n">
        <v>631</v>
      </c>
      <c r="B632" s="9" t="s">
        <v>1674</v>
      </c>
      <c r="C632" s="8" t="n">
        <v>102</v>
      </c>
      <c r="D632" s="9" t="str">
        <f aca="false">INDEX(Radicals!$B$2:$B$215,MATCH(C632,Radicals!$A$2:$A$215,0))</f>
        <v>田</v>
      </c>
      <c r="E632" s="10" t="str">
        <f aca="false">INDEX(Radicals!$G$2:$G$215,MATCH(C632,Radicals!$A$2:$A$215,0))</f>
        <v>field, paddy</v>
      </c>
      <c r="F632" s="8" t="n">
        <f aca="false">INDEX(Radicals!$D$2:$D$215,MATCH(C632,Radicals!$A$2:$A$215,0))</f>
        <v>5</v>
      </c>
      <c r="G632" s="8" t="n">
        <v>11</v>
      </c>
    </row>
    <row r="633" customFormat="false" ht="17.35" hidden="false" customHeight="false" outlineLevel="0" collapsed="false">
      <c r="A633" s="8" t="n">
        <v>632</v>
      </c>
      <c r="B633" s="9" t="s">
        <v>1675</v>
      </c>
      <c r="C633" s="8" t="n">
        <v>77</v>
      </c>
      <c r="D633" s="9" t="str">
        <f aca="false">INDEX(Radicals!$B$2:$B$215,MATCH(C633,Radicals!$A$2:$A$215,0))</f>
        <v>止</v>
      </c>
      <c r="E633" s="10" t="str">
        <f aca="false">INDEX(Radicals!$G$2:$G$215,MATCH(C633,Radicals!$A$2:$A$215,0))</f>
        <v>stop</v>
      </c>
      <c r="F633" s="8" t="n">
        <f aca="false">INDEX(Radicals!$D$2:$D$215,MATCH(C633,Radicals!$A$2:$A$215,0))</f>
        <v>4</v>
      </c>
      <c r="G633" s="8" t="n">
        <v>14</v>
      </c>
    </row>
    <row r="634" customFormat="false" ht="17.35" hidden="false" customHeight="false" outlineLevel="0" collapsed="false">
      <c r="A634" s="8" t="n">
        <v>633</v>
      </c>
      <c r="B634" s="9" t="s">
        <v>1676</v>
      </c>
      <c r="C634" s="8" t="n">
        <v>160</v>
      </c>
      <c r="D634" s="9" t="str">
        <f aca="false">INDEX(Radicals!$B$2:$B$215,MATCH(C634,Radicals!$A$2:$A$215,0))</f>
        <v>辛</v>
      </c>
      <c r="E634" s="10" t="str">
        <f aca="false">INDEX(Radicals!$G$2:$G$215,MATCH(C634,Radicals!$A$2:$A$215,0))</f>
        <v>bitter, spicy</v>
      </c>
      <c r="F634" s="8" t="n">
        <f aca="false">INDEX(Radicals!$D$2:$D$215,MATCH(C634,Radicals!$A$2:$A$215,0))</f>
        <v>7</v>
      </c>
      <c r="G634" s="8" t="n">
        <v>13</v>
      </c>
    </row>
    <row r="635" customFormat="false" ht="17.35" hidden="false" customHeight="false" outlineLevel="0" collapsed="false">
      <c r="A635" s="8" t="n">
        <v>634</v>
      </c>
      <c r="B635" s="9" t="s">
        <v>1677</v>
      </c>
      <c r="C635" s="8" t="n">
        <v>41</v>
      </c>
      <c r="D635" s="9" t="str">
        <f aca="false">INDEX(Radicals!$B$2:$B$215,MATCH(C635,Radicals!$A$2:$A$215,0))</f>
        <v>寸</v>
      </c>
      <c r="E635" s="10" t="str">
        <f aca="false">INDEX(Radicals!$G$2:$G$215,MATCH(C635,Radicals!$A$2:$A$215,0))</f>
        <v>inch</v>
      </c>
      <c r="F635" s="8" t="n">
        <f aca="false">INDEX(Radicals!$D$2:$D$215,MATCH(C635,Radicals!$A$2:$A$215,0))</f>
        <v>3</v>
      </c>
      <c r="G635" s="8" t="n">
        <v>10</v>
      </c>
    </row>
    <row r="636" customFormat="false" ht="17.35" hidden="false" customHeight="false" outlineLevel="0" collapsed="false">
      <c r="A636" s="8" t="n">
        <v>635</v>
      </c>
      <c r="B636" s="9" t="s">
        <v>1678</v>
      </c>
      <c r="C636" s="8" t="n">
        <v>115</v>
      </c>
      <c r="D636" s="9" t="str">
        <f aca="false">INDEX(Radicals!$B$2:$B$215,MATCH(C636,Radicals!$A$2:$A$215,0))</f>
        <v>禾</v>
      </c>
      <c r="E636" s="10" t="str">
        <f aca="false">INDEX(Radicals!$G$2:$G$215,MATCH(C636,Radicals!$A$2:$A$215,0))</f>
        <v>grain, rice plant</v>
      </c>
      <c r="F636" s="8" t="n">
        <f aca="false">INDEX(Radicals!$D$2:$D$215,MATCH(C636,Radicals!$A$2:$A$215,0))</f>
        <v>5</v>
      </c>
      <c r="G636" s="8" t="n">
        <v>9</v>
      </c>
    </row>
    <row r="637" customFormat="false" ht="17.35" hidden="false" customHeight="false" outlineLevel="0" collapsed="false">
      <c r="A637" s="8" t="n">
        <v>636</v>
      </c>
      <c r="B637" s="9" t="s">
        <v>1679</v>
      </c>
      <c r="C637" s="8" t="n">
        <v>31</v>
      </c>
      <c r="D637" s="9" t="str">
        <f aca="false">INDEX(Radicals!$B$2:$B$215,MATCH(C637,Radicals!$A$2:$A$215,0))</f>
        <v>囗</v>
      </c>
      <c r="E637" s="10" t="str">
        <f aca="false">INDEX(Radicals!$G$2:$G$215,MATCH(C637,Radicals!$A$2:$A$215,0))</f>
        <v>enclosure</v>
      </c>
      <c r="F637" s="8" t="n">
        <f aca="false">INDEX(Radicals!$D$2:$D$215,MATCH(C637,Radicals!$A$2:$A$215,0))</f>
        <v>3</v>
      </c>
      <c r="G637" s="8" t="n">
        <v>6</v>
      </c>
    </row>
    <row r="638" customFormat="false" ht="17.35" hidden="false" customHeight="false" outlineLevel="0" collapsed="false">
      <c r="A638" s="8" t="n">
        <v>637</v>
      </c>
      <c r="B638" s="9" t="s">
        <v>1680</v>
      </c>
      <c r="C638" s="8" t="n">
        <v>94</v>
      </c>
      <c r="D638" s="9" t="str">
        <f aca="false">INDEX(Radicals!$B$2:$B$215,MATCH(C638,Radicals!$A$2:$A$215,0))</f>
        <v>犬</v>
      </c>
      <c r="E638" s="10" t="str">
        <f aca="false">INDEX(Radicals!$G$2:$G$215,MATCH(C638,Radicals!$A$2:$A$215,0))</f>
        <v>dog</v>
      </c>
      <c r="F638" s="8" t="n">
        <f aca="false">INDEX(Radicals!$D$2:$D$215,MATCH(C638,Radicals!$A$2:$A$215,0))</f>
        <v>4</v>
      </c>
      <c r="G638" s="8" t="n">
        <v>13</v>
      </c>
    </row>
    <row r="639" customFormat="false" ht="17.35" hidden="false" customHeight="false" outlineLevel="0" collapsed="false">
      <c r="A639" s="8" t="n">
        <v>638</v>
      </c>
      <c r="B639" s="9" t="s">
        <v>1681</v>
      </c>
      <c r="C639" s="8" t="n">
        <v>27</v>
      </c>
      <c r="D639" s="9" t="str">
        <f aca="false">INDEX(Radicals!$B$2:$B$215,MATCH(C639,Radicals!$A$2:$A$215,0))</f>
        <v>厂</v>
      </c>
      <c r="E639" s="10" t="str">
        <f aca="false">INDEX(Radicals!$G$2:$G$215,MATCH(C639,Radicals!$A$2:$A$215,0))</f>
        <v>cliff</v>
      </c>
      <c r="F639" s="8" t="n">
        <f aca="false">INDEX(Radicals!$D$2:$D$215,MATCH(C639,Radicals!$A$2:$A$215,0))</f>
        <v>2</v>
      </c>
      <c r="G639" s="8" t="n">
        <v>17</v>
      </c>
    </row>
    <row r="640" customFormat="false" ht="17.35" hidden="false" customHeight="false" outlineLevel="0" collapsed="false">
      <c r="A640" s="8" t="n">
        <v>639</v>
      </c>
      <c r="B640" s="9" t="s">
        <v>976</v>
      </c>
      <c r="C640" s="8" t="n">
        <v>187</v>
      </c>
      <c r="D640" s="9" t="str">
        <f aca="false">INDEX(Radicals!$B$2:$B$215,MATCH(C640,Radicals!$A$2:$A$215,0))</f>
        <v>馬</v>
      </c>
      <c r="E640" s="10" t="str">
        <f aca="false">INDEX(Radicals!$G$2:$G$215,MATCH(C640,Radicals!$A$2:$A$215,0))</f>
        <v>horse</v>
      </c>
      <c r="F640" s="8" t="n">
        <f aca="false">INDEX(Radicals!$D$2:$D$215,MATCH(C640,Radicals!$A$2:$A$215,0))</f>
        <v>10</v>
      </c>
      <c r="G640" s="8" t="n">
        <v>10</v>
      </c>
    </row>
    <row r="641" customFormat="false" ht="17.35" hidden="false" customHeight="false" outlineLevel="0" collapsed="false">
      <c r="A641" s="8" t="n">
        <v>640</v>
      </c>
      <c r="B641" s="9" t="s">
        <v>1682</v>
      </c>
      <c r="C641" s="8" t="n">
        <v>61</v>
      </c>
      <c r="D641" s="9" t="str">
        <f aca="false">INDEX(Radicals!$B$2:$B$215,MATCH(C641,Radicals!$A$2:$A$215,0))</f>
        <v>心</v>
      </c>
      <c r="E641" s="10" t="str">
        <f aca="false">INDEX(Radicals!$G$2:$G$215,MATCH(C641,Radicals!$A$2:$A$215,0))</f>
        <v>heart, mind</v>
      </c>
      <c r="F641" s="8" t="n">
        <f aca="false">INDEX(Radicals!$D$2:$D$215,MATCH(C641,Radicals!$A$2:$A$215,0))</f>
        <v>4</v>
      </c>
      <c r="G641" s="8" t="n">
        <v>13</v>
      </c>
    </row>
    <row r="642" customFormat="false" ht="17.35" hidden="false" customHeight="false" outlineLevel="0" collapsed="false">
      <c r="A642" s="8" t="n">
        <v>641</v>
      </c>
      <c r="B642" s="9" t="s">
        <v>1683</v>
      </c>
      <c r="C642" s="8" t="n">
        <v>50</v>
      </c>
      <c r="D642" s="9" t="str">
        <f aca="false">INDEX(Radicals!$B$2:$B$215,MATCH(C642,Radicals!$A$2:$A$215,0))</f>
        <v>巾</v>
      </c>
      <c r="E642" s="10" t="str">
        <f aca="false">INDEX(Radicals!$G$2:$G$215,MATCH(C642,Radicals!$A$2:$A$215,0))</f>
        <v>turban, cloth</v>
      </c>
      <c r="F642" s="8" t="n">
        <f aca="false">INDEX(Radicals!$D$2:$D$215,MATCH(C642,Radicals!$A$2:$A$215,0))</f>
        <v>3</v>
      </c>
      <c r="G642" s="8" t="n">
        <v>12</v>
      </c>
    </row>
    <row r="643" customFormat="false" ht="17.35" hidden="false" customHeight="false" outlineLevel="0" collapsed="false">
      <c r="A643" s="8" t="n">
        <v>642</v>
      </c>
      <c r="B643" s="9" t="s">
        <v>1684</v>
      </c>
      <c r="C643" s="8" t="n">
        <v>9</v>
      </c>
      <c r="D643" s="9" t="str">
        <f aca="false">INDEX(Radicals!$B$2:$B$215,MATCH(C643,Radicals!$A$2:$A$215,0))</f>
        <v>人</v>
      </c>
      <c r="E643" s="10" t="str">
        <f aca="false">INDEX(Radicals!$G$2:$G$215,MATCH(C643,Radicals!$A$2:$A$215,0))</f>
        <v>person</v>
      </c>
      <c r="F643" s="8" t="n">
        <f aca="false">INDEX(Radicals!$D$2:$D$215,MATCH(C643,Radicals!$A$2:$A$215,0))</f>
        <v>2</v>
      </c>
      <c r="G643" s="8" t="n">
        <v>6</v>
      </c>
    </row>
    <row r="644" customFormat="false" ht="17.35" hidden="false" customHeight="false" outlineLevel="0" collapsed="false">
      <c r="A644" s="8" t="n">
        <v>643</v>
      </c>
      <c r="B644" s="9" t="s">
        <v>1685</v>
      </c>
      <c r="C644" s="8" t="n">
        <v>120</v>
      </c>
      <c r="D644" s="9" t="str">
        <f aca="false">INDEX(Radicals!$B$2:$B$215,MATCH(C644,Radicals!$A$2:$A$215,0))</f>
        <v>糸</v>
      </c>
      <c r="E644" s="10" t="str">
        <f aca="false">INDEX(Radicals!$G$2:$G$215,MATCH(C644,Radicals!$A$2:$A$215,0))</f>
        <v>thread, silk</v>
      </c>
      <c r="F644" s="8" t="n">
        <f aca="false">INDEX(Radicals!$D$2:$D$215,MATCH(C644,Radicals!$A$2:$A$215,0))</f>
        <v>6</v>
      </c>
      <c r="G644" s="8" t="n">
        <v>14</v>
      </c>
    </row>
    <row r="645" customFormat="false" ht="17.35" hidden="false" customHeight="false" outlineLevel="0" collapsed="false">
      <c r="A645" s="8" t="n">
        <v>644</v>
      </c>
      <c r="B645" s="9" t="s">
        <v>1686</v>
      </c>
      <c r="C645" s="8" t="n">
        <v>40</v>
      </c>
      <c r="D645" s="9" t="str">
        <f aca="false">INDEX(Radicals!$B$2:$B$215,MATCH(C645,Radicals!$A$2:$A$215,0))</f>
        <v>宀</v>
      </c>
      <c r="E645" s="10" t="str">
        <f aca="false">INDEX(Radicals!$G$2:$G$215,MATCH(C645,Radicals!$A$2:$A$215,0))</f>
        <v>roof</v>
      </c>
      <c r="F645" s="8" t="n">
        <f aca="false">INDEX(Radicals!$D$2:$D$215,MATCH(C645,Radicals!$A$2:$A$215,0))</f>
        <v>3</v>
      </c>
      <c r="G645" s="8" t="n">
        <v>12</v>
      </c>
    </row>
    <row r="646" customFormat="false" ht="17.35" hidden="false" customHeight="false" outlineLevel="0" collapsed="false">
      <c r="A646" s="8" t="n">
        <v>645</v>
      </c>
      <c r="B646" s="9" t="s">
        <v>1687</v>
      </c>
      <c r="C646" s="8" t="n">
        <v>85</v>
      </c>
      <c r="D646" s="9" t="str">
        <f aca="false">INDEX(Radicals!$B$2:$B$215,MATCH(C646,Radicals!$A$2:$A$215,0))</f>
        <v>水</v>
      </c>
      <c r="E646" s="10" t="str">
        <f aca="false">INDEX(Radicals!$G$2:$G$215,MATCH(C646,Radicals!$A$2:$A$215,0))</f>
        <v>water</v>
      </c>
      <c r="F646" s="8" t="n">
        <f aca="false">INDEX(Radicals!$D$2:$D$215,MATCH(C646,Radicals!$A$2:$A$215,0))</f>
        <v>4</v>
      </c>
      <c r="G646" s="8" t="n">
        <v>10</v>
      </c>
    </row>
    <row r="647" customFormat="false" ht="17.35" hidden="false" customHeight="false" outlineLevel="0" collapsed="false">
      <c r="A647" s="8" t="n">
        <v>646</v>
      </c>
      <c r="B647" s="9" t="s">
        <v>472</v>
      </c>
      <c r="C647" s="8" t="n">
        <v>88</v>
      </c>
      <c r="D647" s="9" t="str">
        <f aca="false">INDEX(Radicals!$B$2:$B$215,MATCH(C647,Radicals!$A$2:$A$215,0))</f>
        <v>父</v>
      </c>
      <c r="E647" s="10" t="str">
        <f aca="false">INDEX(Radicals!$G$2:$G$215,MATCH(C647,Radicals!$A$2:$A$215,0))</f>
        <v>father</v>
      </c>
      <c r="F647" s="8" t="n">
        <f aca="false">INDEX(Radicals!$D$2:$D$215,MATCH(C647,Radicals!$A$2:$A$215,0))</f>
        <v>4</v>
      </c>
      <c r="G647" s="8" t="n">
        <v>4</v>
      </c>
    </row>
    <row r="648" customFormat="false" ht="17.35" hidden="false" customHeight="false" outlineLevel="0" collapsed="false">
      <c r="A648" s="8" t="n">
        <v>647</v>
      </c>
      <c r="B648" s="9" t="s">
        <v>1688</v>
      </c>
      <c r="C648" s="8" t="n">
        <v>162</v>
      </c>
      <c r="D648" s="9" t="str">
        <f aca="false">INDEX(Radicals!$B$2:$B$215,MATCH(C648,Radicals!$A$2:$A$215,0))</f>
        <v>辵</v>
      </c>
      <c r="E648" s="10" t="str">
        <f aca="false">INDEX(Radicals!$G$2:$G$215,MATCH(C648,Radicals!$A$2:$A$215,0))</f>
        <v>walk, movement</v>
      </c>
      <c r="F648" s="8" t="n">
        <f aca="false">INDEX(Radicals!$D$2:$D$215,MATCH(C648,Radicals!$A$2:$A$215,0))</f>
        <v>7</v>
      </c>
      <c r="G648" s="8" t="n">
        <v>15</v>
      </c>
    </row>
    <row r="649" customFormat="false" ht="17.35" hidden="false" customHeight="false" outlineLevel="0" collapsed="false">
      <c r="A649" s="8" t="n">
        <v>648</v>
      </c>
      <c r="B649" s="9" t="s">
        <v>1689</v>
      </c>
      <c r="C649" s="8" t="n">
        <v>60</v>
      </c>
      <c r="D649" s="9" t="str">
        <f aca="false">INDEX(Radicals!$B$2:$B$215,MATCH(C649,Radicals!$A$2:$A$215,0))</f>
        <v>彳</v>
      </c>
      <c r="E649" s="10" t="str">
        <f aca="false">INDEX(Radicals!$G$2:$G$215,MATCH(C649,Radicals!$A$2:$A$215,0))</f>
        <v>step, small step</v>
      </c>
      <c r="F649" s="8" t="n">
        <f aca="false">INDEX(Radicals!$D$2:$D$215,MATCH(C649,Radicals!$A$2:$A$215,0))</f>
        <v>3</v>
      </c>
      <c r="G649" s="8" t="n">
        <v>8</v>
      </c>
    </row>
    <row r="650" customFormat="false" ht="17.35" hidden="false" customHeight="false" outlineLevel="0" collapsed="false">
      <c r="A650" s="8" t="n">
        <v>649</v>
      </c>
      <c r="B650" s="9" t="s">
        <v>1690</v>
      </c>
      <c r="C650" s="8" t="n">
        <v>137</v>
      </c>
      <c r="D650" s="9" t="str">
        <f aca="false">INDEX(Radicals!$B$2:$B$215,MATCH(C650,Radicals!$A$2:$A$215,0))</f>
        <v>舟</v>
      </c>
      <c r="E650" s="10" t="str">
        <f aca="false">INDEX(Radicals!$G$2:$G$215,MATCH(C650,Radicals!$A$2:$A$215,0))</f>
        <v>boat</v>
      </c>
      <c r="F650" s="8" t="n">
        <f aca="false">INDEX(Radicals!$D$2:$D$215,MATCH(C650,Radicals!$A$2:$A$215,0))</f>
        <v>6</v>
      </c>
      <c r="G650" s="8" t="n">
        <v>10</v>
      </c>
    </row>
    <row r="651" customFormat="false" ht="17.35" hidden="false" customHeight="false" outlineLevel="0" collapsed="false">
      <c r="A651" s="8" t="n">
        <v>650</v>
      </c>
      <c r="B651" s="9" t="s">
        <v>1691</v>
      </c>
      <c r="C651" s="8" t="n">
        <v>75</v>
      </c>
      <c r="D651" s="9" t="str">
        <f aca="false">INDEX(Radicals!$B$2:$B$215,MATCH(C651,Radicals!$A$2:$A$215,0))</f>
        <v>木</v>
      </c>
      <c r="E651" s="10" t="str">
        <f aca="false">INDEX(Radicals!$G$2:$G$215,MATCH(C651,Radicals!$A$2:$A$215,0))</f>
        <v>tree, wood</v>
      </c>
      <c r="F651" s="8" t="n">
        <f aca="false">INDEX(Radicals!$D$2:$D$215,MATCH(C651,Radicals!$A$2:$A$215,0))</f>
        <v>4</v>
      </c>
      <c r="G651" s="8" t="n">
        <v>5</v>
      </c>
    </row>
    <row r="652" customFormat="false" ht="17.35" hidden="false" customHeight="false" outlineLevel="0" collapsed="false">
      <c r="A652" s="8" t="n">
        <v>651</v>
      </c>
      <c r="B652" s="9" t="s">
        <v>1692</v>
      </c>
      <c r="C652" s="8" t="n">
        <v>32</v>
      </c>
      <c r="D652" s="9" t="str">
        <f aca="false">INDEX(Radicals!$B$2:$B$215,MATCH(C652,Radicals!$A$2:$A$215,0))</f>
        <v>土</v>
      </c>
      <c r="E652" s="10" t="str">
        <f aca="false">INDEX(Radicals!$G$2:$G$215,MATCH(C652,Radicals!$A$2:$A$215,0))</f>
        <v>earth, soil</v>
      </c>
      <c r="F652" s="8" t="n">
        <f aca="false">INDEX(Radicals!$D$2:$D$215,MATCH(C652,Radicals!$A$2:$A$215,0))</f>
        <v>3</v>
      </c>
      <c r="G652" s="8" t="n">
        <v>12</v>
      </c>
    </row>
    <row r="653" customFormat="false" ht="17.35" hidden="false" customHeight="false" outlineLevel="0" collapsed="false">
      <c r="A653" s="8" t="n">
        <v>652</v>
      </c>
      <c r="B653" s="9" t="s">
        <v>1693</v>
      </c>
      <c r="C653" s="8" t="n">
        <v>154</v>
      </c>
      <c r="D653" s="9" t="str">
        <f aca="false">INDEX(Radicals!$B$2:$B$215,MATCH(C653,Radicals!$A$2:$A$215,0))</f>
        <v>貝</v>
      </c>
      <c r="E653" s="10" t="str">
        <f aca="false">INDEX(Radicals!$G$2:$G$215,MATCH(C653,Radicals!$A$2:$A$215,0))</f>
        <v>shell, money</v>
      </c>
      <c r="F653" s="8" t="n">
        <f aca="false">INDEX(Radicals!$D$2:$D$215,MATCH(C653,Radicals!$A$2:$A$215,0))</f>
        <v>7</v>
      </c>
      <c r="G653" s="8" t="n">
        <v>12</v>
      </c>
    </row>
    <row r="654" customFormat="false" ht="17.35" hidden="false" customHeight="false" outlineLevel="0" collapsed="false">
      <c r="A654" s="8" t="n">
        <v>653</v>
      </c>
      <c r="B654" s="9" t="s">
        <v>1694</v>
      </c>
      <c r="C654" s="8" t="n">
        <v>149</v>
      </c>
      <c r="D654" s="9" t="str">
        <f aca="false">INDEX(Radicals!$B$2:$B$215,MATCH(C654,Radicals!$A$2:$A$215,0))</f>
        <v>言</v>
      </c>
      <c r="E654" s="10" t="str">
        <f aca="false">INDEX(Radicals!$G$2:$G$215,MATCH(C654,Radicals!$A$2:$A$215,0))</f>
        <v>speech, say</v>
      </c>
      <c r="F654" s="8" t="n">
        <f aca="false">INDEX(Radicals!$D$2:$D$215,MATCH(C654,Radicals!$A$2:$A$215,0))</f>
        <v>7</v>
      </c>
      <c r="G654" s="8" t="n">
        <v>17</v>
      </c>
    </row>
    <row r="655" customFormat="false" ht="17.35" hidden="false" customHeight="false" outlineLevel="0" collapsed="false">
      <c r="A655" s="8" t="n">
        <v>654</v>
      </c>
      <c r="B655" s="9" t="s">
        <v>1695</v>
      </c>
      <c r="C655" s="8" t="n">
        <v>163</v>
      </c>
      <c r="D655" s="9" t="str">
        <f aca="false">INDEX(Radicals!$B$2:$B$215,MATCH(C655,Radicals!$A$2:$A$215,0))</f>
        <v>邑</v>
      </c>
      <c r="E655" s="10" t="str">
        <f aca="false">INDEX(Radicals!$G$2:$G$215,MATCH(C655,Radicals!$A$2:$A$215,0))</f>
        <v>city, village</v>
      </c>
      <c r="F655" s="8" t="n">
        <f aca="false">INDEX(Radicals!$D$2:$D$215,MATCH(C655,Radicals!$A$2:$A$215,0))</f>
        <v>7</v>
      </c>
      <c r="G655" s="8" t="n">
        <v>7</v>
      </c>
    </row>
    <row r="656" customFormat="false" ht="17.35" hidden="false" customHeight="false" outlineLevel="0" collapsed="false">
      <c r="A656" s="8" t="n">
        <v>655</v>
      </c>
      <c r="B656" s="9" t="s">
        <v>1696</v>
      </c>
      <c r="C656" s="8" t="n">
        <v>136</v>
      </c>
      <c r="D656" s="9" t="str">
        <f aca="false">INDEX(Radicals!$B$2:$B$215,MATCH(C656,Radicals!$A$2:$A$215,0))</f>
        <v>舛</v>
      </c>
      <c r="E656" s="10" t="str">
        <f aca="false">INDEX(Radicals!$G$2:$G$215,MATCH(C656,Radicals!$A$2:$A$215,0))</f>
        <v>oppose, dance</v>
      </c>
      <c r="F656" s="8" t="n">
        <f aca="false">INDEX(Radicals!$D$2:$D$215,MATCH(C656,Radicals!$A$2:$A$215,0))</f>
        <v>6</v>
      </c>
      <c r="G656" s="8" t="n">
        <v>15</v>
      </c>
    </row>
    <row r="657" customFormat="false" ht="17.35" hidden="false" customHeight="false" outlineLevel="0" collapsed="false">
      <c r="A657" s="8" t="n">
        <v>656</v>
      </c>
      <c r="B657" s="9" t="s">
        <v>1697</v>
      </c>
      <c r="C657" s="8" t="n">
        <v>75</v>
      </c>
      <c r="D657" s="9" t="str">
        <f aca="false">INDEX(Radicals!$B$2:$B$215,MATCH(C657,Radicals!$A$2:$A$215,0))</f>
        <v>木</v>
      </c>
      <c r="E657" s="10" t="str">
        <f aca="false">INDEX(Radicals!$G$2:$G$215,MATCH(C657,Radicals!$A$2:$A$215,0))</f>
        <v>tree, wood</v>
      </c>
      <c r="F657" s="8" t="n">
        <f aca="false">INDEX(Radicals!$D$2:$D$215,MATCH(C657,Radicals!$A$2:$A$215,0))</f>
        <v>4</v>
      </c>
      <c r="G657" s="8" t="n">
        <v>8</v>
      </c>
    </row>
    <row r="658" customFormat="false" ht="17.35" hidden="false" customHeight="false" outlineLevel="0" collapsed="false">
      <c r="A658" s="8" t="n">
        <v>657</v>
      </c>
      <c r="B658" s="9" t="s">
        <v>1698</v>
      </c>
      <c r="C658" s="8" t="n">
        <v>145</v>
      </c>
      <c r="D658" s="9" t="str">
        <f aca="false">INDEX(Radicals!$B$2:$B$215,MATCH(C658,Radicals!$A$2:$A$215,0))</f>
        <v>衣</v>
      </c>
      <c r="E658" s="10" t="str">
        <f aca="false">INDEX(Radicals!$G$2:$G$215,MATCH(C658,Radicals!$A$2:$A$215,0))</f>
        <v>clothes</v>
      </c>
      <c r="F658" s="8" t="n">
        <f aca="false">INDEX(Radicals!$D$2:$D$215,MATCH(C658,Radicals!$A$2:$A$215,0))</f>
        <v>6</v>
      </c>
      <c r="G658" s="8" t="n">
        <v>12</v>
      </c>
    </row>
    <row r="659" customFormat="false" ht="17.35" hidden="false" customHeight="false" outlineLevel="0" collapsed="false">
      <c r="A659" s="8" t="n">
        <v>658</v>
      </c>
      <c r="B659" s="9" t="s">
        <v>1699</v>
      </c>
      <c r="C659" s="8" t="n">
        <v>149</v>
      </c>
      <c r="D659" s="9" t="str">
        <f aca="false">INDEX(Radicals!$B$2:$B$215,MATCH(C659,Radicals!$A$2:$A$215,0))</f>
        <v>言</v>
      </c>
      <c r="E659" s="10" t="str">
        <f aca="false">INDEX(Radicals!$G$2:$G$215,MATCH(C659,Radicals!$A$2:$A$215,0))</f>
        <v>speech, say</v>
      </c>
      <c r="F659" s="8" t="n">
        <f aca="false">INDEX(Radicals!$D$2:$D$215,MATCH(C659,Radicals!$A$2:$A$215,0))</f>
        <v>7</v>
      </c>
      <c r="G659" s="8" t="n">
        <v>15</v>
      </c>
    </row>
    <row r="660" customFormat="false" ht="17.35" hidden="false" customHeight="false" outlineLevel="0" collapsed="false">
      <c r="A660" s="8" t="n">
        <v>659</v>
      </c>
      <c r="B660" s="9" t="s">
        <v>197</v>
      </c>
      <c r="C660" s="8" t="n">
        <v>35</v>
      </c>
      <c r="D660" s="9" t="str">
        <f aca="false">INDEX(Radicals!$B$2:$B$215,MATCH(C660,Radicals!$A$2:$A$215,0))</f>
        <v>夊</v>
      </c>
      <c r="E660" s="10" t="str">
        <f aca="false">INDEX(Radicals!$G$2:$G$215,MATCH(C660,Radicals!$A$2:$A$215,0))</f>
        <v>go slowly</v>
      </c>
      <c r="F660" s="8" t="n">
        <f aca="false">INDEX(Radicals!$D$2:$D$215,MATCH(C660,Radicals!$A$2:$A$215,0))</f>
        <v>3</v>
      </c>
      <c r="G660" s="8" t="n">
        <v>10</v>
      </c>
    </row>
    <row r="661" customFormat="false" ht="17.35" hidden="false" customHeight="false" outlineLevel="0" collapsed="false">
      <c r="A661" s="8" t="n">
        <v>660</v>
      </c>
      <c r="B661" s="9" t="s">
        <v>1700</v>
      </c>
      <c r="C661" s="8" t="n">
        <v>120</v>
      </c>
      <c r="D661" s="9" t="str">
        <f aca="false">INDEX(Radicals!$B$2:$B$215,MATCH(C661,Radicals!$A$2:$A$215,0))</f>
        <v>糸</v>
      </c>
      <c r="E661" s="10" t="str">
        <f aca="false">INDEX(Radicals!$G$2:$G$215,MATCH(C661,Radicals!$A$2:$A$215,0))</f>
        <v>thread, silk</v>
      </c>
      <c r="F661" s="8" t="n">
        <f aca="false">INDEX(Radicals!$D$2:$D$215,MATCH(C661,Radicals!$A$2:$A$215,0))</f>
        <v>6</v>
      </c>
      <c r="G661" s="8" t="n">
        <v>10</v>
      </c>
    </row>
    <row r="662" customFormat="false" ht="17.35" hidden="false" customHeight="false" outlineLevel="0" collapsed="false">
      <c r="A662" s="8" t="n">
        <v>661</v>
      </c>
      <c r="B662" s="9" t="s">
        <v>1701</v>
      </c>
      <c r="C662" s="8" t="n">
        <v>8</v>
      </c>
      <c r="D662" s="9" t="str">
        <f aca="false">INDEX(Radicals!$B$2:$B$215,MATCH(C662,Radicals!$A$2:$A$215,0))</f>
        <v>亠</v>
      </c>
      <c r="E662" s="10" t="str">
        <f aca="false">INDEX(Radicals!$G$2:$G$215,MATCH(C662,Radicals!$A$2:$A$215,0))</f>
        <v>lid, top</v>
      </c>
      <c r="F662" s="8" t="n">
        <f aca="false">INDEX(Radicals!$D$2:$D$215,MATCH(C662,Radicals!$A$2:$A$215,0))</f>
        <v>2</v>
      </c>
      <c r="G662" s="8" t="n">
        <v>3</v>
      </c>
    </row>
    <row r="663" customFormat="false" ht="17.35" hidden="false" customHeight="false" outlineLevel="0" collapsed="false">
      <c r="A663" s="8" t="n">
        <v>662</v>
      </c>
      <c r="B663" s="9" t="s">
        <v>1702</v>
      </c>
      <c r="C663" s="8" t="n">
        <v>18</v>
      </c>
      <c r="D663" s="9" t="str">
        <f aca="false">INDEX(Radicals!$B$2:$B$215,MATCH(C663,Radicals!$A$2:$A$215,0))</f>
        <v>刀</v>
      </c>
      <c r="E663" s="10" t="str">
        <f aca="false">INDEX(Radicals!$G$2:$G$215,MATCH(C663,Radicals!$A$2:$A$215,0))</f>
        <v>knife, sword</v>
      </c>
      <c r="F663" s="8" t="n">
        <f aca="false">INDEX(Radicals!$D$2:$D$215,MATCH(C663,Radicals!$A$2:$A$215,0))</f>
        <v>2</v>
      </c>
      <c r="G663" s="8" t="n">
        <v>15</v>
      </c>
    </row>
    <row r="664" customFormat="false" ht="17.35" hidden="false" customHeight="false" outlineLevel="0" collapsed="false">
      <c r="A664" s="8" t="n">
        <v>663</v>
      </c>
      <c r="B664" s="9" t="s">
        <v>1703</v>
      </c>
      <c r="C664" s="8" t="n">
        <v>85</v>
      </c>
      <c r="D664" s="9" t="str">
        <f aca="false">INDEX(Radicals!$B$2:$B$215,MATCH(C664,Radicals!$A$2:$A$215,0))</f>
        <v>水</v>
      </c>
      <c r="E664" s="10" t="str">
        <f aca="false">INDEX(Radicals!$G$2:$G$215,MATCH(C664,Radicals!$A$2:$A$215,0))</f>
        <v>water</v>
      </c>
      <c r="F664" s="8" t="n">
        <f aca="false">INDEX(Radicals!$D$2:$D$215,MATCH(C664,Radicals!$A$2:$A$215,0))</f>
        <v>4</v>
      </c>
      <c r="G664" s="8" t="n">
        <v>8</v>
      </c>
    </row>
    <row r="665" customFormat="false" ht="17.35" hidden="false" customHeight="false" outlineLevel="0" collapsed="false">
      <c r="A665" s="8" t="n">
        <v>664</v>
      </c>
      <c r="B665" s="9" t="s">
        <v>1704</v>
      </c>
      <c r="C665" s="8" t="n">
        <v>162</v>
      </c>
      <c r="D665" s="9" t="str">
        <f aca="false">INDEX(Radicals!$B$2:$B$215,MATCH(C665,Radicals!$A$2:$A$215,0))</f>
        <v>辵</v>
      </c>
      <c r="E665" s="10" t="str">
        <f aca="false">INDEX(Radicals!$G$2:$G$215,MATCH(C665,Radicals!$A$2:$A$215,0))</f>
        <v>walk, movement</v>
      </c>
      <c r="F665" s="8" t="n">
        <f aca="false">INDEX(Radicals!$D$2:$D$215,MATCH(C665,Radicals!$A$2:$A$215,0))</f>
        <v>7</v>
      </c>
      <c r="G665" s="8" t="n">
        <v>13</v>
      </c>
    </row>
    <row r="666" customFormat="false" ht="17.35" hidden="false" customHeight="false" outlineLevel="0" collapsed="false">
      <c r="A666" s="8" t="n">
        <v>665</v>
      </c>
      <c r="B666" s="9" t="s">
        <v>1705</v>
      </c>
      <c r="C666" s="8" t="n">
        <v>137</v>
      </c>
      <c r="D666" s="9" t="str">
        <f aca="false">INDEX(Radicals!$B$2:$B$215,MATCH(C666,Radicals!$A$2:$A$215,0))</f>
        <v>舟</v>
      </c>
      <c r="E666" s="10" t="str">
        <f aca="false">INDEX(Radicals!$G$2:$G$215,MATCH(C666,Radicals!$A$2:$A$215,0))</f>
        <v>boat</v>
      </c>
      <c r="F666" s="8" t="n">
        <f aca="false">INDEX(Radicals!$D$2:$D$215,MATCH(C666,Radicals!$A$2:$A$215,0))</f>
        <v>6</v>
      </c>
      <c r="G666" s="8" t="n">
        <v>10</v>
      </c>
    </row>
    <row r="667" customFormat="false" ht="17.35" hidden="false" customHeight="false" outlineLevel="0" collapsed="false">
      <c r="A667" s="8" t="n">
        <v>666</v>
      </c>
      <c r="B667" s="9" t="s">
        <v>1706</v>
      </c>
      <c r="C667" s="8" t="n">
        <v>64</v>
      </c>
      <c r="D667" s="9" t="str">
        <f aca="false">INDEX(Radicals!$B$2:$B$215,MATCH(C667,Radicals!$A$2:$A$215,0))</f>
        <v>手</v>
      </c>
      <c r="E667" s="10" t="str">
        <f aca="false">INDEX(Radicals!$G$2:$G$215,MATCH(C667,Radicals!$A$2:$A$215,0))</f>
        <v>hand</v>
      </c>
      <c r="F667" s="8" t="n">
        <f aca="false">INDEX(Radicals!$D$2:$D$215,MATCH(C667,Radicals!$A$2:$A$215,0))</f>
        <v>4</v>
      </c>
      <c r="G667" s="8" t="n">
        <v>7</v>
      </c>
    </row>
    <row r="668" customFormat="false" ht="17.35" hidden="false" customHeight="false" outlineLevel="0" collapsed="false">
      <c r="A668" s="8" t="n">
        <v>667</v>
      </c>
      <c r="B668" s="9" t="s">
        <v>1707</v>
      </c>
      <c r="C668" s="8" t="n">
        <v>15</v>
      </c>
      <c r="D668" s="9" t="str">
        <f aca="false">INDEX(Radicals!$B$2:$B$215,MATCH(C668,Radicals!$A$2:$A$215,0))</f>
        <v>冫</v>
      </c>
      <c r="E668" s="10" t="str">
        <f aca="false">INDEX(Radicals!$G$2:$G$215,MATCH(C668,Radicals!$A$2:$A$215,0))</f>
        <v>ice</v>
      </c>
      <c r="F668" s="8" t="n">
        <f aca="false">INDEX(Radicals!$D$2:$D$215,MATCH(C668,Radicals!$A$2:$A$215,0))</f>
        <v>2</v>
      </c>
      <c r="G668" s="8" t="n">
        <v>7</v>
      </c>
    </row>
    <row r="669" customFormat="false" ht="17.35" hidden="false" customHeight="false" outlineLevel="0" collapsed="false">
      <c r="A669" s="8" t="n">
        <v>668</v>
      </c>
      <c r="B669" s="9" t="s">
        <v>1708</v>
      </c>
      <c r="C669" s="8" t="n">
        <v>75</v>
      </c>
      <c r="D669" s="9" t="str">
        <f aca="false">INDEX(Radicals!$B$2:$B$215,MATCH(C669,Radicals!$A$2:$A$215,0))</f>
        <v>木</v>
      </c>
      <c r="E669" s="10" t="str">
        <f aca="false">INDEX(Radicals!$G$2:$G$215,MATCH(C669,Radicals!$A$2:$A$215,0))</f>
        <v>tree, wood</v>
      </c>
      <c r="F669" s="8" t="n">
        <f aca="false">INDEX(Radicals!$D$2:$D$215,MATCH(C669,Radicals!$A$2:$A$215,0))</f>
        <v>4</v>
      </c>
      <c r="G669" s="8" t="n">
        <v>14</v>
      </c>
    </row>
    <row r="670" customFormat="false" ht="17.35" hidden="false" customHeight="false" outlineLevel="0" collapsed="false">
      <c r="A670" s="8" t="n">
        <v>669</v>
      </c>
      <c r="B670" s="9" t="s">
        <v>1709</v>
      </c>
      <c r="C670" s="8" t="n">
        <v>172</v>
      </c>
      <c r="D670" s="9" t="str">
        <f aca="false">INDEX(Radicals!$B$2:$B$215,MATCH(C670,Radicals!$A$2:$A$215,0))</f>
        <v>隹</v>
      </c>
      <c r="E670" s="10" t="str">
        <f aca="false">INDEX(Radicals!$G$2:$G$215,MATCH(C670,Radicals!$A$2:$A$215,0))</f>
        <v>short-tailed bird</v>
      </c>
      <c r="F670" s="8" t="n">
        <f aca="false">INDEX(Radicals!$D$2:$D$215,MATCH(C670,Radicals!$A$2:$A$215,0))</f>
        <v>8</v>
      </c>
      <c r="G670" s="8" t="n">
        <v>12</v>
      </c>
    </row>
    <row r="671" customFormat="false" ht="17.35" hidden="false" customHeight="false" outlineLevel="0" collapsed="false">
      <c r="A671" s="8" t="n">
        <v>670</v>
      </c>
      <c r="B671" s="9" t="s">
        <v>1710</v>
      </c>
      <c r="C671" s="8" t="n">
        <v>162</v>
      </c>
      <c r="D671" s="9" t="str">
        <f aca="false">INDEX(Radicals!$B$2:$B$215,MATCH(C671,Radicals!$A$2:$A$215,0))</f>
        <v>辵</v>
      </c>
      <c r="E671" s="10" t="str">
        <f aca="false">INDEX(Radicals!$G$2:$G$215,MATCH(C671,Radicals!$A$2:$A$215,0))</f>
        <v>walk, movement</v>
      </c>
      <c r="F671" s="8" t="n">
        <f aca="false">INDEX(Radicals!$D$2:$D$215,MATCH(C671,Radicals!$A$2:$A$215,0))</f>
        <v>7</v>
      </c>
      <c r="G671" s="8" t="n">
        <v>14</v>
      </c>
    </row>
    <row r="672" customFormat="false" ht="17.35" hidden="false" customHeight="false" outlineLevel="0" collapsed="false">
      <c r="A672" s="8" t="n">
        <v>671</v>
      </c>
      <c r="B672" s="9" t="s">
        <v>1711</v>
      </c>
      <c r="C672" s="8" t="n">
        <v>38</v>
      </c>
      <c r="D672" s="9" t="str">
        <f aca="false">INDEX(Radicals!$B$2:$B$215,MATCH(C672,Radicals!$A$2:$A$215,0))</f>
        <v>女</v>
      </c>
      <c r="E672" s="10" t="str">
        <f aca="false">INDEX(Radicals!$G$2:$G$215,MATCH(C672,Radicals!$A$2:$A$215,0))</f>
        <v>woman</v>
      </c>
      <c r="F672" s="8" t="n">
        <f aca="false">INDEX(Radicals!$D$2:$D$215,MATCH(C672,Radicals!$A$2:$A$215,0))</f>
        <v>3</v>
      </c>
      <c r="G672" s="8" t="n">
        <v>11</v>
      </c>
    </row>
    <row r="673" customFormat="false" ht="17.35" hidden="false" customHeight="false" outlineLevel="0" collapsed="false">
      <c r="A673" s="8" t="n">
        <v>672</v>
      </c>
      <c r="B673" s="9" t="s">
        <v>1712</v>
      </c>
      <c r="C673" s="8" t="n">
        <v>167</v>
      </c>
      <c r="D673" s="9" t="str">
        <f aca="false">INDEX(Radicals!$B$2:$B$215,MATCH(C673,Radicals!$A$2:$A$215,0))</f>
        <v>金</v>
      </c>
      <c r="E673" s="10" t="str">
        <f aca="false">INDEX(Radicals!$G$2:$G$215,MATCH(C673,Radicals!$A$2:$A$215,0))</f>
        <v>metal, gold</v>
      </c>
      <c r="F673" s="8" t="n">
        <f aca="false">INDEX(Radicals!$D$2:$D$215,MATCH(C673,Radicals!$A$2:$A$215,0))</f>
        <v>8</v>
      </c>
      <c r="G673" s="8" t="n">
        <v>13</v>
      </c>
    </row>
    <row r="674" customFormat="false" ht="17.35" hidden="false" customHeight="false" outlineLevel="0" collapsed="false">
      <c r="A674" s="8" t="n">
        <v>673</v>
      </c>
      <c r="B674" s="9" t="s">
        <v>1713</v>
      </c>
      <c r="C674" s="8" t="n">
        <v>40</v>
      </c>
      <c r="D674" s="9" t="str">
        <f aca="false">INDEX(Radicals!$B$2:$B$215,MATCH(C674,Radicals!$A$2:$A$215,0))</f>
        <v>宀</v>
      </c>
      <c r="E674" s="10" t="str">
        <f aca="false">INDEX(Radicals!$G$2:$G$215,MATCH(C674,Radicals!$A$2:$A$215,0))</f>
        <v>roof</v>
      </c>
      <c r="F674" s="8" t="n">
        <f aca="false">INDEX(Radicals!$D$2:$D$215,MATCH(C674,Radicals!$A$2:$A$215,0))</f>
        <v>3</v>
      </c>
      <c r="G674" s="8" t="n">
        <v>11</v>
      </c>
    </row>
    <row r="675" customFormat="false" ht="17.35" hidden="false" customHeight="false" outlineLevel="0" collapsed="false">
      <c r="A675" s="8" t="n">
        <v>674</v>
      </c>
      <c r="B675" s="9" t="s">
        <v>1714</v>
      </c>
      <c r="C675" s="8" t="n">
        <v>108</v>
      </c>
      <c r="D675" s="9" t="str">
        <f aca="false">INDEX(Radicals!$B$2:$B$215,MATCH(C675,Radicals!$A$2:$A$215,0))</f>
        <v>皿</v>
      </c>
      <c r="E675" s="10" t="str">
        <f aca="false">INDEX(Radicals!$G$2:$G$215,MATCH(C675,Radicals!$A$2:$A$215,0))</f>
        <v>dish</v>
      </c>
      <c r="F675" s="8" t="n">
        <f aca="false">INDEX(Radicals!$D$2:$D$215,MATCH(C675,Radicals!$A$2:$A$215,0))</f>
        <v>5</v>
      </c>
      <c r="G675" s="8" t="n">
        <v>10</v>
      </c>
    </row>
    <row r="676" customFormat="false" ht="17.35" hidden="false" customHeight="false" outlineLevel="0" collapsed="false">
      <c r="A676" s="8" t="n">
        <v>675</v>
      </c>
      <c r="B676" s="9" t="s">
        <v>1715</v>
      </c>
      <c r="C676" s="8" t="n">
        <v>162</v>
      </c>
      <c r="D676" s="9" t="str">
        <f aca="false">INDEX(Radicals!$B$2:$B$215,MATCH(C676,Radicals!$A$2:$A$215,0))</f>
        <v>辵</v>
      </c>
      <c r="E676" s="10" t="str">
        <f aca="false">INDEX(Radicals!$G$2:$G$215,MATCH(C676,Radicals!$A$2:$A$215,0))</f>
        <v>walk, movement</v>
      </c>
      <c r="F676" s="8" t="n">
        <f aca="false">INDEX(Radicals!$D$2:$D$215,MATCH(C676,Radicals!$A$2:$A$215,0))</f>
        <v>7</v>
      </c>
      <c r="G676" s="8" t="n">
        <v>5</v>
      </c>
    </row>
    <row r="677" customFormat="false" ht="17.35" hidden="false" customHeight="false" outlineLevel="0" collapsed="false">
      <c r="A677" s="8" t="n">
        <v>676</v>
      </c>
      <c r="B677" s="9" t="s">
        <v>1716</v>
      </c>
      <c r="C677" s="8" t="n">
        <v>181</v>
      </c>
      <c r="D677" s="9" t="str">
        <f aca="false">INDEX(Radicals!$B$2:$B$215,MATCH(C677,Radicals!$A$2:$A$215,0))</f>
        <v>頁</v>
      </c>
      <c r="E677" s="10" t="str">
        <f aca="false">INDEX(Radicals!$G$2:$G$215,MATCH(C677,Radicals!$A$2:$A$215,0))</f>
        <v>page, leaf (head)</v>
      </c>
      <c r="F677" s="8" t="n">
        <f aca="false">INDEX(Radicals!$D$2:$D$215,MATCH(C677,Radicals!$A$2:$A$215,0))</f>
        <v>9</v>
      </c>
      <c r="G677" s="8" t="n">
        <v>18</v>
      </c>
    </row>
    <row r="678" customFormat="false" ht="17.35" hidden="false" customHeight="false" outlineLevel="0" collapsed="false">
      <c r="A678" s="8" t="n">
        <v>677</v>
      </c>
      <c r="B678" s="9" t="s">
        <v>1717</v>
      </c>
      <c r="C678" s="8" t="n">
        <v>120</v>
      </c>
      <c r="D678" s="9" t="str">
        <f aca="false">INDEX(Radicals!$B$2:$B$215,MATCH(C678,Radicals!$A$2:$A$215,0))</f>
        <v>糸</v>
      </c>
      <c r="E678" s="10" t="str">
        <f aca="false">INDEX(Radicals!$G$2:$G$215,MATCH(C678,Radicals!$A$2:$A$215,0))</f>
        <v>thread, silk</v>
      </c>
      <c r="F678" s="8" t="n">
        <f aca="false">INDEX(Radicals!$D$2:$D$215,MATCH(C678,Radicals!$A$2:$A$215,0))</f>
        <v>6</v>
      </c>
      <c r="G678" s="8" t="n">
        <v>15</v>
      </c>
    </row>
    <row r="679" customFormat="false" ht="17.35" hidden="false" customHeight="false" outlineLevel="0" collapsed="false">
      <c r="A679" s="8" t="n">
        <v>678</v>
      </c>
      <c r="B679" s="9" t="s">
        <v>1718</v>
      </c>
      <c r="C679" s="8" t="n">
        <v>181</v>
      </c>
      <c r="D679" s="9" t="str">
        <f aca="false">INDEX(Radicals!$B$2:$B$215,MATCH(C679,Radicals!$A$2:$A$215,0))</f>
        <v>頁</v>
      </c>
      <c r="E679" s="10" t="str">
        <f aca="false">INDEX(Radicals!$G$2:$G$215,MATCH(C679,Radicals!$A$2:$A$215,0))</f>
        <v>page, leaf (head)</v>
      </c>
      <c r="F679" s="8" t="n">
        <f aca="false">INDEX(Radicals!$D$2:$D$215,MATCH(C679,Radicals!$A$2:$A$215,0))</f>
        <v>9</v>
      </c>
      <c r="G679" s="8" t="n">
        <v>18</v>
      </c>
    </row>
    <row r="680" customFormat="false" ht="17.35" hidden="false" customHeight="false" outlineLevel="0" collapsed="false">
      <c r="A680" s="8" t="n">
        <v>679</v>
      </c>
      <c r="B680" s="9" t="s">
        <v>1719</v>
      </c>
      <c r="C680" s="8" t="n">
        <v>10</v>
      </c>
      <c r="D680" s="9" t="str">
        <f aca="false">INDEX(Radicals!$B$2:$B$215,MATCH(C680,Radicals!$A$2:$A$215,0))</f>
        <v>儿</v>
      </c>
      <c r="E680" s="10" t="str">
        <f aca="false">INDEX(Radicals!$G$2:$G$215,MATCH(C680,Radicals!$A$2:$A$215,0))</f>
        <v>legs, walking person</v>
      </c>
      <c r="F680" s="8" t="n">
        <f aca="false">INDEX(Radicals!$D$2:$D$215,MATCH(C680,Radicals!$A$2:$A$215,0))</f>
        <v>2</v>
      </c>
      <c r="G680" s="8" t="n">
        <v>7</v>
      </c>
    </row>
    <row r="681" customFormat="false" ht="17.35" hidden="false" customHeight="false" outlineLevel="0" collapsed="false">
      <c r="A681" s="8" t="n">
        <v>680</v>
      </c>
      <c r="B681" s="9" t="s">
        <v>1720</v>
      </c>
      <c r="C681" s="8" t="n">
        <v>9</v>
      </c>
      <c r="D681" s="9" t="str">
        <f aca="false">INDEX(Radicals!$B$2:$B$215,MATCH(C681,Radicals!$A$2:$A$215,0))</f>
        <v>人</v>
      </c>
      <c r="E681" s="10" t="str">
        <f aca="false">INDEX(Radicals!$G$2:$G$215,MATCH(C681,Radicals!$A$2:$A$215,0))</f>
        <v>person</v>
      </c>
      <c r="F681" s="8" t="n">
        <f aca="false">INDEX(Radicals!$D$2:$D$215,MATCH(C681,Radicals!$A$2:$A$215,0))</f>
        <v>2</v>
      </c>
      <c r="G681" s="8" t="n">
        <v>7</v>
      </c>
    </row>
    <row r="682" customFormat="false" ht="17.35" hidden="false" customHeight="false" outlineLevel="0" collapsed="false">
      <c r="A682" s="8" t="n">
        <v>681</v>
      </c>
      <c r="B682" s="9" t="s">
        <v>1721</v>
      </c>
      <c r="C682" s="8" t="n">
        <v>113</v>
      </c>
      <c r="D682" s="9" t="str">
        <f aca="false">INDEX(Radicals!$B$2:$B$215,MATCH(C682,Radicals!$A$2:$A$215,0))</f>
        <v>示</v>
      </c>
      <c r="E682" s="10" t="str">
        <f aca="false">INDEX(Radicals!$G$2:$G$215,MATCH(C682,Radicals!$A$2:$A$215,0))</f>
        <v>spirit, altar, show</v>
      </c>
      <c r="F682" s="8" t="n">
        <f aca="false">INDEX(Radicals!$D$2:$D$215,MATCH(C682,Radicals!$A$2:$A$215,0))</f>
        <v>5</v>
      </c>
      <c r="G682" s="8" t="n">
        <v>13</v>
      </c>
    </row>
    <row r="683" customFormat="false" ht="17.35" hidden="false" customHeight="false" outlineLevel="0" collapsed="false">
      <c r="A683" s="8" t="n">
        <v>682</v>
      </c>
      <c r="B683" s="9" t="s">
        <v>1722</v>
      </c>
      <c r="C683" s="8" t="n">
        <v>26</v>
      </c>
      <c r="D683" s="9" t="str">
        <f aca="false">INDEX(Radicals!$B$2:$B$215,MATCH(C683,Radicals!$A$2:$A$215,0))</f>
        <v>卩</v>
      </c>
      <c r="E683" s="10" t="str">
        <f aca="false">INDEX(Radicals!$G$2:$G$215,MATCH(C683,Radicals!$A$2:$A$215,0))</f>
        <v>seal, kneeling person</v>
      </c>
      <c r="F683" s="8" t="n">
        <f aca="false">INDEX(Radicals!$D$2:$D$215,MATCH(C683,Radicals!$A$2:$A$215,0))</f>
        <v>2</v>
      </c>
      <c r="G683" s="8" t="n">
        <v>6</v>
      </c>
    </row>
    <row r="684" customFormat="false" ht="17.35" hidden="false" customHeight="false" outlineLevel="0" collapsed="false">
      <c r="A684" s="8" t="n">
        <v>683</v>
      </c>
      <c r="B684" s="9" t="s">
        <v>1723</v>
      </c>
      <c r="C684" s="8" t="n">
        <v>162</v>
      </c>
      <c r="D684" s="9" t="str">
        <f aca="false">INDEX(Radicals!$B$2:$B$215,MATCH(C684,Radicals!$A$2:$A$215,0))</f>
        <v>辵</v>
      </c>
      <c r="E684" s="10" t="str">
        <f aca="false">INDEX(Radicals!$G$2:$G$215,MATCH(C684,Radicals!$A$2:$A$215,0))</f>
        <v>walk, movement</v>
      </c>
      <c r="F684" s="8" t="n">
        <f aca="false">INDEX(Radicals!$D$2:$D$215,MATCH(C684,Radicals!$A$2:$A$215,0))</f>
        <v>7</v>
      </c>
      <c r="G684" s="8" t="n">
        <v>9</v>
      </c>
    </row>
    <row r="685" customFormat="false" ht="17.35" hidden="false" customHeight="false" outlineLevel="0" collapsed="false">
      <c r="A685" s="8" t="n">
        <v>684</v>
      </c>
      <c r="B685" s="9" t="s">
        <v>1724</v>
      </c>
      <c r="C685" s="8" t="n">
        <v>96</v>
      </c>
      <c r="D685" s="9" t="str">
        <f aca="false">INDEX(Radicals!$B$2:$B$215,MATCH(C685,Radicals!$A$2:$A$215,0))</f>
        <v>玉</v>
      </c>
      <c r="E685" s="10" t="str">
        <f aca="false">INDEX(Radicals!$G$2:$G$215,MATCH(C685,Radicals!$A$2:$A$215,0))</f>
        <v>jade, king</v>
      </c>
      <c r="F685" s="8" t="n">
        <f aca="false">INDEX(Radicals!$D$2:$D$215,MATCH(C685,Radicals!$A$2:$A$215,0))</f>
        <v>5</v>
      </c>
      <c r="G685" s="8" t="n">
        <v>4</v>
      </c>
    </row>
    <row r="686" customFormat="false" ht="17.35" hidden="false" customHeight="false" outlineLevel="0" collapsed="false">
      <c r="A686" s="8" t="n">
        <v>685</v>
      </c>
      <c r="B686" s="9" t="s">
        <v>1725</v>
      </c>
      <c r="C686" s="8" t="n">
        <v>162</v>
      </c>
      <c r="D686" s="9" t="str">
        <f aca="false">INDEX(Radicals!$B$2:$B$215,MATCH(C686,Radicals!$A$2:$A$215,0))</f>
        <v>辵</v>
      </c>
      <c r="E686" s="10" t="str">
        <f aca="false">INDEX(Radicals!$G$2:$G$215,MATCH(C686,Radicals!$A$2:$A$215,0))</f>
        <v>walk, movement</v>
      </c>
      <c r="F686" s="8" t="n">
        <f aca="false">INDEX(Radicals!$D$2:$D$215,MATCH(C686,Radicals!$A$2:$A$215,0))</f>
        <v>7</v>
      </c>
      <c r="G686" s="8" t="n">
        <v>7</v>
      </c>
    </row>
    <row r="687" customFormat="false" ht="17.35" hidden="false" customHeight="false" outlineLevel="0" collapsed="false">
      <c r="A687" s="8" t="n">
        <v>686</v>
      </c>
      <c r="B687" s="9" t="s">
        <v>1726</v>
      </c>
      <c r="C687" s="8" t="n">
        <v>75</v>
      </c>
      <c r="D687" s="9" t="str">
        <f aca="false">INDEX(Radicals!$B$2:$B$215,MATCH(C687,Radicals!$A$2:$A$215,0))</f>
        <v>木</v>
      </c>
      <c r="E687" s="10" t="str">
        <f aca="false">INDEX(Radicals!$G$2:$G$215,MATCH(C687,Radicals!$A$2:$A$215,0))</f>
        <v>tree, wood</v>
      </c>
      <c r="F687" s="8" t="n">
        <f aca="false">INDEX(Radicals!$D$2:$D$215,MATCH(C687,Radicals!$A$2:$A$215,0))</f>
        <v>4</v>
      </c>
      <c r="G687" s="8" t="n">
        <v>15</v>
      </c>
    </row>
    <row r="688" customFormat="false" ht="17.35" hidden="false" customHeight="false" outlineLevel="0" collapsed="false">
      <c r="A688" s="8" t="n">
        <v>687</v>
      </c>
      <c r="B688" s="9" t="s">
        <v>1727</v>
      </c>
      <c r="C688" s="8" t="n">
        <v>64</v>
      </c>
      <c r="D688" s="9" t="str">
        <f aca="false">INDEX(Radicals!$B$2:$B$215,MATCH(C688,Radicals!$A$2:$A$215,0))</f>
        <v>手</v>
      </c>
      <c r="E688" s="10" t="str">
        <f aca="false">INDEX(Radicals!$G$2:$G$215,MATCH(C688,Radicals!$A$2:$A$215,0))</f>
        <v>hand</v>
      </c>
      <c r="F688" s="8" t="n">
        <f aca="false">INDEX(Radicals!$D$2:$D$215,MATCH(C688,Radicals!$A$2:$A$215,0))</f>
        <v>4</v>
      </c>
      <c r="G688" s="8" t="n">
        <v>12</v>
      </c>
    </row>
    <row r="689" customFormat="false" ht="17.35" hidden="false" customHeight="false" outlineLevel="0" collapsed="false">
      <c r="A689" s="8" t="n">
        <v>688</v>
      </c>
      <c r="B689" s="9" t="s">
        <v>1728</v>
      </c>
      <c r="C689" s="8" t="n">
        <v>4</v>
      </c>
      <c r="D689" s="9" t="str">
        <f aca="false">INDEX(Radicals!$B$2:$B$215,MATCH(C689,Radicals!$A$2:$A$215,0))</f>
        <v>丿</v>
      </c>
      <c r="E689" s="10" t="str">
        <f aca="false">INDEX(Radicals!$G$2:$G$215,MATCH(C689,Radicals!$A$2:$A$215,0))</f>
        <v>slash, left-falling stroke</v>
      </c>
      <c r="F689" s="8" t="n">
        <f aca="false">INDEX(Radicals!$D$2:$D$215,MATCH(C689,Radicals!$A$2:$A$215,0))</f>
        <v>1</v>
      </c>
      <c r="G689" s="8" t="n">
        <v>3</v>
      </c>
    </row>
    <row r="690" customFormat="false" ht="17.35" hidden="false" customHeight="false" outlineLevel="0" collapsed="false">
      <c r="A690" s="8" t="n">
        <v>689</v>
      </c>
      <c r="B690" s="9" t="s">
        <v>1729</v>
      </c>
      <c r="C690" s="8" t="n">
        <v>111</v>
      </c>
      <c r="D690" s="9" t="str">
        <f aca="false">INDEX(Radicals!$B$2:$B$215,MATCH(C690,Radicals!$A$2:$A$215,0))</f>
        <v>矢</v>
      </c>
      <c r="E690" s="10" t="str">
        <f aca="false">INDEX(Radicals!$G$2:$G$215,MATCH(C690,Radicals!$A$2:$A$215,0))</f>
        <v>arrow</v>
      </c>
      <c r="F690" s="8" t="n">
        <f aca="false">INDEX(Radicals!$D$2:$D$215,MATCH(C690,Radicals!$A$2:$A$215,0))</f>
        <v>5</v>
      </c>
      <c r="G690" s="8" t="n">
        <v>12</v>
      </c>
    </row>
    <row r="691" customFormat="false" ht="17.35" hidden="false" customHeight="false" outlineLevel="0" collapsed="false">
      <c r="A691" s="8" t="n">
        <v>690</v>
      </c>
      <c r="B691" s="9" t="s">
        <v>1730</v>
      </c>
      <c r="C691" s="8" t="n">
        <v>85</v>
      </c>
      <c r="D691" s="9" t="str">
        <f aca="false">INDEX(Radicals!$B$2:$B$215,MATCH(C691,Radicals!$A$2:$A$215,0))</f>
        <v>水</v>
      </c>
      <c r="E691" s="10" t="str">
        <f aca="false">INDEX(Radicals!$G$2:$G$215,MATCH(C691,Radicals!$A$2:$A$215,0))</f>
        <v>water</v>
      </c>
      <c r="F691" s="8" t="n">
        <f aca="false">INDEX(Radicals!$D$2:$D$215,MATCH(C691,Radicals!$A$2:$A$215,0))</f>
        <v>4</v>
      </c>
      <c r="G691" s="8" t="n">
        <v>8</v>
      </c>
    </row>
    <row r="692" customFormat="false" ht="17.35" hidden="false" customHeight="false" outlineLevel="0" collapsed="false">
      <c r="A692" s="8" t="n">
        <v>691</v>
      </c>
      <c r="B692" s="9" t="s">
        <v>1731</v>
      </c>
      <c r="C692" s="8" t="n">
        <v>38</v>
      </c>
      <c r="D692" s="9" t="str">
        <f aca="false">INDEX(Radicals!$B$2:$B$215,MATCH(C692,Radicals!$A$2:$A$215,0))</f>
        <v>女</v>
      </c>
      <c r="E692" s="10" t="str">
        <f aca="false">INDEX(Radicals!$G$2:$G$215,MATCH(C692,Radicals!$A$2:$A$215,0))</f>
        <v>woman</v>
      </c>
      <c r="F692" s="8" t="n">
        <f aca="false">INDEX(Radicals!$D$2:$D$215,MATCH(C692,Radicals!$A$2:$A$215,0))</f>
        <v>3</v>
      </c>
      <c r="G692" s="8" t="n">
        <v>8</v>
      </c>
    </row>
    <row r="693" customFormat="false" ht="17.35" hidden="false" customHeight="false" outlineLevel="0" collapsed="false">
      <c r="A693" s="8" t="n">
        <v>692</v>
      </c>
      <c r="B693" s="9" t="s">
        <v>1732</v>
      </c>
      <c r="C693" s="8" t="n">
        <v>72</v>
      </c>
      <c r="D693" s="9" t="str">
        <f aca="false">INDEX(Radicals!$B$2:$B$215,MATCH(C693,Radicals!$A$2:$A$215,0))</f>
        <v>日</v>
      </c>
      <c r="E693" s="10" t="str">
        <f aca="false">INDEX(Radicals!$G$2:$G$215,MATCH(C693,Radicals!$A$2:$A$215,0))</f>
        <v>sun, day</v>
      </c>
      <c r="F693" s="8" t="n">
        <f aca="false">INDEX(Radicals!$D$2:$D$215,MATCH(C693,Radicals!$A$2:$A$215,0))</f>
        <v>4</v>
      </c>
      <c r="G693" s="8" t="n">
        <v>15</v>
      </c>
    </row>
    <row r="694" customFormat="false" ht="17.35" hidden="false" customHeight="false" outlineLevel="0" collapsed="false">
      <c r="A694" s="8" t="n">
        <v>693</v>
      </c>
      <c r="B694" s="9" t="s">
        <v>1733</v>
      </c>
      <c r="C694" s="8" t="n">
        <v>159</v>
      </c>
      <c r="D694" s="9" t="str">
        <f aca="false">INDEX(Radicals!$B$2:$B$215,MATCH(C694,Radicals!$A$2:$A$215,0))</f>
        <v>車</v>
      </c>
      <c r="E694" s="10" t="str">
        <f aca="false">INDEX(Radicals!$G$2:$G$215,MATCH(C694,Radicals!$A$2:$A$215,0))</f>
        <v>cart, vehicle</v>
      </c>
      <c r="F694" s="8" t="n">
        <f aca="false">INDEX(Radicals!$D$2:$D$215,MATCH(C694,Radicals!$A$2:$A$215,0))</f>
        <v>7</v>
      </c>
      <c r="G694" s="8" t="n">
        <v>15</v>
      </c>
    </row>
    <row r="695" customFormat="false" ht="17.35" hidden="false" customHeight="false" outlineLevel="0" collapsed="false">
      <c r="A695" s="8" t="n">
        <v>694</v>
      </c>
      <c r="B695" s="9" t="s">
        <v>144</v>
      </c>
      <c r="C695" s="8" t="n">
        <v>25</v>
      </c>
      <c r="D695" s="9" t="str">
        <f aca="false">INDEX(Radicals!$B$2:$B$215,MATCH(C695,Radicals!$A$2:$A$215,0))</f>
        <v>卜</v>
      </c>
      <c r="E695" s="10" t="str">
        <f aca="false">INDEX(Radicals!$G$2:$G$215,MATCH(C695,Radicals!$A$2:$A$215,0))</f>
        <v>divination</v>
      </c>
      <c r="F695" s="8" t="n">
        <f aca="false">INDEX(Radicals!$D$2:$D$215,MATCH(C695,Radicals!$A$2:$A$215,0))</f>
        <v>2</v>
      </c>
      <c r="G695" s="8" t="n">
        <v>5</v>
      </c>
    </row>
    <row r="696" customFormat="false" ht="17.35" hidden="false" customHeight="false" outlineLevel="0" collapsed="false">
      <c r="A696" s="8" t="n">
        <v>695</v>
      </c>
      <c r="B696" s="9" t="s">
        <v>1734</v>
      </c>
      <c r="C696" s="8" t="n">
        <v>40</v>
      </c>
      <c r="D696" s="9" t="str">
        <f aca="false">INDEX(Radicals!$B$2:$B$215,MATCH(C696,Radicals!$A$2:$A$215,0))</f>
        <v>宀</v>
      </c>
      <c r="E696" s="10" t="str">
        <f aca="false">INDEX(Radicals!$G$2:$G$215,MATCH(C696,Radicals!$A$2:$A$215,0))</f>
        <v>roof</v>
      </c>
      <c r="F696" s="8" t="n">
        <f aca="false">INDEX(Radicals!$D$2:$D$215,MATCH(C696,Radicals!$A$2:$A$215,0))</f>
        <v>3</v>
      </c>
      <c r="G696" s="8" t="n">
        <v>9</v>
      </c>
    </row>
    <row r="697" customFormat="false" ht="17.35" hidden="false" customHeight="false" outlineLevel="0" collapsed="false">
      <c r="A697" s="8" t="n">
        <v>696</v>
      </c>
      <c r="B697" s="9" t="s">
        <v>1735</v>
      </c>
      <c r="C697" s="8" t="n">
        <v>130</v>
      </c>
      <c r="D697" s="9" t="str">
        <f aca="false">INDEX(Radicals!$B$2:$B$215,MATCH(C697,Radicals!$A$2:$A$215,0))</f>
        <v>肉</v>
      </c>
      <c r="E697" s="10" t="str">
        <f aca="false">INDEX(Radicals!$G$2:$G$215,MATCH(C697,Radicals!$A$2:$A$215,0))</f>
        <v>meat, flesh</v>
      </c>
      <c r="F697" s="8" t="n">
        <f aca="false">INDEX(Radicals!$D$2:$D$215,MATCH(C697,Radicals!$A$2:$A$215,0))</f>
        <v>6</v>
      </c>
      <c r="G697" s="8" t="n">
        <v>9</v>
      </c>
    </row>
    <row r="698" customFormat="false" ht="17.35" hidden="false" customHeight="false" outlineLevel="0" collapsed="false">
      <c r="A698" s="8" t="n">
        <v>697</v>
      </c>
      <c r="B698" s="9" t="s">
        <v>1736</v>
      </c>
      <c r="C698" s="8" t="n">
        <v>72</v>
      </c>
      <c r="D698" s="9" t="str">
        <f aca="false">INDEX(Radicals!$B$2:$B$215,MATCH(C698,Radicals!$A$2:$A$215,0))</f>
        <v>日</v>
      </c>
      <c r="E698" s="10" t="str">
        <f aca="false">INDEX(Radicals!$G$2:$G$215,MATCH(C698,Radicals!$A$2:$A$215,0))</f>
        <v>sun, day</v>
      </c>
      <c r="F698" s="8" t="n">
        <f aca="false">INDEX(Radicals!$D$2:$D$215,MATCH(C698,Radicals!$A$2:$A$215,0))</f>
        <v>4</v>
      </c>
      <c r="G698" s="8" t="n">
        <v>9</v>
      </c>
    </row>
    <row r="699" customFormat="false" ht="17.35" hidden="false" customHeight="false" outlineLevel="0" collapsed="false">
      <c r="A699" s="8" t="n">
        <v>698</v>
      </c>
      <c r="B699" s="9" t="s">
        <v>1737</v>
      </c>
      <c r="C699" s="8" t="n">
        <v>53</v>
      </c>
      <c r="D699" s="9" t="str">
        <f aca="false">INDEX(Radicals!$B$2:$B$215,MATCH(C699,Radicals!$A$2:$A$215,0))</f>
        <v>广</v>
      </c>
      <c r="E699" s="10" t="str">
        <f aca="false">INDEX(Radicals!$G$2:$G$215,MATCH(C699,Radicals!$A$2:$A$215,0))</f>
        <v>dotted cliff, building</v>
      </c>
      <c r="F699" s="8" t="n">
        <f aca="false">INDEX(Radicals!$D$2:$D$215,MATCH(C699,Radicals!$A$2:$A$215,0))</f>
        <v>3</v>
      </c>
      <c r="G699" s="8" t="n">
        <v>12</v>
      </c>
    </row>
    <row r="700" customFormat="false" ht="17.35" hidden="false" customHeight="false" outlineLevel="0" collapsed="false">
      <c r="A700" s="8" t="n">
        <v>699</v>
      </c>
      <c r="B700" s="9" t="s">
        <v>1738</v>
      </c>
      <c r="C700" s="8" t="n">
        <v>75</v>
      </c>
      <c r="D700" s="9" t="str">
        <f aca="false">INDEX(Radicals!$B$2:$B$215,MATCH(C700,Radicals!$A$2:$A$215,0))</f>
        <v>木</v>
      </c>
      <c r="E700" s="10" t="str">
        <f aca="false">INDEX(Radicals!$G$2:$G$215,MATCH(C700,Radicals!$A$2:$A$215,0))</f>
        <v>tree, wood</v>
      </c>
      <c r="F700" s="8" t="n">
        <f aca="false">INDEX(Radicals!$D$2:$D$215,MATCH(C700,Radicals!$A$2:$A$215,0))</f>
        <v>4</v>
      </c>
      <c r="G700" s="8" t="n">
        <v>12</v>
      </c>
    </row>
    <row r="701" customFormat="false" ht="17.35" hidden="false" customHeight="false" outlineLevel="0" collapsed="false">
      <c r="A701" s="8" t="n">
        <v>700</v>
      </c>
      <c r="B701" s="9" t="s">
        <v>1739</v>
      </c>
      <c r="C701" s="8" t="n">
        <v>86</v>
      </c>
      <c r="D701" s="9" t="str">
        <f aca="false">INDEX(Radicals!$B$2:$B$215,MATCH(C701,Radicals!$A$2:$A$215,0))</f>
        <v>火</v>
      </c>
      <c r="E701" s="10" t="str">
        <f aca="false">INDEX(Radicals!$G$2:$G$215,MATCH(C701,Radicals!$A$2:$A$215,0))</f>
        <v>fire</v>
      </c>
      <c r="F701" s="8" t="n">
        <f aca="false">INDEX(Radicals!$D$2:$D$215,MATCH(C701,Radicals!$A$2:$A$215,0))</f>
        <v>4</v>
      </c>
      <c r="G701" s="8" t="n">
        <v>15</v>
      </c>
    </row>
    <row r="702" customFormat="false" ht="17.35" hidden="false" customHeight="false" outlineLevel="0" collapsed="false">
      <c r="A702" s="8" t="n">
        <v>701</v>
      </c>
      <c r="B702" s="9" t="s">
        <v>1740</v>
      </c>
      <c r="C702" s="8" t="n">
        <v>40</v>
      </c>
      <c r="D702" s="9" t="str">
        <f aca="false">INDEX(Radicals!$B$2:$B$215,MATCH(C702,Radicals!$A$2:$A$215,0))</f>
        <v>宀</v>
      </c>
      <c r="E702" s="10" t="str">
        <f aca="false">INDEX(Radicals!$G$2:$G$215,MATCH(C702,Radicals!$A$2:$A$215,0))</f>
        <v>roof</v>
      </c>
      <c r="F702" s="8" t="n">
        <f aca="false">INDEX(Radicals!$D$2:$D$215,MATCH(C702,Radicals!$A$2:$A$215,0))</f>
        <v>3</v>
      </c>
      <c r="G702" s="8" t="n">
        <v>11</v>
      </c>
    </row>
    <row r="703" customFormat="false" ht="17.35" hidden="false" customHeight="false" outlineLevel="0" collapsed="false">
      <c r="A703" s="8" t="n">
        <v>702</v>
      </c>
      <c r="B703" s="9" t="s">
        <v>1741</v>
      </c>
      <c r="C703" s="8" t="n">
        <v>140</v>
      </c>
      <c r="D703" s="9" t="str">
        <f aca="false">INDEX(Radicals!$B$2:$B$215,MATCH(C703,Radicals!$A$2:$A$215,0))</f>
        <v>艸</v>
      </c>
      <c r="E703" s="10" t="str">
        <f aca="false">INDEX(Radicals!$G$2:$G$215,MATCH(C703,Radicals!$A$2:$A$215,0))</f>
        <v>grass, plant</v>
      </c>
      <c r="F703" s="8" t="n">
        <f aca="false">INDEX(Radicals!$D$2:$D$215,MATCH(C703,Radicals!$A$2:$A$215,0))</f>
        <v>6</v>
      </c>
      <c r="G703" s="8" t="n">
        <v>16</v>
      </c>
    </row>
    <row r="704" customFormat="false" ht="17.35" hidden="false" customHeight="false" outlineLevel="0" collapsed="false">
      <c r="A704" s="8" t="n">
        <v>703</v>
      </c>
      <c r="B704" s="9" t="s">
        <v>1742</v>
      </c>
      <c r="C704" s="8" t="n">
        <v>9</v>
      </c>
      <c r="D704" s="9" t="str">
        <f aca="false">INDEX(Radicals!$B$2:$B$215,MATCH(C704,Radicals!$A$2:$A$215,0))</f>
        <v>人</v>
      </c>
      <c r="E704" s="10" t="str">
        <f aca="false">INDEX(Radicals!$G$2:$G$215,MATCH(C704,Radicals!$A$2:$A$215,0))</f>
        <v>person</v>
      </c>
      <c r="F704" s="8" t="n">
        <f aca="false">INDEX(Radicals!$D$2:$D$215,MATCH(C704,Radicals!$A$2:$A$215,0))</f>
        <v>2</v>
      </c>
      <c r="G704" s="8" t="n">
        <v>6</v>
      </c>
    </row>
    <row r="705" customFormat="false" ht="17.35" hidden="false" customHeight="false" outlineLevel="0" collapsed="false">
      <c r="A705" s="8" t="n">
        <v>704</v>
      </c>
      <c r="B705" s="9" t="s">
        <v>1743</v>
      </c>
      <c r="C705" s="8" t="n">
        <v>85</v>
      </c>
      <c r="D705" s="9" t="str">
        <f aca="false">INDEX(Radicals!$B$2:$B$215,MATCH(C705,Radicals!$A$2:$A$215,0))</f>
        <v>水</v>
      </c>
      <c r="E705" s="10" t="str">
        <f aca="false">INDEX(Radicals!$G$2:$G$215,MATCH(C705,Radicals!$A$2:$A$215,0))</f>
        <v>water</v>
      </c>
      <c r="F705" s="8" t="n">
        <f aca="false">INDEX(Radicals!$D$2:$D$215,MATCH(C705,Radicals!$A$2:$A$215,0))</f>
        <v>4</v>
      </c>
      <c r="G705" s="8" t="n">
        <v>6</v>
      </c>
    </row>
    <row r="706" customFormat="false" ht="17.35" hidden="false" customHeight="false" outlineLevel="0" collapsed="false">
      <c r="A706" s="8" t="n">
        <v>705</v>
      </c>
      <c r="B706" s="9" t="s">
        <v>1744</v>
      </c>
      <c r="C706" s="8" t="n">
        <v>85</v>
      </c>
      <c r="D706" s="9" t="str">
        <f aca="false">INDEX(Radicals!$B$2:$B$215,MATCH(C706,Radicals!$A$2:$A$215,0))</f>
        <v>水</v>
      </c>
      <c r="E706" s="10" t="str">
        <f aca="false">INDEX(Radicals!$G$2:$G$215,MATCH(C706,Radicals!$A$2:$A$215,0))</f>
        <v>water</v>
      </c>
      <c r="F706" s="8" t="n">
        <f aca="false">INDEX(Radicals!$D$2:$D$215,MATCH(C706,Radicals!$A$2:$A$215,0))</f>
        <v>4</v>
      </c>
      <c r="G706" s="8" t="n">
        <v>11</v>
      </c>
    </row>
    <row r="707" customFormat="false" ht="17.35" hidden="false" customHeight="false" outlineLevel="0" collapsed="false">
      <c r="A707" s="8" t="n">
        <v>706</v>
      </c>
      <c r="B707" s="9" t="s">
        <v>1745</v>
      </c>
      <c r="C707" s="8" t="n">
        <v>124</v>
      </c>
      <c r="D707" s="9" t="str">
        <f aca="false">INDEX(Radicals!$B$2:$B$215,MATCH(C707,Radicals!$A$2:$A$215,0))</f>
        <v>羽</v>
      </c>
      <c r="E707" s="10" t="str">
        <f aca="false">INDEX(Radicals!$G$2:$G$215,MATCH(C707,Radicals!$A$2:$A$215,0))</f>
        <v>feather, wing</v>
      </c>
      <c r="F707" s="8" t="n">
        <f aca="false">INDEX(Radicals!$D$2:$D$215,MATCH(C707,Radicals!$A$2:$A$215,0))</f>
        <v>6</v>
      </c>
      <c r="G707" s="8" t="n">
        <v>11</v>
      </c>
    </row>
    <row r="708" customFormat="false" ht="17.35" hidden="false" customHeight="false" outlineLevel="0" collapsed="false">
      <c r="A708" s="8" t="n">
        <v>707</v>
      </c>
      <c r="B708" s="9" t="s">
        <v>1746</v>
      </c>
      <c r="C708" s="8" t="n">
        <v>170</v>
      </c>
      <c r="D708" s="9" t="str">
        <f aca="false">INDEX(Radicals!$B$2:$B$215,MATCH(C708,Radicals!$A$2:$A$215,0))</f>
        <v>阜</v>
      </c>
      <c r="E708" s="10" t="str">
        <f aca="false">INDEX(Radicals!$G$2:$G$215,MATCH(C708,Radicals!$A$2:$A$215,0))</f>
        <v>mound, hill</v>
      </c>
      <c r="F708" s="8" t="n">
        <f aca="false">INDEX(Radicals!$D$2:$D$215,MATCH(C708,Radicals!$A$2:$A$215,0))</f>
        <v>8</v>
      </c>
      <c r="G708" s="8" t="n">
        <v>11</v>
      </c>
    </row>
    <row r="709" customFormat="false" ht="17.35" hidden="false" customHeight="false" outlineLevel="0" collapsed="false">
      <c r="A709" s="8" t="n">
        <v>708</v>
      </c>
      <c r="B709" s="9" t="s">
        <v>1747</v>
      </c>
      <c r="C709" s="8" t="n">
        <v>181</v>
      </c>
      <c r="D709" s="9" t="str">
        <f aca="false">INDEX(Radicals!$B$2:$B$215,MATCH(C709,Radicals!$A$2:$A$215,0))</f>
        <v>頁</v>
      </c>
      <c r="E709" s="10" t="str">
        <f aca="false">INDEX(Radicals!$G$2:$G$215,MATCH(C709,Radicals!$A$2:$A$215,0))</f>
        <v>page, leaf (head)</v>
      </c>
      <c r="F709" s="8" t="n">
        <f aca="false">INDEX(Radicals!$D$2:$D$215,MATCH(C709,Radicals!$A$2:$A$215,0))</f>
        <v>9</v>
      </c>
      <c r="G709" s="8" t="n">
        <v>16</v>
      </c>
    </row>
    <row r="710" customFormat="false" ht="17.35" hidden="false" customHeight="false" outlineLevel="0" collapsed="false">
      <c r="A710" s="8" t="n">
        <v>709</v>
      </c>
      <c r="B710" s="9" t="s">
        <v>1748</v>
      </c>
      <c r="C710" s="8" t="n">
        <v>9</v>
      </c>
      <c r="D710" s="9" t="str">
        <f aca="false">INDEX(Radicals!$B$2:$B$215,MATCH(C710,Radicals!$A$2:$A$215,0))</f>
        <v>人</v>
      </c>
      <c r="E710" s="10" t="str">
        <f aca="false">INDEX(Radicals!$G$2:$G$215,MATCH(C710,Radicals!$A$2:$A$215,0))</f>
        <v>person</v>
      </c>
      <c r="F710" s="8" t="n">
        <f aca="false">INDEX(Radicals!$D$2:$D$215,MATCH(C710,Radicals!$A$2:$A$215,0))</f>
        <v>2</v>
      </c>
      <c r="G710" s="8" t="n">
        <v>14</v>
      </c>
    </row>
    <row r="711" customFormat="false" ht="17.35" hidden="false" customHeight="false" outlineLevel="0" collapsed="false">
      <c r="A711" s="8" t="n">
        <v>710</v>
      </c>
      <c r="B711" s="9" t="s">
        <v>1749</v>
      </c>
      <c r="C711" s="8" t="n">
        <v>147</v>
      </c>
      <c r="D711" s="9" t="str">
        <f aca="false">INDEX(Radicals!$B$2:$B$215,MATCH(C711,Radicals!$A$2:$A$215,0))</f>
        <v>見</v>
      </c>
      <c r="E711" s="10" t="str">
        <f aca="false">INDEX(Radicals!$G$2:$G$215,MATCH(C711,Radicals!$A$2:$A$215,0))</f>
        <v>see</v>
      </c>
      <c r="F711" s="8" t="n">
        <f aca="false">INDEX(Radicals!$D$2:$D$215,MATCH(C711,Radicals!$A$2:$A$215,0))</f>
        <v>7</v>
      </c>
      <c r="G711" s="8" t="n">
        <v>12</v>
      </c>
    </row>
    <row r="712" customFormat="false" ht="17.35" hidden="false" customHeight="false" outlineLevel="0" collapsed="false">
      <c r="A712" s="8" t="n">
        <v>711</v>
      </c>
      <c r="B712" s="9" t="s">
        <v>1750</v>
      </c>
      <c r="C712" s="8" t="n">
        <v>30</v>
      </c>
      <c r="D712" s="9" t="str">
        <f aca="false">INDEX(Radicals!$B$2:$B$215,MATCH(C712,Radicals!$A$2:$A$215,0))</f>
        <v>口</v>
      </c>
      <c r="E712" s="10" t="str">
        <f aca="false">INDEX(Radicals!$G$2:$G$215,MATCH(C712,Radicals!$A$2:$A$215,0))</f>
        <v>mouth</v>
      </c>
      <c r="F712" s="8" t="n">
        <f aca="false">INDEX(Radicals!$D$2:$D$215,MATCH(C712,Radicals!$A$2:$A$215,0))</f>
        <v>3</v>
      </c>
      <c r="G712" s="8" t="n">
        <v>6</v>
      </c>
    </row>
    <row r="713" customFormat="false" ht="17.35" hidden="false" customHeight="false" outlineLevel="0" collapsed="false">
      <c r="A713" s="8" t="n">
        <v>712</v>
      </c>
      <c r="B713" s="9" t="s">
        <v>1751</v>
      </c>
      <c r="C713" s="8" t="n">
        <v>108</v>
      </c>
      <c r="D713" s="9" t="str">
        <f aca="false">INDEX(Radicals!$B$2:$B$215,MATCH(C713,Radicals!$A$2:$A$215,0))</f>
        <v>皿</v>
      </c>
      <c r="E713" s="10" t="str">
        <f aca="false">INDEX(Radicals!$G$2:$G$215,MATCH(C713,Radicals!$A$2:$A$215,0))</f>
        <v>dish</v>
      </c>
      <c r="F713" s="8" t="n">
        <f aca="false">INDEX(Radicals!$D$2:$D$215,MATCH(C713,Radicals!$A$2:$A$215,0))</f>
        <v>5</v>
      </c>
      <c r="G713" s="8" t="n">
        <v>11</v>
      </c>
    </row>
    <row r="714" customFormat="false" ht="17.35" hidden="false" customHeight="false" outlineLevel="0" collapsed="false">
      <c r="A714" s="8" t="n">
        <v>713</v>
      </c>
      <c r="B714" s="9" t="s">
        <v>1752</v>
      </c>
      <c r="C714" s="8" t="n">
        <v>137</v>
      </c>
      <c r="D714" s="9" t="str">
        <f aca="false">INDEX(Radicals!$B$2:$B$215,MATCH(C714,Radicals!$A$2:$A$215,0))</f>
        <v>舟</v>
      </c>
      <c r="E714" s="10" t="str">
        <f aca="false">INDEX(Radicals!$G$2:$G$215,MATCH(C714,Radicals!$A$2:$A$215,0))</f>
        <v>boat</v>
      </c>
      <c r="F714" s="8" t="n">
        <f aca="false">INDEX(Radicals!$D$2:$D$215,MATCH(C714,Radicals!$A$2:$A$215,0))</f>
        <v>6</v>
      </c>
      <c r="G714" s="8" t="n">
        <v>11</v>
      </c>
    </row>
    <row r="715" customFormat="false" ht="17.35" hidden="false" customHeight="false" outlineLevel="0" collapsed="false">
      <c r="A715" s="8" t="n">
        <v>714</v>
      </c>
      <c r="B715" s="9" t="s">
        <v>1753</v>
      </c>
      <c r="C715" s="8" t="n">
        <v>9</v>
      </c>
      <c r="D715" s="9" t="str">
        <f aca="false">INDEX(Radicals!$B$2:$B$215,MATCH(C715,Radicals!$A$2:$A$215,0))</f>
        <v>人</v>
      </c>
      <c r="E715" s="10" t="str">
        <f aca="false">INDEX(Radicals!$G$2:$G$215,MATCH(C715,Radicals!$A$2:$A$215,0))</f>
        <v>person</v>
      </c>
      <c r="F715" s="8" t="n">
        <f aca="false">INDEX(Radicals!$D$2:$D$215,MATCH(C715,Radicals!$A$2:$A$215,0))</f>
        <v>2</v>
      </c>
      <c r="G715" s="8" t="n">
        <v>10</v>
      </c>
    </row>
    <row r="716" customFormat="false" ht="17.35" hidden="false" customHeight="false" outlineLevel="0" collapsed="false">
      <c r="A716" s="8" t="n">
        <v>715</v>
      </c>
      <c r="B716" s="9" t="s">
        <v>1754</v>
      </c>
      <c r="C716" s="8" t="n">
        <v>32</v>
      </c>
      <c r="D716" s="9" t="str">
        <f aca="false">INDEX(Radicals!$B$2:$B$215,MATCH(C716,Radicals!$A$2:$A$215,0))</f>
        <v>土</v>
      </c>
      <c r="E716" s="10" t="str">
        <f aca="false">INDEX(Radicals!$G$2:$G$215,MATCH(C716,Radicals!$A$2:$A$215,0))</f>
        <v>earth, soil</v>
      </c>
      <c r="F716" s="8" t="n">
        <f aca="false">INDEX(Radicals!$D$2:$D$215,MATCH(C716,Radicals!$A$2:$A$215,0))</f>
        <v>3</v>
      </c>
      <c r="G716" s="8" t="n">
        <v>7</v>
      </c>
    </row>
    <row r="717" customFormat="false" ht="17.35" hidden="false" customHeight="false" outlineLevel="0" collapsed="false">
      <c r="A717" s="8" t="n">
        <v>716</v>
      </c>
      <c r="B717" s="9" t="s">
        <v>1755</v>
      </c>
      <c r="C717" s="8" t="n">
        <v>9</v>
      </c>
      <c r="D717" s="9" t="str">
        <f aca="false">INDEX(Radicals!$B$2:$B$215,MATCH(C717,Radicals!$A$2:$A$215,0))</f>
        <v>人</v>
      </c>
      <c r="E717" s="10" t="str">
        <f aca="false">INDEX(Radicals!$G$2:$G$215,MATCH(C717,Radicals!$A$2:$A$215,0))</f>
        <v>person</v>
      </c>
      <c r="F717" s="8" t="n">
        <f aca="false">INDEX(Radicals!$D$2:$D$215,MATCH(C717,Radicals!$A$2:$A$215,0))</f>
        <v>2</v>
      </c>
      <c r="G717" s="8" t="n">
        <v>15</v>
      </c>
    </row>
    <row r="718" customFormat="false" ht="17.35" hidden="false" customHeight="false" outlineLevel="0" collapsed="false">
      <c r="A718" s="8" t="n">
        <v>717</v>
      </c>
      <c r="B718" s="9" t="s">
        <v>1756</v>
      </c>
      <c r="C718" s="8" t="n">
        <v>162</v>
      </c>
      <c r="D718" s="9" t="str">
        <f aca="false">INDEX(Radicals!$B$2:$B$215,MATCH(C718,Radicals!$A$2:$A$215,0))</f>
        <v>辵</v>
      </c>
      <c r="E718" s="10" t="str">
        <f aca="false">INDEX(Radicals!$G$2:$G$215,MATCH(C718,Radicals!$A$2:$A$215,0))</f>
        <v>walk, movement</v>
      </c>
      <c r="F718" s="8" t="n">
        <f aca="false">INDEX(Radicals!$D$2:$D$215,MATCH(C718,Radicals!$A$2:$A$215,0))</f>
        <v>7</v>
      </c>
      <c r="G718" s="8" t="n">
        <v>10</v>
      </c>
    </row>
    <row r="719" customFormat="false" ht="17.35" hidden="false" customHeight="false" outlineLevel="0" collapsed="false">
      <c r="A719" s="8" t="n">
        <v>718</v>
      </c>
      <c r="B719" s="9" t="s">
        <v>1757</v>
      </c>
      <c r="C719" s="8" t="n">
        <v>32</v>
      </c>
      <c r="D719" s="9" t="str">
        <f aca="false">INDEX(Radicals!$B$2:$B$215,MATCH(C719,Radicals!$A$2:$A$215,0))</f>
        <v>土</v>
      </c>
      <c r="E719" s="10" t="str">
        <f aca="false">INDEX(Radicals!$G$2:$G$215,MATCH(C719,Radicals!$A$2:$A$215,0))</f>
        <v>earth, soil</v>
      </c>
      <c r="F719" s="8" t="n">
        <f aca="false">INDEX(Radicals!$D$2:$D$215,MATCH(C719,Radicals!$A$2:$A$215,0))</f>
        <v>3</v>
      </c>
      <c r="G719" s="8" t="n">
        <v>5</v>
      </c>
    </row>
    <row r="720" customFormat="false" ht="17.35" hidden="false" customHeight="false" outlineLevel="0" collapsed="false">
      <c r="A720" s="8" t="n">
        <v>719</v>
      </c>
      <c r="B720" s="9" t="s">
        <v>1758</v>
      </c>
      <c r="C720" s="8" t="n">
        <v>140</v>
      </c>
      <c r="D720" s="9" t="str">
        <f aca="false">INDEX(Radicals!$B$2:$B$215,MATCH(C720,Radicals!$A$2:$A$215,0))</f>
        <v>艸</v>
      </c>
      <c r="E720" s="10" t="str">
        <f aca="false">INDEX(Radicals!$G$2:$G$215,MATCH(C720,Radicals!$A$2:$A$215,0))</f>
        <v>grass, plant</v>
      </c>
      <c r="F720" s="8" t="n">
        <f aca="false">INDEX(Radicals!$D$2:$D$215,MATCH(C720,Radicals!$A$2:$A$215,0))</f>
        <v>6</v>
      </c>
      <c r="G720" s="8" t="n">
        <v>7</v>
      </c>
    </row>
    <row r="721" customFormat="false" ht="17.35" hidden="false" customHeight="false" outlineLevel="0" collapsed="false">
      <c r="A721" s="8" t="n">
        <v>720</v>
      </c>
      <c r="B721" s="9" t="s">
        <v>1759</v>
      </c>
      <c r="C721" s="8" t="n">
        <v>149</v>
      </c>
      <c r="D721" s="9" t="str">
        <f aca="false">INDEX(Radicals!$B$2:$B$215,MATCH(C721,Radicals!$A$2:$A$215,0))</f>
        <v>言</v>
      </c>
      <c r="E721" s="10" t="str">
        <f aca="false">INDEX(Radicals!$G$2:$G$215,MATCH(C721,Radicals!$A$2:$A$215,0))</f>
        <v>speech, say</v>
      </c>
      <c r="F721" s="8" t="n">
        <f aca="false">INDEX(Radicals!$D$2:$D$215,MATCH(C721,Radicals!$A$2:$A$215,0))</f>
        <v>7</v>
      </c>
      <c r="G721" s="8" t="n">
        <v>11</v>
      </c>
    </row>
    <row r="722" customFormat="false" ht="17.35" hidden="false" customHeight="false" outlineLevel="0" collapsed="false">
      <c r="A722" s="8" t="n">
        <v>721</v>
      </c>
      <c r="B722" s="9" t="s">
        <v>1760</v>
      </c>
      <c r="C722" s="8" t="n">
        <v>106</v>
      </c>
      <c r="D722" s="9" t="str">
        <f aca="false">INDEX(Radicals!$B$2:$B$215,MATCH(C722,Radicals!$A$2:$A$215,0))</f>
        <v>白</v>
      </c>
      <c r="E722" s="10" t="str">
        <f aca="false">INDEX(Radicals!$G$2:$G$215,MATCH(C722,Radicals!$A$2:$A$215,0))</f>
        <v>white</v>
      </c>
      <c r="F722" s="8" t="n">
        <f aca="false">INDEX(Radicals!$D$2:$D$215,MATCH(C722,Radicals!$A$2:$A$215,0))</f>
        <v>5</v>
      </c>
      <c r="G722" s="8" t="n">
        <v>9</v>
      </c>
    </row>
    <row r="723" customFormat="false" ht="17.35" hidden="false" customHeight="false" outlineLevel="0" collapsed="false">
      <c r="A723" s="8" t="n">
        <v>722</v>
      </c>
      <c r="B723" s="9" t="s">
        <v>1761</v>
      </c>
      <c r="C723" s="8" t="n">
        <v>131</v>
      </c>
      <c r="D723" s="9" t="str">
        <f aca="false">INDEX(Radicals!$B$2:$B$215,MATCH(C723,Radicals!$A$2:$A$215,0))</f>
        <v>臣</v>
      </c>
      <c r="E723" s="10" t="str">
        <f aca="false">INDEX(Radicals!$G$2:$G$215,MATCH(C723,Radicals!$A$2:$A$215,0))</f>
        <v>minister, retainer</v>
      </c>
      <c r="F723" s="8" t="n">
        <f aca="false">INDEX(Radicals!$D$2:$D$215,MATCH(C723,Radicals!$A$2:$A$215,0))</f>
        <v>6</v>
      </c>
      <c r="G723" s="8" t="n">
        <v>18</v>
      </c>
    </row>
    <row r="724" customFormat="false" ht="17.35" hidden="false" customHeight="false" outlineLevel="0" collapsed="false">
      <c r="A724" s="8" t="n">
        <v>723</v>
      </c>
      <c r="B724" s="9" t="s">
        <v>1762</v>
      </c>
      <c r="C724" s="8" t="n">
        <v>157</v>
      </c>
      <c r="D724" s="9" t="str">
        <f aca="false">INDEX(Radicals!$B$2:$B$215,MATCH(C724,Radicals!$A$2:$A$215,0))</f>
        <v>足</v>
      </c>
      <c r="E724" s="10" t="str">
        <f aca="false">INDEX(Radicals!$G$2:$G$215,MATCH(C724,Radicals!$A$2:$A$215,0))</f>
        <v>foot, leg</v>
      </c>
      <c r="F724" s="8" t="n">
        <f aca="false">INDEX(Radicals!$D$2:$D$215,MATCH(C724,Radicals!$A$2:$A$215,0))</f>
        <v>7</v>
      </c>
      <c r="G724" s="8" t="n">
        <v>15</v>
      </c>
    </row>
    <row r="725" customFormat="false" ht="17.35" hidden="false" customHeight="false" outlineLevel="0" collapsed="false">
      <c r="A725" s="8" t="n">
        <v>724</v>
      </c>
      <c r="B725" s="9" t="s">
        <v>1763</v>
      </c>
      <c r="C725" s="8" t="n">
        <v>187</v>
      </c>
      <c r="D725" s="9" t="str">
        <f aca="false">INDEX(Radicals!$B$2:$B$215,MATCH(C725,Radicals!$A$2:$A$215,0))</f>
        <v>馬</v>
      </c>
      <c r="E725" s="10" t="str">
        <f aca="false">INDEX(Radicals!$G$2:$G$215,MATCH(C725,Radicals!$A$2:$A$215,0))</f>
        <v>horse</v>
      </c>
      <c r="F725" s="8" t="n">
        <f aca="false">INDEX(Radicals!$D$2:$D$215,MATCH(C725,Radicals!$A$2:$A$215,0))</f>
        <v>10</v>
      </c>
      <c r="G725" s="8" t="n">
        <v>14</v>
      </c>
    </row>
    <row r="726" customFormat="false" ht="17.35" hidden="false" customHeight="false" outlineLevel="0" collapsed="false">
      <c r="A726" s="8" t="n">
        <v>725</v>
      </c>
      <c r="B726" s="9" t="s">
        <v>1764</v>
      </c>
      <c r="C726" s="8" t="n">
        <v>122</v>
      </c>
      <c r="D726" s="9" t="str">
        <f aca="false">INDEX(Radicals!$B$2:$B$215,MATCH(C726,Radicals!$A$2:$A$215,0))</f>
        <v>网</v>
      </c>
      <c r="E726" s="10" t="str">
        <f aca="false">INDEX(Radicals!$G$2:$G$215,MATCH(C726,Radicals!$A$2:$A$215,0))</f>
        <v>net</v>
      </c>
      <c r="F726" s="8" t="n">
        <f aca="false">INDEX(Radicals!$D$2:$D$215,MATCH(C726,Radicals!$A$2:$A$215,0))</f>
        <v>6</v>
      </c>
      <c r="G726" s="8" t="n">
        <v>13</v>
      </c>
    </row>
    <row r="727" customFormat="false" ht="17.35" hidden="false" customHeight="false" outlineLevel="0" collapsed="false">
      <c r="A727" s="8" t="n">
        <v>726</v>
      </c>
      <c r="B727" s="9" t="s">
        <v>1765</v>
      </c>
      <c r="C727" s="8" t="n">
        <v>64</v>
      </c>
      <c r="D727" s="9" t="str">
        <f aca="false">INDEX(Radicals!$B$2:$B$215,MATCH(C727,Radicals!$A$2:$A$215,0))</f>
        <v>手</v>
      </c>
      <c r="E727" s="10" t="str">
        <f aca="false">INDEX(Radicals!$G$2:$G$215,MATCH(C727,Radicals!$A$2:$A$215,0))</f>
        <v>hand</v>
      </c>
      <c r="F727" s="8" t="n">
        <f aca="false">INDEX(Radicals!$D$2:$D$215,MATCH(C727,Radicals!$A$2:$A$215,0))</f>
        <v>4</v>
      </c>
      <c r="G727" s="8" t="n">
        <v>7</v>
      </c>
    </row>
    <row r="728" customFormat="false" ht="17.35" hidden="false" customHeight="false" outlineLevel="0" collapsed="false">
      <c r="A728" s="8" t="n">
        <v>727</v>
      </c>
      <c r="B728" s="9" t="s">
        <v>1766</v>
      </c>
      <c r="C728" s="8" t="n">
        <v>32</v>
      </c>
      <c r="D728" s="9" t="str">
        <f aca="false">INDEX(Radicals!$B$2:$B$215,MATCH(C728,Radicals!$A$2:$A$215,0))</f>
        <v>土</v>
      </c>
      <c r="E728" s="10" t="str">
        <f aca="false">INDEX(Radicals!$G$2:$G$215,MATCH(C728,Radicals!$A$2:$A$215,0))</f>
        <v>earth, soil</v>
      </c>
      <c r="F728" s="8" t="n">
        <f aca="false">INDEX(Radicals!$D$2:$D$215,MATCH(C728,Radicals!$A$2:$A$215,0))</f>
        <v>3</v>
      </c>
      <c r="G728" s="8" t="n">
        <v>16</v>
      </c>
    </row>
    <row r="729" customFormat="false" ht="17.35" hidden="false" customHeight="false" outlineLevel="0" collapsed="false">
      <c r="A729" s="8" t="n">
        <v>728</v>
      </c>
      <c r="B729" s="9" t="s">
        <v>1767</v>
      </c>
      <c r="C729" s="8" t="n">
        <v>9</v>
      </c>
      <c r="D729" s="9" t="str">
        <f aca="false">INDEX(Radicals!$B$2:$B$215,MATCH(C729,Radicals!$A$2:$A$215,0))</f>
        <v>人</v>
      </c>
      <c r="E729" s="10" t="str">
        <f aca="false">INDEX(Radicals!$G$2:$G$215,MATCH(C729,Radicals!$A$2:$A$215,0))</f>
        <v>person</v>
      </c>
      <c r="F729" s="8" t="n">
        <f aca="false">INDEX(Radicals!$D$2:$D$215,MATCH(C729,Radicals!$A$2:$A$215,0))</f>
        <v>2</v>
      </c>
      <c r="G729" s="8" t="n">
        <v>13</v>
      </c>
    </row>
    <row r="730" customFormat="false" ht="17.35" hidden="false" customHeight="false" outlineLevel="0" collapsed="false">
      <c r="A730" s="8" t="n">
        <v>729</v>
      </c>
      <c r="B730" s="9" t="s">
        <v>1768</v>
      </c>
      <c r="C730" s="8" t="n">
        <v>9</v>
      </c>
      <c r="D730" s="9" t="str">
        <f aca="false">INDEX(Radicals!$B$2:$B$215,MATCH(C730,Radicals!$A$2:$A$215,0))</f>
        <v>人</v>
      </c>
      <c r="E730" s="10" t="str">
        <f aca="false">INDEX(Radicals!$G$2:$G$215,MATCH(C730,Radicals!$A$2:$A$215,0))</f>
        <v>person</v>
      </c>
      <c r="F730" s="8" t="n">
        <f aca="false">INDEX(Radicals!$D$2:$D$215,MATCH(C730,Radicals!$A$2:$A$215,0))</f>
        <v>2</v>
      </c>
      <c r="G730" s="8" t="n">
        <v>9</v>
      </c>
    </row>
    <row r="731" customFormat="false" ht="17.35" hidden="false" customHeight="false" outlineLevel="0" collapsed="false">
      <c r="A731" s="8" t="n">
        <v>730</v>
      </c>
      <c r="B731" s="9" t="s">
        <v>1769</v>
      </c>
      <c r="C731" s="8" t="n">
        <v>9</v>
      </c>
      <c r="D731" s="9" t="str">
        <f aca="false">INDEX(Radicals!$B$2:$B$215,MATCH(C731,Radicals!$A$2:$A$215,0))</f>
        <v>人</v>
      </c>
      <c r="E731" s="10" t="str">
        <f aca="false">INDEX(Radicals!$G$2:$G$215,MATCH(C731,Radicals!$A$2:$A$215,0))</f>
        <v>person</v>
      </c>
      <c r="F731" s="8" t="n">
        <f aca="false">INDEX(Radicals!$D$2:$D$215,MATCH(C731,Radicals!$A$2:$A$215,0))</f>
        <v>2</v>
      </c>
      <c r="G731" s="8" t="n">
        <v>7</v>
      </c>
    </row>
    <row r="732" customFormat="false" ht="17.35" hidden="false" customHeight="false" outlineLevel="0" collapsed="false">
      <c r="A732" s="8" t="n">
        <v>731</v>
      </c>
      <c r="B732" s="9" t="s">
        <v>1770</v>
      </c>
      <c r="C732" s="8" t="n">
        <v>102</v>
      </c>
      <c r="D732" s="9" t="str">
        <f aca="false">INDEX(Radicals!$B$2:$B$215,MATCH(C732,Radicals!$A$2:$A$215,0))</f>
        <v>田</v>
      </c>
      <c r="E732" s="10" t="str">
        <f aca="false">INDEX(Radicals!$G$2:$G$215,MATCH(C732,Radicals!$A$2:$A$215,0))</f>
        <v>field, paddy</v>
      </c>
      <c r="F732" s="8" t="n">
        <f aca="false">INDEX(Radicals!$D$2:$D$215,MATCH(C732,Radicals!$A$2:$A$215,0))</f>
        <v>5</v>
      </c>
      <c r="G732" s="8" t="n">
        <v>10</v>
      </c>
    </row>
    <row r="733" customFormat="false" ht="17.35" hidden="false" customHeight="false" outlineLevel="0" collapsed="false">
      <c r="A733" s="8" t="n">
        <v>732</v>
      </c>
      <c r="B733" s="9" t="s">
        <v>1771</v>
      </c>
      <c r="C733" s="8" t="n">
        <v>122</v>
      </c>
      <c r="D733" s="9" t="str">
        <f aca="false">INDEX(Radicals!$B$2:$B$215,MATCH(C733,Radicals!$A$2:$A$215,0))</f>
        <v>网</v>
      </c>
      <c r="E733" s="10" t="str">
        <f aca="false">INDEX(Radicals!$G$2:$G$215,MATCH(C733,Radicals!$A$2:$A$215,0))</f>
        <v>net</v>
      </c>
      <c r="F733" s="8" t="n">
        <f aca="false">INDEX(Radicals!$D$2:$D$215,MATCH(C733,Radicals!$A$2:$A$215,0))</f>
        <v>6</v>
      </c>
      <c r="G733" s="8" t="n">
        <v>13</v>
      </c>
    </row>
    <row r="734" customFormat="false" ht="17.35" hidden="false" customHeight="false" outlineLevel="0" collapsed="false">
      <c r="A734" s="8" t="n">
        <v>733</v>
      </c>
      <c r="B734" s="9" t="s">
        <v>1772</v>
      </c>
      <c r="C734" s="8" t="n">
        <v>9</v>
      </c>
      <c r="D734" s="9" t="str">
        <f aca="false">INDEX(Radicals!$B$2:$B$215,MATCH(C734,Radicals!$A$2:$A$215,0))</f>
        <v>人</v>
      </c>
      <c r="E734" s="10" t="str">
        <f aca="false">INDEX(Radicals!$G$2:$G$215,MATCH(C734,Radicals!$A$2:$A$215,0))</f>
        <v>person</v>
      </c>
      <c r="F734" s="8" t="n">
        <f aca="false">INDEX(Radicals!$D$2:$D$215,MATCH(C734,Radicals!$A$2:$A$215,0))</f>
        <v>2</v>
      </c>
      <c r="G734" s="8" t="n">
        <v>11</v>
      </c>
    </row>
    <row r="735" customFormat="false" ht="17.35" hidden="false" customHeight="false" outlineLevel="0" collapsed="false">
      <c r="A735" s="8" t="n">
        <v>734</v>
      </c>
      <c r="B735" s="9" t="s">
        <v>1773</v>
      </c>
      <c r="C735" s="8" t="n">
        <v>134</v>
      </c>
      <c r="D735" s="9" t="str">
        <f aca="false">INDEX(Radicals!$B$2:$B$215,MATCH(C735,Radicals!$A$2:$A$215,0))</f>
        <v>臼</v>
      </c>
      <c r="E735" s="10" t="str">
        <f aca="false">INDEX(Radicals!$G$2:$G$215,MATCH(C735,Radicals!$A$2:$A$215,0))</f>
        <v>mortar</v>
      </c>
      <c r="F735" s="8" t="n">
        <f aca="false">INDEX(Radicals!$D$2:$D$215,MATCH(C735,Radicals!$A$2:$A$215,0))</f>
        <v>6</v>
      </c>
      <c r="G735" s="8" t="n">
        <v>16</v>
      </c>
    </row>
    <row r="736" customFormat="false" ht="17.35" hidden="false" customHeight="false" outlineLevel="0" collapsed="false">
      <c r="A736" s="8" t="n">
        <v>735</v>
      </c>
      <c r="B736" s="9" t="s">
        <v>1774</v>
      </c>
      <c r="C736" s="8" t="n">
        <v>86</v>
      </c>
      <c r="D736" s="9" t="str">
        <f aca="false">INDEX(Radicals!$B$2:$B$215,MATCH(C736,Radicals!$A$2:$A$215,0))</f>
        <v>火</v>
      </c>
      <c r="E736" s="10" t="str">
        <f aca="false">INDEX(Radicals!$G$2:$G$215,MATCH(C736,Radicals!$A$2:$A$215,0))</f>
        <v>fire</v>
      </c>
      <c r="F736" s="8" t="n">
        <f aca="false">INDEX(Radicals!$D$2:$D$215,MATCH(C736,Radicals!$A$2:$A$215,0))</f>
        <v>4</v>
      </c>
      <c r="G736" s="8" t="n">
        <v>19</v>
      </c>
    </row>
    <row r="737" customFormat="false" ht="17.35" hidden="false" customHeight="false" outlineLevel="0" collapsed="false">
      <c r="A737" s="8" t="n">
        <v>736</v>
      </c>
      <c r="B737" s="9" t="s">
        <v>1775</v>
      </c>
      <c r="C737" s="8" t="n">
        <v>170</v>
      </c>
      <c r="D737" s="9" t="str">
        <f aca="false">INDEX(Radicals!$B$2:$B$215,MATCH(C737,Radicals!$A$2:$A$215,0))</f>
        <v>阜</v>
      </c>
      <c r="E737" s="10" t="str">
        <f aca="false">INDEX(Radicals!$G$2:$G$215,MATCH(C737,Radicals!$A$2:$A$215,0))</f>
        <v>mound, hill</v>
      </c>
      <c r="F737" s="8" t="n">
        <f aca="false">INDEX(Radicals!$D$2:$D$215,MATCH(C737,Radicals!$A$2:$A$215,0))</f>
        <v>8</v>
      </c>
      <c r="G737" s="8" t="n">
        <v>11</v>
      </c>
    </row>
    <row r="738" customFormat="false" ht="17.35" hidden="false" customHeight="false" outlineLevel="0" collapsed="false">
      <c r="A738" s="8" t="n">
        <v>737</v>
      </c>
      <c r="B738" s="9" t="s">
        <v>513</v>
      </c>
      <c r="C738" s="8" t="n">
        <v>96</v>
      </c>
      <c r="D738" s="9" t="str">
        <f aca="false">INDEX(Radicals!$B$2:$B$215,MATCH(C738,Radicals!$A$2:$A$215,0))</f>
        <v>玉</v>
      </c>
      <c r="E738" s="10" t="str">
        <f aca="false">INDEX(Radicals!$G$2:$G$215,MATCH(C738,Radicals!$A$2:$A$215,0))</f>
        <v>jade, king</v>
      </c>
      <c r="F738" s="8" t="n">
        <f aca="false">INDEX(Radicals!$D$2:$D$215,MATCH(C738,Radicals!$A$2:$A$215,0))</f>
        <v>5</v>
      </c>
      <c r="G738" s="8" t="n">
        <v>5</v>
      </c>
    </row>
    <row r="739" customFormat="false" ht="17.35" hidden="false" customHeight="false" outlineLevel="0" collapsed="false">
      <c r="A739" s="8" t="n">
        <v>738</v>
      </c>
      <c r="B739" s="9" t="s">
        <v>1776</v>
      </c>
      <c r="C739" s="8" t="n">
        <v>85</v>
      </c>
      <c r="D739" s="9" t="str">
        <f aca="false">INDEX(Radicals!$B$2:$B$215,MATCH(C739,Radicals!$A$2:$A$215,0))</f>
        <v>水</v>
      </c>
      <c r="E739" s="10" t="str">
        <f aca="false">INDEX(Radicals!$G$2:$G$215,MATCH(C739,Radicals!$A$2:$A$215,0))</f>
        <v>water</v>
      </c>
      <c r="F739" s="8" t="n">
        <f aca="false">INDEX(Radicals!$D$2:$D$215,MATCH(C739,Radicals!$A$2:$A$215,0))</f>
        <v>4</v>
      </c>
      <c r="G739" s="8" t="n">
        <v>13</v>
      </c>
    </row>
    <row r="740" customFormat="false" ht="17.35" hidden="false" customHeight="false" outlineLevel="0" collapsed="false">
      <c r="A740" s="8" t="n">
        <v>739</v>
      </c>
      <c r="B740" s="9" t="s">
        <v>1777</v>
      </c>
      <c r="C740" s="8" t="n">
        <v>9</v>
      </c>
      <c r="D740" s="9" t="str">
        <f aca="false">INDEX(Radicals!$B$2:$B$215,MATCH(C740,Radicals!$A$2:$A$215,0))</f>
        <v>人</v>
      </c>
      <c r="E740" s="10" t="str">
        <f aca="false">INDEX(Radicals!$G$2:$G$215,MATCH(C740,Radicals!$A$2:$A$215,0))</f>
        <v>person</v>
      </c>
      <c r="F740" s="8" t="n">
        <f aca="false">INDEX(Radicals!$D$2:$D$215,MATCH(C740,Radicals!$A$2:$A$215,0))</f>
        <v>2</v>
      </c>
      <c r="G740" s="8" t="n">
        <v>15</v>
      </c>
    </row>
    <row r="741" customFormat="false" ht="17.35" hidden="false" customHeight="false" outlineLevel="0" collapsed="false">
      <c r="A741" s="8" t="n">
        <v>740</v>
      </c>
      <c r="B741" s="9" t="s">
        <v>1778</v>
      </c>
      <c r="C741" s="8" t="n">
        <v>85</v>
      </c>
      <c r="D741" s="9" t="str">
        <f aca="false">INDEX(Radicals!$B$2:$B$215,MATCH(C741,Radicals!$A$2:$A$215,0))</f>
        <v>水</v>
      </c>
      <c r="E741" s="10" t="str">
        <f aca="false">INDEX(Radicals!$G$2:$G$215,MATCH(C741,Radicals!$A$2:$A$215,0))</f>
        <v>water</v>
      </c>
      <c r="F741" s="8" t="n">
        <f aca="false">INDEX(Radicals!$D$2:$D$215,MATCH(C741,Radicals!$A$2:$A$215,0))</f>
        <v>4</v>
      </c>
      <c r="G741" s="8" t="n">
        <v>8</v>
      </c>
    </row>
    <row r="742" customFormat="false" ht="17.35" hidden="false" customHeight="false" outlineLevel="0" collapsed="false">
      <c r="A742" s="8" t="n">
        <v>741</v>
      </c>
      <c r="B742" s="9" t="s">
        <v>1779</v>
      </c>
      <c r="C742" s="8" t="n">
        <v>18</v>
      </c>
      <c r="D742" s="9" t="str">
        <f aca="false">INDEX(Radicals!$B$2:$B$215,MATCH(C742,Radicals!$A$2:$A$215,0))</f>
        <v>刀</v>
      </c>
      <c r="E742" s="10" t="str">
        <f aca="false">INDEX(Radicals!$G$2:$G$215,MATCH(C742,Radicals!$A$2:$A$215,0))</f>
        <v>knife, sword</v>
      </c>
      <c r="F742" s="8" t="n">
        <f aca="false">INDEX(Radicals!$D$2:$D$215,MATCH(C742,Radicals!$A$2:$A$215,0))</f>
        <v>2</v>
      </c>
      <c r="G742" s="8" t="n">
        <v>12</v>
      </c>
    </row>
    <row r="743" customFormat="false" ht="17.35" hidden="false" customHeight="false" outlineLevel="0" collapsed="false">
      <c r="A743" s="8" t="n">
        <v>742</v>
      </c>
      <c r="B743" s="9" t="s">
        <v>1780</v>
      </c>
      <c r="C743" s="8" t="n">
        <v>170</v>
      </c>
      <c r="D743" s="9" t="str">
        <f aca="false">INDEX(Radicals!$B$2:$B$215,MATCH(C743,Radicals!$A$2:$A$215,0))</f>
        <v>阜</v>
      </c>
      <c r="E743" s="10" t="str">
        <f aca="false">INDEX(Radicals!$G$2:$G$215,MATCH(C743,Radicals!$A$2:$A$215,0))</f>
        <v>mound, hill</v>
      </c>
      <c r="F743" s="8" t="n">
        <f aca="false">INDEX(Radicals!$D$2:$D$215,MATCH(C743,Radicals!$A$2:$A$215,0))</f>
        <v>8</v>
      </c>
      <c r="G743" s="8" t="n">
        <v>14</v>
      </c>
    </row>
    <row r="744" customFormat="false" ht="17.35" hidden="false" customHeight="false" outlineLevel="0" collapsed="false">
      <c r="A744" s="8" t="n">
        <v>743</v>
      </c>
      <c r="B744" s="9" t="s">
        <v>1781</v>
      </c>
      <c r="C744" s="8" t="n">
        <v>120</v>
      </c>
      <c r="D744" s="9" t="str">
        <f aca="false">INDEX(Radicals!$B$2:$B$215,MATCH(C744,Radicals!$A$2:$A$215,0))</f>
        <v>糸</v>
      </c>
      <c r="E744" s="10" t="str">
        <f aca="false">INDEX(Radicals!$G$2:$G$215,MATCH(C744,Radicals!$A$2:$A$215,0))</f>
        <v>thread, silk</v>
      </c>
      <c r="F744" s="8" t="n">
        <f aca="false">INDEX(Radicals!$D$2:$D$215,MATCH(C744,Radicals!$A$2:$A$215,0))</f>
        <v>6</v>
      </c>
      <c r="G744" s="8" t="n">
        <v>13</v>
      </c>
    </row>
    <row r="745" customFormat="false" ht="17.35" hidden="false" customHeight="false" outlineLevel="0" collapsed="false">
      <c r="A745" s="8" t="n">
        <v>744</v>
      </c>
      <c r="B745" s="9" t="s">
        <v>1782</v>
      </c>
      <c r="C745" s="8" t="n">
        <v>118</v>
      </c>
      <c r="D745" s="9" t="str">
        <f aca="false">INDEX(Radicals!$B$2:$B$215,MATCH(C745,Radicals!$A$2:$A$215,0))</f>
        <v>竹</v>
      </c>
      <c r="E745" s="10" t="str">
        <f aca="false">INDEX(Radicals!$G$2:$G$215,MATCH(C745,Radicals!$A$2:$A$215,0))</f>
        <v>bamboo</v>
      </c>
      <c r="F745" s="8" t="n">
        <f aca="false">INDEX(Radicals!$D$2:$D$215,MATCH(C745,Radicals!$A$2:$A$215,0))</f>
        <v>6</v>
      </c>
      <c r="G745" s="8" t="n">
        <v>12</v>
      </c>
    </row>
    <row r="746" customFormat="false" ht="17.35" hidden="false" customHeight="false" outlineLevel="0" collapsed="false">
      <c r="A746" s="8" t="n">
        <v>745</v>
      </c>
      <c r="B746" s="9" t="s">
        <v>1783</v>
      </c>
      <c r="C746" s="8" t="n">
        <v>94</v>
      </c>
      <c r="D746" s="9" t="str">
        <f aca="false">INDEX(Radicals!$B$2:$B$215,MATCH(C746,Radicals!$A$2:$A$215,0))</f>
        <v>犬</v>
      </c>
      <c r="E746" s="10" t="str">
        <f aca="false">INDEX(Radicals!$G$2:$G$215,MATCH(C746,Radicals!$A$2:$A$215,0))</f>
        <v>dog</v>
      </c>
      <c r="F746" s="8" t="n">
        <f aca="false">INDEX(Radicals!$D$2:$D$215,MATCH(C746,Radicals!$A$2:$A$215,0))</f>
        <v>4</v>
      </c>
      <c r="G746" s="8" t="n">
        <v>8</v>
      </c>
    </row>
    <row r="747" customFormat="false" ht="17.35" hidden="false" customHeight="false" outlineLevel="0" collapsed="false">
      <c r="A747" s="8" t="n">
        <v>746</v>
      </c>
      <c r="B747" s="9" t="s">
        <v>1784</v>
      </c>
      <c r="C747" s="8" t="n">
        <v>50</v>
      </c>
      <c r="D747" s="9" t="str">
        <f aca="false">INDEX(Radicals!$B$2:$B$215,MATCH(C747,Radicals!$A$2:$A$215,0))</f>
        <v>巾</v>
      </c>
      <c r="E747" s="10" t="str">
        <f aca="false">INDEX(Radicals!$G$2:$G$215,MATCH(C747,Radicals!$A$2:$A$215,0))</f>
        <v>turban, cloth</v>
      </c>
      <c r="F747" s="8" t="n">
        <f aca="false">INDEX(Radicals!$D$2:$D$215,MATCH(C747,Radicals!$A$2:$A$215,0))</f>
        <v>3</v>
      </c>
      <c r="G747" s="8" t="n">
        <v>10</v>
      </c>
    </row>
    <row r="748" customFormat="false" ht="17.35" hidden="false" customHeight="false" outlineLevel="0" collapsed="false">
      <c r="A748" s="8" t="n">
        <v>747</v>
      </c>
      <c r="B748" s="9" t="s">
        <v>1785</v>
      </c>
      <c r="C748" s="8" t="n">
        <v>54</v>
      </c>
      <c r="D748" s="9" t="str">
        <f aca="false">INDEX(Radicals!$B$2:$B$215,MATCH(C748,Radicals!$A$2:$A$215,0))</f>
        <v>廴</v>
      </c>
      <c r="E748" s="10" t="str">
        <f aca="false">INDEX(Radicals!$G$2:$G$215,MATCH(C748,Radicals!$A$2:$A$215,0))</f>
        <v>long stride</v>
      </c>
      <c r="F748" s="8" t="n">
        <f aca="false">INDEX(Radicals!$D$2:$D$215,MATCH(C748,Radicals!$A$2:$A$215,0))</f>
        <v>3</v>
      </c>
      <c r="G748" s="8" t="n">
        <v>8</v>
      </c>
    </row>
    <row r="749" customFormat="false" ht="17.35" hidden="false" customHeight="false" outlineLevel="0" collapsed="false">
      <c r="A749" s="8" t="n">
        <v>748</v>
      </c>
      <c r="B749" s="9" t="s">
        <v>655</v>
      </c>
      <c r="C749" s="8" t="n">
        <v>124</v>
      </c>
      <c r="D749" s="9" t="str">
        <f aca="false">INDEX(Radicals!$B$2:$B$215,MATCH(C749,Radicals!$A$2:$A$215,0))</f>
        <v>羽</v>
      </c>
      <c r="E749" s="10" t="str">
        <f aca="false">INDEX(Radicals!$G$2:$G$215,MATCH(C749,Radicals!$A$2:$A$215,0))</f>
        <v>feather, wing</v>
      </c>
      <c r="F749" s="8" t="n">
        <f aca="false">INDEX(Radicals!$D$2:$D$215,MATCH(C749,Radicals!$A$2:$A$215,0))</f>
        <v>6</v>
      </c>
      <c r="G749" s="8" t="n">
        <v>6</v>
      </c>
    </row>
    <row r="750" customFormat="false" ht="17.35" hidden="false" customHeight="false" outlineLevel="0" collapsed="false">
      <c r="A750" s="8" t="n">
        <v>749</v>
      </c>
      <c r="B750" s="9" t="s">
        <v>1786</v>
      </c>
      <c r="C750" s="8" t="n">
        <v>19</v>
      </c>
      <c r="D750" s="9" t="str">
        <f aca="false">INDEX(Radicals!$B$2:$B$215,MATCH(C750,Radicals!$A$2:$A$215,0))</f>
        <v>力</v>
      </c>
      <c r="E750" s="10" t="str">
        <f aca="false">INDEX(Radicals!$G$2:$G$215,MATCH(C750,Radicals!$A$2:$A$215,0))</f>
        <v>power, strength</v>
      </c>
      <c r="F750" s="8" t="n">
        <f aca="false">INDEX(Radicals!$D$2:$D$215,MATCH(C750,Radicals!$A$2:$A$215,0))</f>
        <v>2</v>
      </c>
      <c r="G750" s="8" t="n">
        <v>7</v>
      </c>
    </row>
    <row r="751" customFormat="false" ht="17.35" hidden="false" customHeight="false" outlineLevel="0" collapsed="false">
      <c r="A751" s="8" t="n">
        <v>750</v>
      </c>
      <c r="B751" s="9" t="s">
        <v>1787</v>
      </c>
      <c r="C751" s="8" t="n">
        <v>31</v>
      </c>
      <c r="D751" s="9" t="str">
        <f aca="false">INDEX(Radicals!$B$2:$B$215,MATCH(C751,Radicals!$A$2:$A$215,0))</f>
        <v>囗</v>
      </c>
      <c r="E751" s="10" t="str">
        <f aca="false">INDEX(Radicals!$G$2:$G$215,MATCH(C751,Radicals!$A$2:$A$215,0))</f>
        <v>enclosure</v>
      </c>
      <c r="F751" s="8" t="n">
        <f aca="false">INDEX(Radicals!$D$2:$D$215,MATCH(C751,Radicals!$A$2:$A$215,0))</f>
        <v>3</v>
      </c>
      <c r="G751" s="8" t="n">
        <v>8</v>
      </c>
    </row>
    <row r="752" customFormat="false" ht="17.35" hidden="false" customHeight="false" outlineLevel="0" collapsed="false">
      <c r="A752" s="8" t="n">
        <v>751</v>
      </c>
      <c r="B752" s="9" t="s">
        <v>1788</v>
      </c>
      <c r="C752" s="8" t="n">
        <v>169</v>
      </c>
      <c r="D752" s="9" t="str">
        <f aca="false">INDEX(Radicals!$B$2:$B$215,MATCH(C752,Radicals!$A$2:$A$215,0))</f>
        <v>門</v>
      </c>
      <c r="E752" s="10" t="str">
        <f aca="false">INDEX(Radicals!$G$2:$G$215,MATCH(C752,Radicals!$A$2:$A$215,0))</f>
        <v>gate</v>
      </c>
      <c r="F752" s="8" t="n">
        <f aca="false">INDEX(Radicals!$D$2:$D$215,MATCH(C752,Radicals!$A$2:$A$215,0))</f>
        <v>8</v>
      </c>
      <c r="G752" s="8" t="n">
        <v>18</v>
      </c>
    </row>
    <row r="753" customFormat="false" ht="17.35" hidden="false" customHeight="false" outlineLevel="0" collapsed="false">
      <c r="A753" s="8" t="n">
        <v>752</v>
      </c>
      <c r="B753" s="9" t="s">
        <v>1789</v>
      </c>
      <c r="C753" s="8" t="n">
        <v>119</v>
      </c>
      <c r="D753" s="9" t="str">
        <f aca="false">INDEX(Radicals!$B$2:$B$215,MATCH(C753,Radicals!$A$2:$A$215,0))</f>
        <v>米</v>
      </c>
      <c r="E753" s="10" t="str">
        <f aca="false">INDEX(Radicals!$G$2:$G$215,MATCH(C753,Radicals!$A$2:$A$215,0))</f>
        <v>rice</v>
      </c>
      <c r="F753" s="8" t="n">
        <f aca="false">INDEX(Radicals!$D$2:$D$215,MATCH(C753,Radicals!$A$2:$A$215,0))</f>
        <v>6</v>
      </c>
      <c r="G753" s="8" t="n">
        <v>14</v>
      </c>
    </row>
    <row r="754" customFormat="false" ht="17.35" hidden="false" customHeight="false" outlineLevel="0" collapsed="false">
      <c r="A754" s="8" t="n">
        <v>753</v>
      </c>
      <c r="B754" s="9" t="s">
        <v>1790</v>
      </c>
      <c r="C754" s="8" t="n">
        <v>18</v>
      </c>
      <c r="D754" s="9" t="str">
        <f aca="false">INDEX(Radicals!$B$2:$B$215,MATCH(C754,Radicals!$A$2:$A$215,0))</f>
        <v>刀</v>
      </c>
      <c r="E754" s="10" t="str">
        <f aca="false">INDEX(Radicals!$G$2:$G$215,MATCH(C754,Radicals!$A$2:$A$215,0))</f>
        <v>knife, sword</v>
      </c>
      <c r="F754" s="8" t="n">
        <f aca="false">INDEX(Radicals!$D$2:$D$215,MATCH(C754,Radicals!$A$2:$A$215,0))</f>
        <v>2</v>
      </c>
      <c r="G754" s="8" t="n">
        <v>9</v>
      </c>
    </row>
    <row r="755" customFormat="false" ht="17.35" hidden="false" customHeight="false" outlineLevel="0" collapsed="false">
      <c r="A755" s="8" t="n">
        <v>754</v>
      </c>
      <c r="B755" s="9" t="s">
        <v>1791</v>
      </c>
      <c r="C755" s="8" t="n">
        <v>140</v>
      </c>
      <c r="D755" s="9" t="str">
        <f aca="false">INDEX(Radicals!$B$2:$B$215,MATCH(C755,Radicals!$A$2:$A$215,0))</f>
        <v>艸</v>
      </c>
      <c r="E755" s="10" t="str">
        <f aca="false">INDEX(Radicals!$G$2:$G$215,MATCH(C755,Radicals!$A$2:$A$215,0))</f>
        <v>grass, plant</v>
      </c>
      <c r="F755" s="8" t="n">
        <f aca="false">INDEX(Radicals!$D$2:$D$215,MATCH(C755,Radicals!$A$2:$A$215,0))</f>
        <v>6</v>
      </c>
      <c r="G755" s="8" t="n">
        <v>12</v>
      </c>
    </row>
    <row r="756" customFormat="false" ht="17.35" hidden="false" customHeight="false" outlineLevel="0" collapsed="false">
      <c r="A756" s="8" t="n">
        <v>755</v>
      </c>
      <c r="B756" s="9" t="s">
        <v>1792</v>
      </c>
      <c r="C756" s="8" t="n">
        <v>5</v>
      </c>
      <c r="D756" s="9" t="str">
        <f aca="false">INDEX(Radicals!$B$2:$B$215,MATCH(C756,Radicals!$A$2:$A$215,0))</f>
        <v>乙</v>
      </c>
      <c r="E756" s="10" t="str">
        <f aca="false">INDEX(Radicals!$G$2:$G$215,MATCH(C756,Radicals!$A$2:$A$215,0))</f>
        <v>second, hook</v>
      </c>
      <c r="F756" s="8" t="n">
        <f aca="false">INDEX(Radicals!$D$2:$D$215,MATCH(C756,Radicals!$A$2:$A$215,0))</f>
        <v>1</v>
      </c>
      <c r="G756" s="8" t="n">
        <v>7</v>
      </c>
    </row>
    <row r="757" customFormat="false" ht="17.35" hidden="false" customHeight="false" outlineLevel="0" collapsed="false">
      <c r="A757" s="8" t="n">
        <v>756</v>
      </c>
      <c r="B757" s="9" t="s">
        <v>1793</v>
      </c>
      <c r="C757" s="8" t="n">
        <v>162</v>
      </c>
      <c r="D757" s="9" t="str">
        <f aca="false">INDEX(Radicals!$B$2:$B$215,MATCH(C757,Radicals!$A$2:$A$215,0))</f>
        <v>辵</v>
      </c>
      <c r="E757" s="10" t="str">
        <f aca="false">INDEX(Radicals!$G$2:$G$215,MATCH(C757,Radicals!$A$2:$A$215,0))</f>
        <v>walk, movement</v>
      </c>
      <c r="F757" s="8" t="n">
        <f aca="false">INDEX(Radicals!$D$2:$D$215,MATCH(C757,Radicals!$A$2:$A$215,0))</f>
        <v>7</v>
      </c>
      <c r="G757" s="8" t="n">
        <v>16</v>
      </c>
    </row>
    <row r="758" customFormat="false" ht="17.35" hidden="false" customHeight="false" outlineLevel="0" collapsed="false">
      <c r="A758" s="8" t="n">
        <v>757</v>
      </c>
      <c r="B758" s="9" t="s">
        <v>1794</v>
      </c>
      <c r="C758" s="8" t="n">
        <v>72</v>
      </c>
      <c r="D758" s="9" t="str">
        <f aca="false">INDEX(Radicals!$B$2:$B$215,MATCH(C758,Radicals!$A$2:$A$215,0))</f>
        <v>日</v>
      </c>
      <c r="E758" s="10" t="str">
        <f aca="false">INDEX(Radicals!$G$2:$G$215,MATCH(C758,Radicals!$A$2:$A$215,0))</f>
        <v>sun, day</v>
      </c>
      <c r="F758" s="8" t="n">
        <f aca="false">INDEX(Radicals!$D$2:$D$215,MATCH(C758,Radicals!$A$2:$A$215,0))</f>
        <v>4</v>
      </c>
      <c r="G758" s="8" t="n">
        <v>12</v>
      </c>
    </row>
    <row r="759" customFormat="false" ht="17.35" hidden="false" customHeight="false" outlineLevel="0" collapsed="false">
      <c r="A759" s="8" t="n">
        <v>758</v>
      </c>
      <c r="B759" s="9" t="s">
        <v>1795</v>
      </c>
      <c r="C759" s="8" t="n">
        <v>66</v>
      </c>
      <c r="D759" s="9" t="str">
        <f aca="false">INDEX(Radicals!$B$2:$B$215,MATCH(C759,Radicals!$A$2:$A$215,0))</f>
        <v>攴</v>
      </c>
      <c r="E759" s="10" t="str">
        <f aca="false">INDEX(Radicals!$G$2:$G$215,MATCH(C759,Radicals!$A$2:$A$215,0))</f>
        <v>rap, tap, strike</v>
      </c>
      <c r="F759" s="8" t="n">
        <f aca="false">INDEX(Radicals!$D$2:$D$215,MATCH(C759,Radicals!$A$2:$A$215,0))</f>
        <v>4</v>
      </c>
      <c r="G759" s="8" t="n">
        <v>12</v>
      </c>
    </row>
    <row r="760" customFormat="false" ht="17.35" hidden="false" customHeight="false" outlineLevel="0" collapsed="false">
      <c r="A760" s="8" t="n">
        <v>759</v>
      </c>
      <c r="B760" s="9" t="s">
        <v>1796</v>
      </c>
      <c r="C760" s="8" t="n">
        <v>30</v>
      </c>
      <c r="D760" s="9" t="str">
        <f aca="false">INDEX(Radicals!$B$2:$B$215,MATCH(C760,Radicals!$A$2:$A$215,0))</f>
        <v>口</v>
      </c>
      <c r="E760" s="10" t="str">
        <f aca="false">INDEX(Radicals!$G$2:$G$215,MATCH(C760,Radicals!$A$2:$A$215,0))</f>
        <v>mouth</v>
      </c>
      <c r="F760" s="8" t="n">
        <f aca="false">INDEX(Radicals!$D$2:$D$215,MATCH(C760,Radicals!$A$2:$A$215,0))</f>
        <v>3</v>
      </c>
      <c r="G760" s="8" t="n">
        <v>5</v>
      </c>
    </row>
    <row r="761" customFormat="false" ht="17.35" hidden="false" customHeight="false" outlineLevel="0" collapsed="false">
      <c r="A761" s="8" t="n">
        <v>760</v>
      </c>
      <c r="B761" s="9" t="s">
        <v>1797</v>
      </c>
      <c r="C761" s="8" t="n">
        <v>53</v>
      </c>
      <c r="D761" s="9" t="str">
        <f aca="false">INDEX(Radicals!$B$2:$B$215,MATCH(C761,Radicals!$A$2:$A$215,0))</f>
        <v>广</v>
      </c>
      <c r="E761" s="10" t="str">
        <f aca="false">INDEX(Radicals!$G$2:$G$215,MATCH(C761,Radicals!$A$2:$A$215,0))</f>
        <v>dotted cliff, building</v>
      </c>
      <c r="F761" s="8" t="n">
        <f aca="false">INDEX(Radicals!$D$2:$D$215,MATCH(C761,Radicals!$A$2:$A$215,0))</f>
        <v>3</v>
      </c>
      <c r="G761" s="8" t="n">
        <v>11</v>
      </c>
    </row>
    <row r="762" customFormat="false" ht="17.35" hidden="false" customHeight="false" outlineLevel="0" collapsed="false">
      <c r="A762" s="8" t="n">
        <v>761</v>
      </c>
      <c r="B762" s="9" t="s">
        <v>1798</v>
      </c>
      <c r="C762" s="8" t="n">
        <v>85</v>
      </c>
      <c r="D762" s="9" t="str">
        <f aca="false">INDEX(Radicals!$B$2:$B$215,MATCH(C762,Radicals!$A$2:$A$215,0))</f>
        <v>水</v>
      </c>
      <c r="E762" s="10" t="str">
        <f aca="false">INDEX(Radicals!$G$2:$G$215,MATCH(C762,Radicals!$A$2:$A$215,0))</f>
        <v>water</v>
      </c>
      <c r="F762" s="8" t="n">
        <f aca="false">INDEX(Radicals!$D$2:$D$215,MATCH(C762,Radicals!$A$2:$A$215,0))</f>
        <v>4</v>
      </c>
      <c r="G762" s="8" t="n">
        <v>12</v>
      </c>
    </row>
    <row r="763" customFormat="false" ht="17.35" hidden="false" customHeight="false" outlineLevel="0" collapsed="false">
      <c r="A763" s="8" t="n">
        <v>762</v>
      </c>
      <c r="B763" s="9" t="s">
        <v>1799</v>
      </c>
      <c r="C763" s="8" t="n">
        <v>151</v>
      </c>
      <c r="D763" s="9" t="str">
        <f aca="false">INDEX(Radicals!$B$2:$B$215,MATCH(C763,Radicals!$A$2:$A$215,0))</f>
        <v>豆</v>
      </c>
      <c r="E763" s="10" t="str">
        <f aca="false">INDEX(Radicals!$G$2:$G$215,MATCH(C763,Radicals!$A$2:$A$215,0))</f>
        <v>bean</v>
      </c>
      <c r="F763" s="8" t="n">
        <f aca="false">INDEX(Radicals!$D$2:$D$215,MATCH(C763,Radicals!$A$2:$A$215,0))</f>
        <v>7</v>
      </c>
      <c r="G763" s="8" t="n">
        <v>13</v>
      </c>
    </row>
    <row r="764" customFormat="false" ht="17.35" hidden="false" customHeight="false" outlineLevel="0" collapsed="false">
      <c r="A764" s="8" t="n">
        <v>763</v>
      </c>
      <c r="B764" s="9" t="s">
        <v>1800</v>
      </c>
      <c r="C764" s="8" t="n">
        <v>85</v>
      </c>
      <c r="D764" s="9" t="str">
        <f aca="false">INDEX(Radicals!$B$2:$B$215,MATCH(C764,Radicals!$A$2:$A$215,0))</f>
        <v>水</v>
      </c>
      <c r="E764" s="10" t="str">
        <f aca="false">INDEX(Radicals!$G$2:$G$215,MATCH(C764,Radicals!$A$2:$A$215,0))</f>
        <v>water</v>
      </c>
      <c r="F764" s="8" t="n">
        <f aca="false">INDEX(Radicals!$D$2:$D$215,MATCH(C764,Radicals!$A$2:$A$215,0))</f>
        <v>4</v>
      </c>
      <c r="G764" s="8" t="n">
        <v>9</v>
      </c>
    </row>
    <row r="765" customFormat="false" ht="17.35" hidden="false" customHeight="false" outlineLevel="0" collapsed="false">
      <c r="A765" s="8" t="n">
        <v>764</v>
      </c>
      <c r="B765" s="9" t="s">
        <v>1801</v>
      </c>
      <c r="C765" s="8" t="n">
        <v>174</v>
      </c>
      <c r="D765" s="9" t="str">
        <f aca="false">INDEX(Radicals!$B$2:$B$215,MATCH(C765,Radicals!$A$2:$A$215,0))</f>
        <v>青</v>
      </c>
      <c r="E765" s="10" t="str">
        <f aca="false">INDEX(Radicals!$G$2:$G$215,MATCH(C765,Radicals!$A$2:$A$215,0))</f>
        <v>blue, green</v>
      </c>
      <c r="F765" s="8" t="n">
        <f aca="false">INDEX(Radicals!$D$2:$D$215,MATCH(C765,Radicals!$A$2:$A$215,0))</f>
        <v>8</v>
      </c>
      <c r="G765" s="8" t="n">
        <v>14</v>
      </c>
    </row>
    <row r="766" customFormat="false" ht="17.35" hidden="false" customHeight="false" outlineLevel="0" collapsed="false">
      <c r="A766" s="8" t="n">
        <v>765</v>
      </c>
      <c r="B766" s="9" t="s">
        <v>1802</v>
      </c>
      <c r="C766" s="8" t="n">
        <v>30</v>
      </c>
      <c r="D766" s="9" t="str">
        <f aca="false">INDEX(Radicals!$B$2:$B$215,MATCH(C766,Radicals!$A$2:$A$215,0))</f>
        <v>口</v>
      </c>
      <c r="E766" s="10" t="str">
        <f aca="false">INDEX(Radicals!$G$2:$G$215,MATCH(C766,Radicals!$A$2:$A$215,0))</f>
        <v>mouth</v>
      </c>
      <c r="F766" s="8" t="n">
        <f aca="false">INDEX(Radicals!$D$2:$D$215,MATCH(C766,Radicals!$A$2:$A$215,0))</f>
        <v>3</v>
      </c>
      <c r="G766" s="8" t="n">
        <v>12</v>
      </c>
    </row>
    <row r="767" customFormat="false" ht="17.35" hidden="false" customHeight="false" outlineLevel="0" collapsed="false">
      <c r="A767" s="8" t="n">
        <v>766</v>
      </c>
      <c r="B767" s="9" t="s">
        <v>1803</v>
      </c>
      <c r="C767" s="8" t="n">
        <v>162</v>
      </c>
      <c r="D767" s="9" t="str">
        <f aca="false">INDEX(Radicals!$B$2:$B$215,MATCH(C767,Radicals!$A$2:$A$215,0))</f>
        <v>辵</v>
      </c>
      <c r="E767" s="10" t="str">
        <f aca="false">INDEX(Radicals!$G$2:$G$215,MATCH(C767,Radicals!$A$2:$A$215,0))</f>
        <v>walk, movement</v>
      </c>
      <c r="F767" s="8" t="n">
        <f aca="false">INDEX(Radicals!$D$2:$D$215,MATCH(C767,Radicals!$A$2:$A$215,0))</f>
        <v>7</v>
      </c>
      <c r="G767" s="8" t="n">
        <v>11</v>
      </c>
    </row>
    <row r="768" customFormat="false" ht="17.35" hidden="false" customHeight="false" outlineLevel="0" collapsed="false">
      <c r="A768" s="8" t="n">
        <v>767</v>
      </c>
      <c r="B768" s="9" t="s">
        <v>1804</v>
      </c>
      <c r="C768" s="8" t="n">
        <v>38</v>
      </c>
      <c r="D768" s="9" t="str">
        <f aca="false">INDEX(Radicals!$B$2:$B$215,MATCH(C768,Radicals!$A$2:$A$215,0))</f>
        <v>女</v>
      </c>
      <c r="E768" s="10" t="str">
        <f aca="false">INDEX(Radicals!$G$2:$G$215,MATCH(C768,Radicals!$A$2:$A$215,0))</f>
        <v>woman</v>
      </c>
      <c r="F768" s="8" t="n">
        <f aca="false">INDEX(Radicals!$D$2:$D$215,MATCH(C768,Radicals!$A$2:$A$215,0))</f>
        <v>3</v>
      </c>
      <c r="G768" s="8" t="n">
        <v>11</v>
      </c>
    </row>
    <row r="769" customFormat="false" ht="17.35" hidden="false" customHeight="false" outlineLevel="0" collapsed="false">
      <c r="A769" s="8" t="n">
        <v>768</v>
      </c>
      <c r="B769" s="9" t="s">
        <v>1805</v>
      </c>
      <c r="C769" s="8" t="n">
        <v>27</v>
      </c>
      <c r="D769" s="9" t="str">
        <f aca="false">INDEX(Radicals!$B$2:$B$215,MATCH(C769,Radicals!$A$2:$A$215,0))</f>
        <v>厂</v>
      </c>
      <c r="E769" s="10" t="str">
        <f aca="false">INDEX(Radicals!$G$2:$G$215,MATCH(C769,Radicals!$A$2:$A$215,0))</f>
        <v>cliff</v>
      </c>
      <c r="F769" s="8" t="n">
        <f aca="false">INDEX(Radicals!$D$2:$D$215,MATCH(C769,Radicals!$A$2:$A$215,0))</f>
        <v>2</v>
      </c>
      <c r="G769" s="8" t="n">
        <v>9</v>
      </c>
    </row>
    <row r="770" customFormat="false" ht="17.35" hidden="false" customHeight="false" outlineLevel="0" collapsed="false">
      <c r="A770" s="8" t="n">
        <v>769</v>
      </c>
      <c r="B770" s="9" t="s">
        <v>1806</v>
      </c>
      <c r="C770" s="8" t="n">
        <v>30</v>
      </c>
      <c r="D770" s="9" t="str">
        <f aca="false">INDEX(Radicals!$B$2:$B$215,MATCH(C770,Radicals!$A$2:$A$215,0))</f>
        <v>口</v>
      </c>
      <c r="E770" s="10" t="str">
        <f aca="false">INDEX(Radicals!$G$2:$G$215,MATCH(C770,Radicals!$A$2:$A$215,0))</f>
        <v>mouth</v>
      </c>
      <c r="F770" s="8" t="n">
        <f aca="false">INDEX(Radicals!$D$2:$D$215,MATCH(C770,Radicals!$A$2:$A$215,0))</f>
        <v>3</v>
      </c>
      <c r="G770" s="8" t="n">
        <v>12</v>
      </c>
    </row>
    <row r="771" customFormat="false" ht="17.35" hidden="false" customHeight="false" outlineLevel="0" collapsed="false">
      <c r="A771" s="8" t="n">
        <v>770</v>
      </c>
      <c r="B771" s="9" t="s">
        <v>1092</v>
      </c>
      <c r="C771" s="8" t="n">
        <v>211</v>
      </c>
      <c r="D771" s="9" t="str">
        <f aca="false">INDEX(Radicals!$B$2:$B$215,MATCH(C771,Radicals!$A$2:$A$215,0))</f>
        <v>齒</v>
      </c>
      <c r="E771" s="10" t="str">
        <f aca="false">INDEX(Radicals!$G$2:$G$215,MATCH(C771,Radicals!$A$2:$A$215,0))</f>
        <v>tooth</v>
      </c>
      <c r="F771" s="8" t="n">
        <f aca="false">INDEX(Radicals!$D$2:$D$215,MATCH(C771,Radicals!$A$2:$A$215,0))</f>
        <v>15</v>
      </c>
      <c r="G771" s="8" t="n">
        <v>17</v>
      </c>
    </row>
    <row r="772" customFormat="false" ht="17.35" hidden="false" customHeight="false" outlineLevel="0" collapsed="false">
      <c r="A772" s="8" t="n">
        <v>771</v>
      </c>
      <c r="B772" s="9" t="s">
        <v>1807</v>
      </c>
      <c r="C772" s="8" t="n">
        <v>31</v>
      </c>
      <c r="D772" s="9" t="str">
        <f aca="false">INDEX(Radicals!$B$2:$B$215,MATCH(C772,Radicals!$A$2:$A$215,0))</f>
        <v>囗</v>
      </c>
      <c r="E772" s="10" t="str">
        <f aca="false">INDEX(Radicals!$G$2:$G$215,MATCH(C772,Radicals!$A$2:$A$215,0))</f>
        <v>enclosure</v>
      </c>
      <c r="F772" s="8" t="n">
        <f aca="false">INDEX(Radicals!$D$2:$D$215,MATCH(C772,Radicals!$A$2:$A$215,0))</f>
        <v>3</v>
      </c>
      <c r="G772" s="8" t="n">
        <v>7</v>
      </c>
    </row>
    <row r="773" customFormat="false" ht="17.35" hidden="false" customHeight="false" outlineLevel="0" collapsed="false">
      <c r="A773" s="8" t="n">
        <v>772</v>
      </c>
      <c r="B773" s="9" t="s">
        <v>1808</v>
      </c>
      <c r="C773" s="8" t="n">
        <v>24</v>
      </c>
      <c r="D773" s="9" t="str">
        <f aca="false">INDEX(Radicals!$B$2:$B$215,MATCH(C773,Radicals!$A$2:$A$215,0))</f>
        <v>十</v>
      </c>
      <c r="E773" s="10" t="str">
        <f aca="false">INDEX(Radicals!$G$2:$G$215,MATCH(C773,Radicals!$A$2:$A$215,0))</f>
        <v>ten</v>
      </c>
      <c r="F773" s="8" t="n">
        <f aca="false">INDEX(Radicals!$D$2:$D$215,MATCH(C773,Radicals!$A$2:$A$215,0))</f>
        <v>2</v>
      </c>
      <c r="G773" s="8" t="n">
        <v>8</v>
      </c>
    </row>
    <row r="774" customFormat="false" ht="17.35" hidden="false" customHeight="false" outlineLevel="0" collapsed="false">
      <c r="A774" s="8" t="n">
        <v>773</v>
      </c>
      <c r="B774" s="9" t="s">
        <v>1809</v>
      </c>
      <c r="C774" s="8" t="n">
        <v>162</v>
      </c>
      <c r="D774" s="9" t="str">
        <f aca="false">INDEX(Radicals!$B$2:$B$215,MATCH(C774,Radicals!$A$2:$A$215,0))</f>
        <v>辵</v>
      </c>
      <c r="E774" s="10" t="str">
        <f aca="false">INDEX(Radicals!$G$2:$G$215,MATCH(C774,Radicals!$A$2:$A$215,0))</f>
        <v>walk, movement</v>
      </c>
      <c r="F774" s="8" t="n">
        <f aca="false">INDEX(Radicals!$D$2:$D$215,MATCH(C774,Radicals!$A$2:$A$215,0))</f>
        <v>7</v>
      </c>
      <c r="G774" s="8" t="n">
        <v>8</v>
      </c>
    </row>
    <row r="775" customFormat="false" ht="17.35" hidden="false" customHeight="false" outlineLevel="0" collapsed="false">
      <c r="A775" s="8" t="n">
        <v>774</v>
      </c>
      <c r="B775" s="9" t="s">
        <v>1810</v>
      </c>
      <c r="C775" s="8" t="n">
        <v>102</v>
      </c>
      <c r="D775" s="9" t="str">
        <f aca="false">INDEX(Radicals!$B$2:$B$215,MATCH(C775,Radicals!$A$2:$A$215,0))</f>
        <v>田</v>
      </c>
      <c r="E775" s="10" t="str">
        <f aca="false">INDEX(Radicals!$G$2:$G$215,MATCH(C775,Radicals!$A$2:$A$215,0))</f>
        <v>field, paddy</v>
      </c>
      <c r="F775" s="8" t="n">
        <f aca="false">INDEX(Radicals!$D$2:$D$215,MATCH(C775,Radicals!$A$2:$A$215,0))</f>
        <v>5</v>
      </c>
      <c r="G775" s="8" t="n">
        <v>11</v>
      </c>
    </row>
    <row r="776" customFormat="false" ht="17.35" hidden="false" customHeight="false" outlineLevel="0" collapsed="false">
      <c r="A776" s="8" t="n">
        <v>775</v>
      </c>
      <c r="B776" s="9" t="s">
        <v>1811</v>
      </c>
      <c r="C776" s="8" t="n">
        <v>64</v>
      </c>
      <c r="D776" s="9" t="str">
        <f aca="false">INDEX(Radicals!$B$2:$B$215,MATCH(C776,Radicals!$A$2:$A$215,0))</f>
        <v>手</v>
      </c>
      <c r="E776" s="10" t="str">
        <f aca="false">INDEX(Radicals!$G$2:$G$215,MATCH(C776,Radicals!$A$2:$A$215,0))</f>
        <v>hand</v>
      </c>
      <c r="F776" s="8" t="n">
        <f aca="false">INDEX(Radicals!$D$2:$D$215,MATCH(C776,Radicals!$A$2:$A$215,0))</f>
        <v>4</v>
      </c>
      <c r="G776" s="8" t="n">
        <v>8</v>
      </c>
    </row>
    <row r="777" customFormat="false" ht="17.35" hidden="false" customHeight="false" outlineLevel="0" collapsed="false">
      <c r="A777" s="8" t="n">
        <v>776</v>
      </c>
      <c r="B777" s="9" t="s">
        <v>1812</v>
      </c>
      <c r="C777" s="8" t="n">
        <v>85</v>
      </c>
      <c r="D777" s="9" t="str">
        <f aca="false">INDEX(Radicals!$B$2:$B$215,MATCH(C777,Radicals!$A$2:$A$215,0))</f>
        <v>水</v>
      </c>
      <c r="E777" s="10" t="str">
        <f aca="false">INDEX(Radicals!$G$2:$G$215,MATCH(C777,Radicals!$A$2:$A$215,0))</f>
        <v>water</v>
      </c>
      <c r="F777" s="8" t="n">
        <f aca="false">INDEX(Radicals!$D$2:$D$215,MATCH(C777,Radicals!$A$2:$A$215,0))</f>
        <v>4</v>
      </c>
      <c r="G777" s="8" t="n">
        <v>10</v>
      </c>
    </row>
    <row r="778" customFormat="false" ht="17.35" hidden="false" customHeight="false" outlineLevel="0" collapsed="false">
      <c r="A778" s="8" t="n">
        <v>777</v>
      </c>
      <c r="B778" s="9" t="s">
        <v>1813</v>
      </c>
      <c r="C778" s="8" t="n">
        <v>61</v>
      </c>
      <c r="D778" s="9" t="str">
        <f aca="false">INDEX(Radicals!$B$2:$B$215,MATCH(C778,Radicals!$A$2:$A$215,0))</f>
        <v>心</v>
      </c>
      <c r="E778" s="10" t="str">
        <f aca="false">INDEX(Radicals!$G$2:$G$215,MATCH(C778,Radicals!$A$2:$A$215,0))</f>
        <v>heart, mind</v>
      </c>
      <c r="F778" s="8" t="n">
        <f aca="false">INDEX(Radicals!$D$2:$D$215,MATCH(C778,Radicals!$A$2:$A$215,0))</f>
        <v>4</v>
      </c>
      <c r="G778" s="8" t="n">
        <v>12</v>
      </c>
    </row>
    <row r="779" customFormat="false" ht="17.35" hidden="false" customHeight="false" outlineLevel="0" collapsed="false">
      <c r="A779" s="8" t="n">
        <v>778</v>
      </c>
      <c r="B779" s="9" t="s">
        <v>1814</v>
      </c>
      <c r="C779" s="8" t="n">
        <v>46</v>
      </c>
      <c r="D779" s="9" t="str">
        <f aca="false">INDEX(Radicals!$B$2:$B$215,MATCH(C779,Radicals!$A$2:$A$215,0))</f>
        <v>山</v>
      </c>
      <c r="E779" s="10" t="str">
        <f aca="false">INDEX(Radicals!$G$2:$G$215,MATCH(C779,Radicals!$A$2:$A$215,0))</f>
        <v>mountain</v>
      </c>
      <c r="F779" s="8" t="n">
        <f aca="false">INDEX(Radicals!$D$2:$D$215,MATCH(C779,Radicals!$A$2:$A$215,0))</f>
        <v>3</v>
      </c>
      <c r="G779" s="8" t="n">
        <v>11</v>
      </c>
    </row>
    <row r="780" customFormat="false" ht="17.35" hidden="false" customHeight="false" outlineLevel="0" collapsed="false">
      <c r="A780" s="8" t="n">
        <v>779</v>
      </c>
      <c r="B780" s="9" t="s">
        <v>1815</v>
      </c>
      <c r="C780" s="8" t="n">
        <v>181</v>
      </c>
      <c r="D780" s="9" t="str">
        <f aca="false">INDEX(Radicals!$B$2:$B$215,MATCH(C780,Radicals!$A$2:$A$215,0))</f>
        <v>頁</v>
      </c>
      <c r="E780" s="10" t="str">
        <f aca="false">INDEX(Radicals!$G$2:$G$215,MATCH(C780,Radicals!$A$2:$A$215,0))</f>
        <v>page, leaf (head)</v>
      </c>
      <c r="F780" s="8" t="n">
        <f aca="false">INDEX(Radicals!$D$2:$D$215,MATCH(C780,Radicals!$A$2:$A$215,0))</f>
        <v>9</v>
      </c>
      <c r="G780" s="8" t="n">
        <v>12</v>
      </c>
    </row>
    <row r="781" customFormat="false" ht="17.35" hidden="false" customHeight="false" outlineLevel="0" collapsed="false">
      <c r="A781" s="8" t="n">
        <v>780</v>
      </c>
      <c r="B781" s="9" t="s">
        <v>1816</v>
      </c>
      <c r="C781" s="8" t="n">
        <v>120</v>
      </c>
      <c r="D781" s="9" t="str">
        <f aca="false">INDEX(Radicals!$B$2:$B$215,MATCH(C781,Radicals!$A$2:$A$215,0))</f>
        <v>糸</v>
      </c>
      <c r="E781" s="10" t="str">
        <f aca="false">INDEX(Radicals!$G$2:$G$215,MATCH(C781,Radicals!$A$2:$A$215,0))</f>
        <v>thread, silk</v>
      </c>
      <c r="F781" s="8" t="n">
        <f aca="false">INDEX(Radicals!$D$2:$D$215,MATCH(C781,Radicals!$A$2:$A$215,0))</f>
        <v>6</v>
      </c>
      <c r="G781" s="8" t="n">
        <v>9</v>
      </c>
    </row>
    <row r="782" customFormat="false" ht="17.35" hidden="false" customHeight="false" outlineLevel="0" collapsed="false">
      <c r="A782" s="8" t="n">
        <v>781</v>
      </c>
      <c r="B782" s="9" t="s">
        <v>1817</v>
      </c>
      <c r="C782" s="8" t="n">
        <v>128</v>
      </c>
      <c r="D782" s="9" t="str">
        <f aca="false">INDEX(Radicals!$B$2:$B$215,MATCH(C782,Radicals!$A$2:$A$215,0))</f>
        <v>耳</v>
      </c>
      <c r="E782" s="10" t="str">
        <f aca="false">INDEX(Radicals!$G$2:$G$215,MATCH(C782,Radicals!$A$2:$A$215,0))</f>
        <v>ear</v>
      </c>
      <c r="F782" s="8" t="n">
        <f aca="false">INDEX(Radicals!$D$2:$D$215,MATCH(C782,Radicals!$A$2:$A$215,0))</f>
        <v>6</v>
      </c>
      <c r="G782" s="8" t="n">
        <v>17</v>
      </c>
    </row>
    <row r="783" customFormat="false" ht="17.35" hidden="false" customHeight="false" outlineLevel="0" collapsed="false">
      <c r="A783" s="8" t="n">
        <v>782</v>
      </c>
      <c r="B783" s="9" t="s">
        <v>1818</v>
      </c>
      <c r="C783" s="8" t="n">
        <v>130</v>
      </c>
      <c r="D783" s="9" t="str">
        <f aca="false">INDEX(Radicals!$B$2:$B$215,MATCH(C783,Radicals!$A$2:$A$215,0))</f>
        <v>肉</v>
      </c>
      <c r="E783" s="10" t="str">
        <f aca="false">INDEX(Radicals!$G$2:$G$215,MATCH(C783,Radicals!$A$2:$A$215,0))</f>
        <v>meat, flesh</v>
      </c>
      <c r="F783" s="8" t="n">
        <f aca="false">INDEX(Radicals!$D$2:$D$215,MATCH(C783,Radicals!$A$2:$A$215,0))</f>
        <v>6</v>
      </c>
      <c r="G783" s="8" t="n">
        <v>11</v>
      </c>
    </row>
    <row r="784" customFormat="false" ht="17.35" hidden="false" customHeight="false" outlineLevel="0" collapsed="false">
      <c r="A784" s="8" t="n">
        <v>783</v>
      </c>
      <c r="B784" s="9" t="s">
        <v>1819</v>
      </c>
      <c r="C784" s="8" t="n">
        <v>70</v>
      </c>
      <c r="D784" s="9" t="str">
        <f aca="false">INDEX(Radicals!$B$2:$B$215,MATCH(C784,Radicals!$A$2:$A$215,0))</f>
        <v>方</v>
      </c>
      <c r="E784" s="10" t="str">
        <f aca="false">INDEX(Radicals!$G$2:$G$215,MATCH(C784,Radicals!$A$2:$A$215,0))</f>
        <v>square, direction</v>
      </c>
      <c r="F784" s="8" t="n">
        <f aca="false">INDEX(Radicals!$D$2:$D$215,MATCH(C784,Radicals!$A$2:$A$215,0))</f>
        <v>4</v>
      </c>
      <c r="G784" s="8" t="n">
        <v>10</v>
      </c>
    </row>
    <row r="785" customFormat="false" ht="17.35" hidden="false" customHeight="false" outlineLevel="0" collapsed="false">
      <c r="A785" s="8" t="n">
        <v>784</v>
      </c>
      <c r="B785" s="9" t="s">
        <v>1820</v>
      </c>
      <c r="C785" s="8" t="n">
        <v>120</v>
      </c>
      <c r="D785" s="9" t="str">
        <f aca="false">INDEX(Radicals!$B$2:$B$215,MATCH(C785,Radicals!$A$2:$A$215,0))</f>
        <v>糸</v>
      </c>
      <c r="E785" s="10" t="str">
        <f aca="false">INDEX(Radicals!$G$2:$G$215,MATCH(C785,Radicals!$A$2:$A$215,0))</f>
        <v>thread, silk</v>
      </c>
      <c r="F785" s="8" t="n">
        <f aca="false">INDEX(Radicals!$D$2:$D$215,MATCH(C785,Radicals!$A$2:$A$215,0))</f>
        <v>6</v>
      </c>
      <c r="G785" s="8" t="n">
        <v>12</v>
      </c>
    </row>
    <row r="786" customFormat="false" ht="17.35" hidden="false" customHeight="false" outlineLevel="0" collapsed="false">
      <c r="A786" s="8" t="n">
        <v>785</v>
      </c>
      <c r="B786" s="9" t="s">
        <v>1821</v>
      </c>
      <c r="C786" s="8" t="n">
        <v>120</v>
      </c>
      <c r="D786" s="9" t="str">
        <f aca="false">INDEX(Radicals!$B$2:$B$215,MATCH(C786,Radicals!$A$2:$A$215,0))</f>
        <v>糸</v>
      </c>
      <c r="E786" s="10" t="str">
        <f aca="false">INDEX(Radicals!$G$2:$G$215,MATCH(C786,Radicals!$A$2:$A$215,0))</f>
        <v>thread, silk</v>
      </c>
      <c r="F786" s="8" t="n">
        <f aca="false">INDEX(Radicals!$D$2:$D$215,MATCH(C786,Radicals!$A$2:$A$215,0))</f>
        <v>6</v>
      </c>
      <c r="G786" s="8" t="n">
        <v>9</v>
      </c>
    </row>
    <row r="787" customFormat="false" ht="17.35" hidden="false" customHeight="false" outlineLevel="0" collapsed="false">
      <c r="A787" s="8" t="n">
        <v>786</v>
      </c>
      <c r="B787" s="9" t="s">
        <v>1822</v>
      </c>
      <c r="C787" s="8" t="n">
        <v>51</v>
      </c>
      <c r="D787" s="9" t="str">
        <f aca="false">INDEX(Radicals!$B$2:$B$215,MATCH(C787,Radicals!$A$2:$A$215,0))</f>
        <v>干</v>
      </c>
      <c r="E787" s="10" t="str">
        <f aca="false">INDEX(Radicals!$G$2:$G$215,MATCH(C787,Radicals!$A$2:$A$215,0))</f>
        <v>dry, to do with</v>
      </c>
      <c r="F787" s="8" t="n">
        <f aca="false">INDEX(Radicals!$D$2:$D$215,MATCH(C787,Radicals!$A$2:$A$215,0))</f>
        <v>3</v>
      </c>
      <c r="G787" s="8" t="n">
        <v>8</v>
      </c>
    </row>
    <row r="788" customFormat="false" ht="17.35" hidden="false" customHeight="false" outlineLevel="0" collapsed="false">
      <c r="A788" s="8" t="n">
        <v>787</v>
      </c>
      <c r="B788" s="9" t="s">
        <v>1823</v>
      </c>
      <c r="C788" s="8" t="n">
        <v>46</v>
      </c>
      <c r="D788" s="9" t="str">
        <f aca="false">INDEX(Radicals!$B$2:$B$215,MATCH(C788,Radicals!$A$2:$A$215,0))</f>
        <v>山</v>
      </c>
      <c r="E788" s="10" t="str">
        <f aca="false">INDEX(Radicals!$G$2:$G$215,MATCH(C788,Radicals!$A$2:$A$215,0))</f>
        <v>mountain</v>
      </c>
      <c r="F788" s="8" t="n">
        <f aca="false">INDEX(Radicals!$D$2:$D$215,MATCH(C788,Radicals!$A$2:$A$215,0))</f>
        <v>3</v>
      </c>
      <c r="G788" s="8" t="n">
        <v>8</v>
      </c>
    </row>
    <row r="789" customFormat="false" ht="17.35" hidden="false" customHeight="false" outlineLevel="0" collapsed="false">
      <c r="A789" s="8" t="n">
        <v>788</v>
      </c>
      <c r="B789" s="9" t="s">
        <v>1824</v>
      </c>
      <c r="C789" s="8" t="n">
        <v>120</v>
      </c>
      <c r="D789" s="9" t="str">
        <f aca="false">INDEX(Radicals!$B$2:$B$215,MATCH(C789,Radicals!$A$2:$A$215,0))</f>
        <v>糸</v>
      </c>
      <c r="E789" s="10" t="str">
        <f aca="false">INDEX(Radicals!$G$2:$G$215,MATCH(C789,Radicals!$A$2:$A$215,0))</f>
        <v>thread, silk</v>
      </c>
      <c r="F789" s="8" t="n">
        <f aca="false">INDEX(Radicals!$D$2:$D$215,MATCH(C789,Radicals!$A$2:$A$215,0))</f>
        <v>6</v>
      </c>
      <c r="G789" s="8" t="n">
        <v>14</v>
      </c>
    </row>
    <row r="790" customFormat="false" ht="17.35" hidden="false" customHeight="false" outlineLevel="0" collapsed="false">
      <c r="A790" s="8" t="n">
        <v>789</v>
      </c>
      <c r="B790" s="9" t="s">
        <v>1825</v>
      </c>
      <c r="C790" s="8" t="n">
        <v>64</v>
      </c>
      <c r="D790" s="9" t="str">
        <f aca="false">INDEX(Radicals!$B$2:$B$215,MATCH(C790,Radicals!$A$2:$A$215,0))</f>
        <v>手</v>
      </c>
      <c r="E790" s="10" t="str">
        <f aca="false">INDEX(Radicals!$G$2:$G$215,MATCH(C790,Radicals!$A$2:$A$215,0))</f>
        <v>hand</v>
      </c>
      <c r="F790" s="8" t="n">
        <f aca="false">INDEX(Radicals!$D$2:$D$215,MATCH(C790,Radicals!$A$2:$A$215,0))</f>
        <v>4</v>
      </c>
      <c r="G790" s="8" t="n">
        <v>8</v>
      </c>
    </row>
    <row r="791" customFormat="false" ht="17.35" hidden="false" customHeight="false" outlineLevel="0" collapsed="false">
      <c r="A791" s="8" t="n">
        <v>790</v>
      </c>
      <c r="B791" s="9" t="s">
        <v>1826</v>
      </c>
      <c r="C791" s="8" t="n">
        <v>159</v>
      </c>
      <c r="D791" s="9" t="str">
        <f aca="false">INDEX(Radicals!$B$2:$B$215,MATCH(C791,Radicals!$A$2:$A$215,0))</f>
        <v>車</v>
      </c>
      <c r="E791" s="10" t="str">
        <f aca="false">INDEX(Radicals!$G$2:$G$215,MATCH(C791,Radicals!$A$2:$A$215,0))</f>
        <v>cart, vehicle</v>
      </c>
      <c r="F791" s="8" t="n">
        <f aca="false">INDEX(Radicals!$D$2:$D$215,MATCH(C791,Radicals!$A$2:$A$215,0))</f>
        <v>7</v>
      </c>
      <c r="G791" s="8" t="n">
        <v>12</v>
      </c>
    </row>
    <row r="792" customFormat="false" ht="17.35" hidden="false" customHeight="false" outlineLevel="0" collapsed="false">
      <c r="A792" s="8" t="n">
        <v>791</v>
      </c>
      <c r="B792" s="9" t="s">
        <v>1827</v>
      </c>
      <c r="C792" s="8" t="n">
        <v>9</v>
      </c>
      <c r="D792" s="9" t="str">
        <f aca="false">INDEX(Radicals!$B$2:$B$215,MATCH(C792,Radicals!$A$2:$A$215,0))</f>
        <v>人</v>
      </c>
      <c r="E792" s="10" t="str">
        <f aca="false">INDEX(Radicals!$G$2:$G$215,MATCH(C792,Radicals!$A$2:$A$215,0))</f>
        <v>person</v>
      </c>
      <c r="F792" s="8" t="n">
        <f aca="false">INDEX(Radicals!$D$2:$D$215,MATCH(C792,Radicals!$A$2:$A$215,0))</f>
        <v>2</v>
      </c>
      <c r="G792" s="8" t="n">
        <v>10</v>
      </c>
    </row>
    <row r="793" customFormat="false" ht="17.35" hidden="false" customHeight="false" outlineLevel="0" collapsed="false">
      <c r="A793" s="8" t="n">
        <v>792</v>
      </c>
      <c r="B793" s="9" t="s">
        <v>1828</v>
      </c>
      <c r="C793" s="8" t="n">
        <v>6</v>
      </c>
      <c r="D793" s="9" t="str">
        <f aca="false">INDEX(Radicals!$B$2:$B$215,MATCH(C793,Radicals!$A$2:$A$215,0))</f>
        <v>亅</v>
      </c>
      <c r="E793" s="10" t="str">
        <f aca="false">INDEX(Radicals!$G$2:$G$215,MATCH(C793,Radicals!$A$2:$A$215,0))</f>
        <v>hook, barb</v>
      </c>
      <c r="F793" s="8" t="n">
        <f aca="false">INDEX(Radicals!$D$2:$D$215,MATCH(C793,Radicals!$A$2:$A$215,0))</f>
        <v>1</v>
      </c>
      <c r="G793" s="8" t="n">
        <v>2</v>
      </c>
    </row>
    <row r="794" customFormat="false" ht="17.35" hidden="false" customHeight="false" outlineLevel="0" collapsed="false">
      <c r="A794" s="8" t="n">
        <v>793</v>
      </c>
      <c r="B794" s="9" t="s">
        <v>1829</v>
      </c>
      <c r="C794" s="8" t="n">
        <v>53</v>
      </c>
      <c r="D794" s="9" t="str">
        <f aca="false">INDEX(Radicals!$B$2:$B$215,MATCH(C794,Radicals!$A$2:$A$215,0))</f>
        <v>广</v>
      </c>
      <c r="E794" s="10" t="str">
        <f aca="false">INDEX(Radicals!$G$2:$G$215,MATCH(C794,Radicals!$A$2:$A$215,0))</f>
        <v>dotted cliff, building</v>
      </c>
      <c r="F794" s="8" t="n">
        <f aca="false">INDEX(Radicals!$D$2:$D$215,MATCH(C794,Radicals!$A$2:$A$215,0))</f>
        <v>3</v>
      </c>
      <c r="G794" s="8" t="n">
        <v>5</v>
      </c>
    </row>
    <row r="795" customFormat="false" ht="17.35" hidden="false" customHeight="false" outlineLevel="0" collapsed="false">
      <c r="A795" s="8" t="n">
        <v>794</v>
      </c>
      <c r="B795" s="9" t="s">
        <v>1830</v>
      </c>
      <c r="C795" s="8" t="n">
        <v>24</v>
      </c>
      <c r="D795" s="9" t="str">
        <f aca="false">INDEX(Radicals!$B$2:$B$215,MATCH(C795,Radicals!$A$2:$A$215,0))</f>
        <v>十</v>
      </c>
      <c r="E795" s="10" t="str">
        <f aca="false">INDEX(Radicals!$G$2:$G$215,MATCH(C795,Radicals!$A$2:$A$215,0))</f>
        <v>ten</v>
      </c>
      <c r="F795" s="8" t="n">
        <f aca="false">INDEX(Radicals!$D$2:$D$215,MATCH(C795,Radicals!$A$2:$A$215,0))</f>
        <v>2</v>
      </c>
      <c r="G795" s="8" t="n">
        <v>12</v>
      </c>
    </row>
    <row r="796" customFormat="false" ht="17.35" hidden="false" customHeight="false" outlineLevel="0" collapsed="false">
      <c r="A796" s="8" t="n">
        <v>795</v>
      </c>
      <c r="B796" s="9" t="s">
        <v>1831</v>
      </c>
      <c r="C796" s="8" t="n">
        <v>32</v>
      </c>
      <c r="D796" s="9" t="str">
        <f aca="false">INDEX(Radicals!$B$2:$B$215,MATCH(C796,Radicals!$A$2:$A$215,0))</f>
        <v>土</v>
      </c>
      <c r="E796" s="10" t="str">
        <f aca="false">INDEX(Radicals!$G$2:$G$215,MATCH(C796,Radicals!$A$2:$A$215,0))</f>
        <v>earth, soil</v>
      </c>
      <c r="F796" s="8" t="n">
        <f aca="false">INDEX(Radicals!$D$2:$D$215,MATCH(C796,Radicals!$A$2:$A$215,0))</f>
        <v>3</v>
      </c>
      <c r="G796" s="8" t="n">
        <v>9</v>
      </c>
    </row>
    <row r="797" customFormat="false" ht="17.35" hidden="false" customHeight="false" outlineLevel="0" collapsed="false">
      <c r="A797" s="8" t="n">
        <v>796</v>
      </c>
      <c r="B797" s="9" t="s">
        <v>1832</v>
      </c>
      <c r="C797" s="8" t="n">
        <v>61</v>
      </c>
      <c r="D797" s="9" t="str">
        <f aca="false">INDEX(Radicals!$B$2:$B$215,MATCH(C797,Radicals!$A$2:$A$215,0))</f>
        <v>心</v>
      </c>
      <c r="E797" s="10" t="str">
        <f aca="false">INDEX(Radicals!$G$2:$G$215,MATCH(C797,Radicals!$A$2:$A$215,0))</f>
        <v>heart, mind</v>
      </c>
      <c r="F797" s="8" t="n">
        <f aca="false">INDEX(Radicals!$D$2:$D$215,MATCH(C797,Radicals!$A$2:$A$215,0))</f>
        <v>4</v>
      </c>
      <c r="G797" s="8" t="n">
        <v>11</v>
      </c>
    </row>
    <row r="798" customFormat="false" ht="17.35" hidden="false" customHeight="false" outlineLevel="0" collapsed="false">
      <c r="A798" s="8" t="n">
        <v>797</v>
      </c>
      <c r="B798" s="9" t="s">
        <v>1833</v>
      </c>
      <c r="C798" s="8" t="n">
        <v>120</v>
      </c>
      <c r="D798" s="9" t="str">
        <f aca="false">INDEX(Radicals!$B$2:$B$215,MATCH(C798,Radicals!$A$2:$A$215,0))</f>
        <v>糸</v>
      </c>
      <c r="E798" s="10" t="str">
        <f aca="false">INDEX(Radicals!$G$2:$G$215,MATCH(C798,Radicals!$A$2:$A$215,0))</f>
        <v>thread, silk</v>
      </c>
      <c r="F798" s="8" t="n">
        <f aca="false">INDEX(Radicals!$D$2:$D$215,MATCH(C798,Radicals!$A$2:$A$215,0))</f>
        <v>6</v>
      </c>
      <c r="G798" s="8" t="n">
        <v>15</v>
      </c>
    </row>
    <row r="799" customFormat="false" ht="17.35" hidden="false" customHeight="false" outlineLevel="0" collapsed="false">
      <c r="A799" s="8" t="n">
        <v>798</v>
      </c>
      <c r="B799" s="9" t="s">
        <v>1834</v>
      </c>
      <c r="C799" s="8" t="n">
        <v>118</v>
      </c>
      <c r="D799" s="9" t="str">
        <f aca="false">INDEX(Radicals!$B$2:$B$215,MATCH(C799,Radicals!$A$2:$A$215,0))</f>
        <v>竹</v>
      </c>
      <c r="E799" s="10" t="str">
        <f aca="false">INDEX(Radicals!$G$2:$G$215,MATCH(C799,Radicals!$A$2:$A$215,0))</f>
        <v>bamboo</v>
      </c>
      <c r="F799" s="8" t="n">
        <f aca="false">INDEX(Radicals!$D$2:$D$215,MATCH(C799,Radicals!$A$2:$A$215,0))</f>
        <v>6</v>
      </c>
      <c r="G799" s="8" t="n">
        <v>12</v>
      </c>
    </row>
    <row r="800" customFormat="false" ht="17.35" hidden="false" customHeight="false" outlineLevel="0" collapsed="false">
      <c r="A800" s="8" t="n">
        <v>799</v>
      </c>
      <c r="B800" s="9" t="s">
        <v>1835</v>
      </c>
      <c r="C800" s="8" t="n">
        <v>66</v>
      </c>
      <c r="D800" s="9" t="str">
        <f aca="false">INDEX(Radicals!$B$2:$B$215,MATCH(C800,Radicals!$A$2:$A$215,0))</f>
        <v>攴</v>
      </c>
      <c r="E800" s="10" t="str">
        <f aca="false">INDEX(Radicals!$G$2:$G$215,MATCH(C800,Radicals!$A$2:$A$215,0))</f>
        <v>rap, tap, strike</v>
      </c>
      <c r="F800" s="8" t="n">
        <f aca="false">INDEX(Radicals!$D$2:$D$215,MATCH(C800,Radicals!$A$2:$A$215,0))</f>
        <v>4</v>
      </c>
      <c r="G800" s="8" t="n">
        <v>11</v>
      </c>
    </row>
    <row r="801" customFormat="false" ht="17.35" hidden="false" customHeight="false" outlineLevel="0" collapsed="false">
      <c r="A801" s="8" t="n">
        <v>800</v>
      </c>
      <c r="B801" s="9" t="s">
        <v>1836</v>
      </c>
      <c r="C801" s="8" t="n">
        <v>32</v>
      </c>
      <c r="D801" s="9" t="str">
        <f aca="false">INDEX(Radicals!$B$2:$B$215,MATCH(C801,Radicals!$A$2:$A$215,0))</f>
        <v>土</v>
      </c>
      <c r="E801" s="10" t="str">
        <f aca="false">INDEX(Radicals!$G$2:$G$215,MATCH(C801,Radicals!$A$2:$A$215,0))</f>
        <v>earth, soil</v>
      </c>
      <c r="F801" s="8" t="n">
        <f aca="false">INDEX(Radicals!$D$2:$D$215,MATCH(C801,Radicals!$A$2:$A$215,0))</f>
        <v>3</v>
      </c>
      <c r="G801" s="8" t="n">
        <v>11</v>
      </c>
    </row>
    <row r="802" customFormat="false" ht="17.35" hidden="false" customHeight="false" outlineLevel="0" collapsed="false">
      <c r="A802" s="8" t="n">
        <v>801</v>
      </c>
      <c r="B802" s="9" t="s">
        <v>1837</v>
      </c>
      <c r="C802" s="8" t="n">
        <v>44</v>
      </c>
      <c r="D802" s="9" t="str">
        <f aca="false">INDEX(Radicals!$B$2:$B$215,MATCH(C802,Radicals!$A$2:$A$215,0))</f>
        <v>尸</v>
      </c>
      <c r="E802" s="10" t="str">
        <f aca="false">INDEX(Radicals!$G$2:$G$215,MATCH(C802,Radicals!$A$2:$A$215,0))</f>
        <v>corpse, body</v>
      </c>
      <c r="F802" s="8" t="n">
        <f aca="false">INDEX(Radicals!$D$2:$D$215,MATCH(C802,Radicals!$A$2:$A$215,0))</f>
        <v>3</v>
      </c>
      <c r="G802" s="8" t="n">
        <v>14</v>
      </c>
    </row>
    <row r="803" customFormat="false" ht="17.35" hidden="false" customHeight="false" outlineLevel="0" collapsed="false">
      <c r="A803" s="8" t="n">
        <v>802</v>
      </c>
      <c r="B803" s="9" t="s">
        <v>1838</v>
      </c>
      <c r="C803" s="8" t="n">
        <v>91</v>
      </c>
      <c r="D803" s="9" t="str">
        <f aca="false">INDEX(Radicals!$B$2:$B$215,MATCH(C803,Radicals!$A$2:$A$215,0))</f>
        <v>片</v>
      </c>
      <c r="E803" s="10" t="str">
        <f aca="false">INDEX(Radicals!$G$2:$G$215,MATCH(C803,Radicals!$A$2:$A$215,0))</f>
        <v>slice, one side</v>
      </c>
      <c r="F803" s="8" t="n">
        <f aca="false">INDEX(Radicals!$D$2:$D$215,MATCH(C803,Radicals!$A$2:$A$215,0))</f>
        <v>4</v>
      </c>
      <c r="G803" s="8" t="n">
        <v>8</v>
      </c>
    </row>
    <row r="804" customFormat="false" ht="17.35" hidden="false" customHeight="false" outlineLevel="0" collapsed="false">
      <c r="A804" s="8" t="n">
        <v>803</v>
      </c>
      <c r="B804" s="9" t="s">
        <v>660</v>
      </c>
      <c r="C804" s="8" t="n">
        <v>125</v>
      </c>
      <c r="D804" s="9" t="str">
        <f aca="false">INDEX(Radicals!$B$2:$B$215,MATCH(C804,Radicals!$A$2:$A$215,0))</f>
        <v>老</v>
      </c>
      <c r="E804" s="10" t="str">
        <f aca="false">INDEX(Radicals!$G$2:$G$215,MATCH(C804,Radicals!$A$2:$A$215,0))</f>
        <v>old</v>
      </c>
      <c r="F804" s="8" t="n">
        <f aca="false">INDEX(Radicals!$D$2:$D$215,MATCH(C804,Radicals!$A$2:$A$215,0))</f>
        <v>6</v>
      </c>
      <c r="G804" s="8" t="n">
        <v>6</v>
      </c>
    </row>
    <row r="805" customFormat="false" ht="17.35" hidden="false" customHeight="false" outlineLevel="0" collapsed="false">
      <c r="A805" s="8" t="n">
        <v>804</v>
      </c>
      <c r="B805" s="9" t="s">
        <v>1839</v>
      </c>
      <c r="C805" s="8" t="n">
        <v>9</v>
      </c>
      <c r="D805" s="9" t="str">
        <f aca="false">INDEX(Radicals!$B$2:$B$215,MATCH(C805,Radicals!$A$2:$A$215,0))</f>
        <v>人</v>
      </c>
      <c r="E805" s="10" t="str">
        <f aca="false">INDEX(Radicals!$G$2:$G$215,MATCH(C805,Radicals!$A$2:$A$215,0))</f>
        <v>person</v>
      </c>
      <c r="F805" s="8" t="n">
        <f aca="false">INDEX(Radicals!$D$2:$D$215,MATCH(C805,Radicals!$A$2:$A$215,0))</f>
        <v>2</v>
      </c>
      <c r="G805" s="8" t="n">
        <v>5</v>
      </c>
    </row>
    <row r="806" customFormat="false" ht="17.35" hidden="false" customHeight="false" outlineLevel="0" collapsed="false">
      <c r="A806" s="8" t="n">
        <v>805</v>
      </c>
      <c r="B806" s="9" t="s">
        <v>781</v>
      </c>
      <c r="C806" s="8" t="n">
        <v>148</v>
      </c>
      <c r="D806" s="9" t="str">
        <f aca="false">INDEX(Radicals!$B$2:$B$215,MATCH(C806,Radicals!$A$2:$A$215,0))</f>
        <v>角</v>
      </c>
      <c r="E806" s="10" t="str">
        <f aca="false">INDEX(Radicals!$G$2:$G$215,MATCH(C806,Radicals!$A$2:$A$215,0))</f>
        <v>horn, corner</v>
      </c>
      <c r="F806" s="8" t="n">
        <f aca="false">INDEX(Radicals!$D$2:$D$215,MATCH(C806,Radicals!$A$2:$A$215,0))</f>
        <v>7</v>
      </c>
      <c r="G806" s="8" t="n">
        <v>7</v>
      </c>
    </row>
    <row r="807" customFormat="false" ht="17.35" hidden="false" customHeight="false" outlineLevel="0" collapsed="false">
      <c r="A807" s="8" t="n">
        <v>806</v>
      </c>
      <c r="B807" s="9" t="s">
        <v>1840</v>
      </c>
      <c r="C807" s="8" t="n">
        <v>120</v>
      </c>
      <c r="D807" s="9" t="str">
        <f aca="false">INDEX(Radicals!$B$2:$B$215,MATCH(C807,Radicals!$A$2:$A$215,0))</f>
        <v>糸</v>
      </c>
      <c r="E807" s="10" t="str">
        <f aca="false">INDEX(Radicals!$G$2:$G$215,MATCH(C807,Radicals!$A$2:$A$215,0))</f>
        <v>thread, silk</v>
      </c>
      <c r="F807" s="8" t="n">
        <f aca="false">INDEX(Radicals!$D$2:$D$215,MATCH(C807,Radicals!$A$2:$A$215,0))</f>
        <v>6</v>
      </c>
      <c r="G807" s="8" t="n">
        <v>12</v>
      </c>
    </row>
    <row r="808" customFormat="false" ht="17.35" hidden="false" customHeight="false" outlineLevel="0" collapsed="false">
      <c r="A808" s="8" t="n">
        <v>807</v>
      </c>
      <c r="B808" s="9" t="s">
        <v>1841</v>
      </c>
      <c r="C808" s="8" t="n">
        <v>64</v>
      </c>
      <c r="D808" s="9" t="str">
        <f aca="false">INDEX(Radicals!$B$2:$B$215,MATCH(C808,Radicals!$A$2:$A$215,0))</f>
        <v>手</v>
      </c>
      <c r="E808" s="10" t="str">
        <f aca="false">INDEX(Radicals!$G$2:$G$215,MATCH(C808,Radicals!$A$2:$A$215,0))</f>
        <v>hand</v>
      </c>
      <c r="F808" s="8" t="n">
        <f aca="false">INDEX(Radicals!$D$2:$D$215,MATCH(C808,Radicals!$A$2:$A$215,0))</f>
        <v>4</v>
      </c>
      <c r="G808" s="8" t="n">
        <v>13</v>
      </c>
    </row>
    <row r="809" customFormat="false" ht="17.35" hidden="false" customHeight="false" outlineLevel="0" collapsed="false">
      <c r="A809" s="8" t="n">
        <v>808</v>
      </c>
      <c r="B809" s="9" t="s">
        <v>1842</v>
      </c>
      <c r="C809" s="8" t="n">
        <v>63</v>
      </c>
      <c r="D809" s="9" t="str">
        <f aca="false">INDEX(Radicals!$B$2:$B$215,MATCH(C809,Radicals!$A$2:$A$215,0))</f>
        <v>戶</v>
      </c>
      <c r="E809" s="10" t="str">
        <f aca="false">INDEX(Radicals!$G$2:$G$215,MATCH(C809,Radicals!$A$2:$A$215,0))</f>
        <v>door</v>
      </c>
      <c r="F809" s="8" t="n">
        <f aca="false">INDEX(Radicals!$D$2:$D$215,MATCH(C809,Radicals!$A$2:$A$215,0))</f>
        <v>4</v>
      </c>
      <c r="G809" s="8" t="n">
        <v>8</v>
      </c>
    </row>
    <row r="810" customFormat="false" ht="17.35" hidden="false" customHeight="false" outlineLevel="0" collapsed="false">
      <c r="A810" s="8" t="n">
        <v>809</v>
      </c>
      <c r="B810" s="9" t="s">
        <v>1843</v>
      </c>
      <c r="C810" s="8" t="n">
        <v>19</v>
      </c>
      <c r="D810" s="9" t="str">
        <f aca="false">INDEX(Radicals!$B$2:$B$215,MATCH(C810,Radicals!$A$2:$A$215,0))</f>
        <v>力</v>
      </c>
      <c r="E810" s="10" t="str">
        <f aca="false">INDEX(Radicals!$G$2:$G$215,MATCH(C810,Radicals!$A$2:$A$215,0))</f>
        <v>power, strength</v>
      </c>
      <c r="F810" s="8" t="n">
        <f aca="false">INDEX(Radicals!$D$2:$D$215,MATCH(C810,Radicals!$A$2:$A$215,0))</f>
        <v>2</v>
      </c>
      <c r="G810" s="8" t="n">
        <v>12</v>
      </c>
    </row>
    <row r="811" customFormat="false" ht="17.35" hidden="false" customHeight="false" outlineLevel="0" collapsed="false">
      <c r="A811" s="8" t="n">
        <v>810</v>
      </c>
      <c r="B811" s="9" t="s">
        <v>1844</v>
      </c>
      <c r="C811" s="8" t="n">
        <v>73</v>
      </c>
      <c r="D811" s="9" t="str">
        <f aca="false">INDEX(Radicals!$B$2:$B$215,MATCH(C811,Radicals!$A$2:$A$215,0))</f>
        <v>曰</v>
      </c>
      <c r="E811" s="10" t="str">
        <f aca="false">INDEX(Radicals!$G$2:$G$215,MATCH(C811,Radicals!$A$2:$A$215,0))</f>
        <v>say</v>
      </c>
      <c r="F811" s="8" t="n">
        <f aca="false">INDEX(Radicals!$D$2:$D$215,MATCH(C811,Radicals!$A$2:$A$215,0))</f>
        <v>4</v>
      </c>
      <c r="G811" s="8" t="n">
        <v>6</v>
      </c>
    </row>
    <row r="812" customFormat="false" ht="17.35" hidden="false" customHeight="false" outlineLevel="0" collapsed="false">
      <c r="A812" s="8" t="n">
        <v>811</v>
      </c>
      <c r="B812" s="9" t="s">
        <v>1845</v>
      </c>
      <c r="C812" s="8" t="n">
        <v>64</v>
      </c>
      <c r="D812" s="9" t="str">
        <f aca="false">INDEX(Radicals!$B$2:$B$215,MATCH(C812,Radicals!$A$2:$A$215,0))</f>
        <v>手</v>
      </c>
      <c r="E812" s="10" t="str">
        <f aca="false">INDEX(Radicals!$G$2:$G$215,MATCH(C812,Radicals!$A$2:$A$215,0))</f>
        <v>hand</v>
      </c>
      <c r="F812" s="8" t="n">
        <f aca="false">INDEX(Radicals!$D$2:$D$215,MATCH(C812,Radicals!$A$2:$A$215,0))</f>
        <v>4</v>
      </c>
      <c r="G812" s="8" t="n">
        <v>15</v>
      </c>
    </row>
    <row r="813" customFormat="false" ht="17.35" hidden="false" customHeight="false" outlineLevel="0" collapsed="false">
      <c r="A813" s="8" t="n">
        <v>812</v>
      </c>
      <c r="B813" s="9" t="s">
        <v>1846</v>
      </c>
      <c r="C813" s="8" t="n">
        <v>145</v>
      </c>
      <c r="D813" s="9" t="str">
        <f aca="false">INDEX(Radicals!$B$2:$B$215,MATCH(C813,Radicals!$A$2:$A$215,0))</f>
        <v>衣</v>
      </c>
      <c r="E813" s="10" t="str">
        <f aca="false">INDEX(Radicals!$G$2:$G$215,MATCH(C813,Radicals!$A$2:$A$215,0))</f>
        <v>clothes</v>
      </c>
      <c r="F813" s="8" t="n">
        <f aca="false">INDEX(Radicals!$D$2:$D$215,MATCH(C813,Radicals!$A$2:$A$215,0))</f>
        <v>6</v>
      </c>
      <c r="G813" s="8" t="n">
        <v>13</v>
      </c>
    </row>
    <row r="814" customFormat="false" ht="17.35" hidden="false" customHeight="false" outlineLevel="0" collapsed="false">
      <c r="A814" s="8" t="n">
        <v>813</v>
      </c>
      <c r="B814" s="9" t="s">
        <v>1847</v>
      </c>
      <c r="C814" s="8" t="n">
        <v>64</v>
      </c>
      <c r="D814" s="9" t="str">
        <f aca="false">INDEX(Radicals!$B$2:$B$215,MATCH(C814,Radicals!$A$2:$A$215,0))</f>
        <v>手</v>
      </c>
      <c r="E814" s="10" t="str">
        <f aca="false">INDEX(Radicals!$G$2:$G$215,MATCH(C814,Radicals!$A$2:$A$215,0))</f>
        <v>hand</v>
      </c>
      <c r="F814" s="8" t="n">
        <f aca="false">INDEX(Radicals!$D$2:$D$215,MATCH(C814,Radicals!$A$2:$A$215,0))</f>
        <v>4</v>
      </c>
      <c r="G814" s="8" t="n">
        <v>5</v>
      </c>
    </row>
    <row r="815" customFormat="false" ht="17.35" hidden="false" customHeight="false" outlineLevel="0" collapsed="false">
      <c r="A815" s="8" t="n">
        <v>814</v>
      </c>
      <c r="B815" s="9" t="s">
        <v>1848</v>
      </c>
      <c r="C815" s="8" t="n">
        <v>18</v>
      </c>
      <c r="D815" s="9" t="str">
        <f aca="false">INDEX(Radicals!$B$2:$B$215,MATCH(C815,Radicals!$A$2:$A$215,0))</f>
        <v>刀</v>
      </c>
      <c r="E815" s="10" t="str">
        <f aca="false">INDEX(Radicals!$G$2:$G$215,MATCH(C815,Radicals!$A$2:$A$215,0))</f>
        <v>knife, sword</v>
      </c>
      <c r="F815" s="8" t="n">
        <f aca="false">INDEX(Radicals!$D$2:$D$215,MATCH(C815,Radicals!$A$2:$A$215,0))</f>
        <v>2</v>
      </c>
      <c r="G815" s="8" t="n">
        <v>9</v>
      </c>
    </row>
    <row r="816" customFormat="false" ht="17.35" hidden="false" customHeight="false" outlineLevel="0" collapsed="false">
      <c r="A816" s="8" t="n">
        <v>815</v>
      </c>
      <c r="B816" s="9" t="s">
        <v>1849</v>
      </c>
      <c r="C816" s="8" t="n">
        <v>40</v>
      </c>
      <c r="D816" s="9" t="str">
        <f aca="false">INDEX(Radicals!$B$2:$B$215,MATCH(C816,Radicals!$A$2:$A$215,0))</f>
        <v>宀</v>
      </c>
      <c r="E816" s="10" t="str">
        <f aca="false">INDEX(Radicals!$G$2:$G$215,MATCH(C816,Radicals!$A$2:$A$215,0))</f>
        <v>roof</v>
      </c>
      <c r="F816" s="8" t="n">
        <f aca="false">INDEX(Radicals!$D$2:$D$215,MATCH(C816,Radicals!$A$2:$A$215,0))</f>
        <v>3</v>
      </c>
      <c r="G816" s="8" t="n">
        <v>11</v>
      </c>
    </row>
    <row r="817" customFormat="false" ht="17.35" hidden="false" customHeight="false" outlineLevel="0" collapsed="false">
      <c r="A817" s="8" t="n">
        <v>816</v>
      </c>
      <c r="B817" s="9" t="s">
        <v>1850</v>
      </c>
      <c r="C817" s="8" t="n">
        <v>53</v>
      </c>
      <c r="D817" s="9" t="str">
        <f aca="false">INDEX(Radicals!$B$2:$B$215,MATCH(C817,Radicals!$A$2:$A$215,0))</f>
        <v>广</v>
      </c>
      <c r="E817" s="10" t="str">
        <f aca="false">INDEX(Radicals!$G$2:$G$215,MATCH(C817,Radicals!$A$2:$A$215,0))</f>
        <v>dotted cliff, building</v>
      </c>
      <c r="F817" s="8" t="n">
        <f aca="false">INDEX(Radicals!$D$2:$D$215,MATCH(C817,Radicals!$A$2:$A$215,0))</f>
        <v>3</v>
      </c>
      <c r="G817" s="8" t="n">
        <v>10</v>
      </c>
    </row>
    <row r="818" customFormat="false" ht="17.35" hidden="false" customHeight="false" outlineLevel="0" collapsed="false">
      <c r="A818" s="8" t="n">
        <v>817</v>
      </c>
      <c r="B818" s="9" t="s">
        <v>1851</v>
      </c>
      <c r="C818" s="8" t="n">
        <v>60</v>
      </c>
      <c r="D818" s="9" t="str">
        <f aca="false">INDEX(Radicals!$B$2:$B$215,MATCH(C818,Radicals!$A$2:$A$215,0))</f>
        <v>彳</v>
      </c>
      <c r="E818" s="10" t="str">
        <f aca="false">INDEX(Radicals!$G$2:$G$215,MATCH(C818,Radicals!$A$2:$A$215,0))</f>
        <v>step, small step</v>
      </c>
      <c r="F818" s="8" t="n">
        <f aca="false">INDEX(Radicals!$D$2:$D$215,MATCH(C818,Radicals!$A$2:$A$215,0))</f>
        <v>3</v>
      </c>
      <c r="G818" s="8" t="n">
        <v>10</v>
      </c>
    </row>
    <row r="819" customFormat="false" ht="17.35" hidden="false" customHeight="false" outlineLevel="0" collapsed="false">
      <c r="A819" s="8" t="n">
        <v>818</v>
      </c>
      <c r="B819" s="9" t="s">
        <v>1852</v>
      </c>
      <c r="C819" s="8" t="n">
        <v>64</v>
      </c>
      <c r="D819" s="9" t="str">
        <f aca="false">INDEX(Radicals!$B$2:$B$215,MATCH(C819,Radicals!$A$2:$A$215,0))</f>
        <v>手</v>
      </c>
      <c r="E819" s="10" t="str">
        <f aca="false">INDEX(Radicals!$G$2:$G$215,MATCH(C819,Radicals!$A$2:$A$215,0))</f>
        <v>hand</v>
      </c>
      <c r="F819" s="8" t="n">
        <f aca="false">INDEX(Radicals!$D$2:$D$215,MATCH(C819,Radicals!$A$2:$A$215,0))</f>
        <v>4</v>
      </c>
      <c r="G819" s="8" t="n">
        <v>11</v>
      </c>
    </row>
    <row r="820" customFormat="false" ht="17.35" hidden="false" customHeight="false" outlineLevel="0" collapsed="false">
      <c r="A820" s="8" t="n">
        <v>819</v>
      </c>
      <c r="B820" s="9" t="s">
        <v>1853</v>
      </c>
      <c r="C820" s="8" t="n">
        <v>9</v>
      </c>
      <c r="D820" s="9" t="str">
        <f aca="false">INDEX(Radicals!$B$2:$B$215,MATCH(C820,Radicals!$A$2:$A$215,0))</f>
        <v>人</v>
      </c>
      <c r="E820" s="10" t="str">
        <f aca="false">INDEX(Radicals!$G$2:$G$215,MATCH(C820,Radicals!$A$2:$A$215,0))</f>
        <v>person</v>
      </c>
      <c r="F820" s="8" t="n">
        <f aca="false">INDEX(Radicals!$D$2:$D$215,MATCH(C820,Radicals!$A$2:$A$215,0))</f>
        <v>2</v>
      </c>
      <c r="G820" s="8" t="n">
        <v>4</v>
      </c>
    </row>
    <row r="821" customFormat="false" ht="17.35" hidden="false" customHeight="false" outlineLevel="0" collapsed="false">
      <c r="A821" s="8" t="n">
        <v>820</v>
      </c>
      <c r="B821" s="9" t="s">
        <v>1854</v>
      </c>
      <c r="C821" s="8" t="n">
        <v>120</v>
      </c>
      <c r="D821" s="9" t="str">
        <f aca="false">INDEX(Radicals!$B$2:$B$215,MATCH(C821,Radicals!$A$2:$A$215,0))</f>
        <v>糸</v>
      </c>
      <c r="E821" s="10" t="str">
        <f aca="false">INDEX(Radicals!$G$2:$G$215,MATCH(C821,Radicals!$A$2:$A$215,0))</f>
        <v>thread, silk</v>
      </c>
      <c r="F821" s="8" t="n">
        <f aca="false">INDEX(Radicals!$D$2:$D$215,MATCH(C821,Radicals!$A$2:$A$215,0))</f>
        <v>6</v>
      </c>
      <c r="G821" s="8" t="n">
        <v>17</v>
      </c>
    </row>
    <row r="822" customFormat="false" ht="17.35" hidden="false" customHeight="false" outlineLevel="0" collapsed="false">
      <c r="A822" s="8" t="n">
        <v>821</v>
      </c>
      <c r="B822" s="9" t="s">
        <v>1855</v>
      </c>
      <c r="C822" s="8" t="n">
        <v>118</v>
      </c>
      <c r="D822" s="9" t="str">
        <f aca="false">INDEX(Radicals!$B$2:$B$215,MATCH(C822,Radicals!$A$2:$A$215,0))</f>
        <v>竹</v>
      </c>
      <c r="E822" s="10" t="str">
        <f aca="false">INDEX(Radicals!$G$2:$G$215,MATCH(C822,Radicals!$A$2:$A$215,0))</f>
        <v>bamboo</v>
      </c>
      <c r="F822" s="8" t="n">
        <f aca="false">INDEX(Radicals!$D$2:$D$215,MATCH(C822,Radicals!$A$2:$A$215,0))</f>
        <v>6</v>
      </c>
      <c r="G822" s="8" t="n">
        <v>16</v>
      </c>
    </row>
    <row r="823" customFormat="false" ht="17.35" hidden="false" customHeight="false" outlineLevel="0" collapsed="false">
      <c r="A823" s="8" t="n">
        <v>822</v>
      </c>
      <c r="B823" s="9" t="s">
        <v>1856</v>
      </c>
      <c r="C823" s="8" t="n">
        <v>154</v>
      </c>
      <c r="D823" s="9" t="str">
        <f aca="false">INDEX(Radicals!$B$2:$B$215,MATCH(C823,Radicals!$A$2:$A$215,0))</f>
        <v>貝</v>
      </c>
      <c r="E823" s="10" t="str">
        <f aca="false">INDEX(Radicals!$G$2:$G$215,MATCH(C823,Radicals!$A$2:$A$215,0))</f>
        <v>shell, money</v>
      </c>
      <c r="F823" s="8" t="n">
        <f aca="false">INDEX(Radicals!$D$2:$D$215,MATCH(C823,Radicals!$A$2:$A$215,0))</f>
        <v>7</v>
      </c>
      <c r="G823" s="8" t="n">
        <v>11</v>
      </c>
    </row>
    <row r="824" customFormat="false" ht="17.35" hidden="false" customHeight="false" outlineLevel="0" collapsed="false">
      <c r="A824" s="8" t="n">
        <v>823</v>
      </c>
      <c r="B824" s="9" t="s">
        <v>1857</v>
      </c>
      <c r="C824" s="8" t="n">
        <v>61</v>
      </c>
      <c r="D824" s="9" t="str">
        <f aca="false">INDEX(Radicals!$B$2:$B$215,MATCH(C824,Radicals!$A$2:$A$215,0))</f>
        <v>心</v>
      </c>
      <c r="E824" s="10" t="str">
        <f aca="false">INDEX(Radicals!$G$2:$G$215,MATCH(C824,Radicals!$A$2:$A$215,0))</f>
        <v>heart, mind</v>
      </c>
      <c r="F824" s="8" t="n">
        <f aca="false">INDEX(Radicals!$D$2:$D$215,MATCH(C824,Radicals!$A$2:$A$215,0))</f>
        <v>4</v>
      </c>
      <c r="G824" s="8" t="n">
        <v>7</v>
      </c>
    </row>
    <row r="825" customFormat="false" ht="17.35" hidden="false" customHeight="false" outlineLevel="0" collapsed="false">
      <c r="A825" s="8" t="n">
        <v>824</v>
      </c>
      <c r="B825" s="9" t="s">
        <v>1858</v>
      </c>
      <c r="C825" s="8" t="n">
        <v>85</v>
      </c>
      <c r="D825" s="9" t="str">
        <f aca="false">INDEX(Radicals!$B$2:$B$215,MATCH(C825,Radicals!$A$2:$A$215,0))</f>
        <v>水</v>
      </c>
      <c r="E825" s="10" t="str">
        <f aca="false">INDEX(Radicals!$G$2:$G$215,MATCH(C825,Radicals!$A$2:$A$215,0))</f>
        <v>water</v>
      </c>
      <c r="F825" s="8" t="n">
        <f aca="false">INDEX(Radicals!$D$2:$D$215,MATCH(C825,Radicals!$A$2:$A$215,0))</f>
        <v>4</v>
      </c>
      <c r="G825" s="8" t="n">
        <v>11</v>
      </c>
    </row>
    <row r="826" customFormat="false" ht="17.35" hidden="false" customHeight="false" outlineLevel="0" collapsed="false">
      <c r="A826" s="8" t="n">
        <v>825</v>
      </c>
      <c r="B826" s="9" t="s">
        <v>1859</v>
      </c>
      <c r="C826" s="8" t="n">
        <v>159</v>
      </c>
      <c r="D826" s="9" t="str">
        <f aca="false">INDEX(Radicals!$B$2:$B$215,MATCH(C826,Radicals!$A$2:$A$215,0))</f>
        <v>車</v>
      </c>
      <c r="E826" s="10" t="str">
        <f aca="false">INDEX(Radicals!$G$2:$G$215,MATCH(C826,Radicals!$A$2:$A$215,0))</f>
        <v>cart, vehicle</v>
      </c>
      <c r="F826" s="8" t="n">
        <f aca="false">INDEX(Radicals!$D$2:$D$215,MATCH(C826,Radicals!$A$2:$A$215,0))</f>
        <v>7</v>
      </c>
      <c r="G826" s="8" t="n">
        <v>13</v>
      </c>
    </row>
    <row r="827" customFormat="false" ht="17.35" hidden="false" customHeight="false" outlineLevel="0" collapsed="false">
      <c r="A827" s="8" t="n">
        <v>826</v>
      </c>
      <c r="B827" s="9" t="s">
        <v>1860</v>
      </c>
      <c r="C827" s="8" t="n">
        <v>72</v>
      </c>
      <c r="D827" s="9" t="str">
        <f aca="false">INDEX(Radicals!$B$2:$B$215,MATCH(C827,Radicals!$A$2:$A$215,0))</f>
        <v>日</v>
      </c>
      <c r="E827" s="10" t="str">
        <f aca="false">INDEX(Radicals!$G$2:$G$215,MATCH(C827,Radicals!$A$2:$A$215,0))</f>
        <v>sun, day</v>
      </c>
      <c r="F827" s="8" t="n">
        <f aca="false">INDEX(Radicals!$D$2:$D$215,MATCH(C827,Radicals!$A$2:$A$215,0))</f>
        <v>4</v>
      </c>
      <c r="G827" s="8" t="n">
        <v>8</v>
      </c>
    </row>
    <row r="828" customFormat="false" ht="17.35" hidden="false" customHeight="false" outlineLevel="0" collapsed="false">
      <c r="A828" s="8" t="n">
        <v>827</v>
      </c>
      <c r="B828" s="9" t="s">
        <v>1861</v>
      </c>
      <c r="C828" s="8" t="n">
        <v>85</v>
      </c>
      <c r="D828" s="9" t="str">
        <f aca="false">INDEX(Radicals!$B$2:$B$215,MATCH(C828,Radicals!$A$2:$A$215,0))</f>
        <v>水</v>
      </c>
      <c r="E828" s="10" t="str">
        <f aca="false">INDEX(Radicals!$G$2:$G$215,MATCH(C828,Radicals!$A$2:$A$215,0))</f>
        <v>water</v>
      </c>
      <c r="F828" s="8" t="n">
        <f aca="false">INDEX(Radicals!$D$2:$D$215,MATCH(C828,Radicals!$A$2:$A$215,0))</f>
        <v>4</v>
      </c>
      <c r="G828" s="8" t="n">
        <v>6</v>
      </c>
    </row>
    <row r="829" customFormat="false" ht="17.35" hidden="false" customHeight="false" outlineLevel="0" collapsed="false">
      <c r="A829" s="8" t="n">
        <v>828</v>
      </c>
      <c r="B829" s="9" t="s">
        <v>1862</v>
      </c>
      <c r="C829" s="8" t="n">
        <v>170</v>
      </c>
      <c r="D829" s="9" t="str">
        <f aca="false">INDEX(Radicals!$B$2:$B$215,MATCH(C829,Radicals!$A$2:$A$215,0))</f>
        <v>阜</v>
      </c>
      <c r="E829" s="10" t="str">
        <f aca="false">INDEX(Radicals!$G$2:$G$215,MATCH(C829,Radicals!$A$2:$A$215,0))</f>
        <v>mound, hill</v>
      </c>
      <c r="F829" s="8" t="n">
        <f aca="false">INDEX(Radicals!$D$2:$D$215,MATCH(C829,Radicals!$A$2:$A$215,0))</f>
        <v>8</v>
      </c>
      <c r="G829" s="8" t="n">
        <v>10</v>
      </c>
    </row>
    <row r="830" customFormat="false" ht="17.35" hidden="false" customHeight="false" outlineLevel="0" collapsed="false">
      <c r="A830" s="8" t="n">
        <v>829</v>
      </c>
      <c r="B830" s="9" t="s">
        <v>1863</v>
      </c>
      <c r="C830" s="8" t="n">
        <v>62</v>
      </c>
      <c r="D830" s="9" t="str">
        <f aca="false">INDEX(Radicals!$B$2:$B$215,MATCH(C830,Radicals!$A$2:$A$215,0))</f>
        <v>戈</v>
      </c>
      <c r="E830" s="10" t="str">
        <f aca="false">INDEX(Radicals!$G$2:$G$215,MATCH(C830,Radicals!$A$2:$A$215,0))</f>
        <v>halberd, spear</v>
      </c>
      <c r="F830" s="8" t="n">
        <f aca="false">INDEX(Radicals!$D$2:$D$215,MATCH(C830,Radicals!$A$2:$A$215,0))</f>
        <v>4</v>
      </c>
      <c r="G830" s="8" t="n">
        <v>7</v>
      </c>
    </row>
    <row r="831" customFormat="false" ht="17.35" hidden="false" customHeight="false" outlineLevel="0" collapsed="false">
      <c r="A831" s="8" t="n">
        <v>830</v>
      </c>
      <c r="B831" s="9" t="s">
        <v>1864</v>
      </c>
      <c r="C831" s="8" t="n">
        <v>19</v>
      </c>
      <c r="D831" s="9" t="str">
        <f aca="false">INDEX(Radicals!$B$2:$B$215,MATCH(C831,Radicals!$A$2:$A$215,0))</f>
        <v>力</v>
      </c>
      <c r="E831" s="10" t="str">
        <f aca="false">INDEX(Radicals!$G$2:$G$215,MATCH(C831,Radicals!$A$2:$A$215,0))</f>
        <v>power, strength</v>
      </c>
      <c r="F831" s="8" t="n">
        <f aca="false">INDEX(Radicals!$D$2:$D$215,MATCH(C831,Radicals!$A$2:$A$215,0))</f>
        <v>2</v>
      </c>
      <c r="G831" s="8" t="n">
        <v>12</v>
      </c>
    </row>
    <row r="832" customFormat="false" ht="17.35" hidden="false" customHeight="false" outlineLevel="0" collapsed="false">
      <c r="A832" s="8" t="n">
        <v>831</v>
      </c>
      <c r="B832" s="9" t="s">
        <v>1865</v>
      </c>
      <c r="C832" s="8" t="n">
        <v>86</v>
      </c>
      <c r="D832" s="9" t="str">
        <f aca="false">INDEX(Radicals!$B$2:$B$215,MATCH(C832,Radicals!$A$2:$A$215,0))</f>
        <v>火</v>
      </c>
      <c r="E832" s="10" t="str">
        <f aca="false">INDEX(Radicals!$G$2:$G$215,MATCH(C832,Radicals!$A$2:$A$215,0))</f>
        <v>fire</v>
      </c>
      <c r="F832" s="8" t="n">
        <f aca="false">INDEX(Radicals!$D$2:$D$215,MATCH(C832,Radicals!$A$2:$A$215,0))</f>
        <v>4</v>
      </c>
      <c r="G832" s="8" t="n">
        <v>9</v>
      </c>
    </row>
    <row r="833" customFormat="false" ht="17.35" hidden="false" customHeight="false" outlineLevel="0" collapsed="false">
      <c r="A833" s="8" t="n">
        <v>832</v>
      </c>
      <c r="B833" s="9" t="s">
        <v>754</v>
      </c>
      <c r="C833" s="8" t="n">
        <v>143</v>
      </c>
      <c r="D833" s="9" t="str">
        <f aca="false">INDEX(Radicals!$B$2:$B$215,MATCH(C833,Radicals!$A$2:$A$215,0))</f>
        <v>血</v>
      </c>
      <c r="E833" s="10" t="str">
        <f aca="false">INDEX(Radicals!$G$2:$G$215,MATCH(C833,Radicals!$A$2:$A$215,0))</f>
        <v>blood</v>
      </c>
      <c r="F833" s="8" t="n">
        <f aca="false">INDEX(Radicals!$D$2:$D$215,MATCH(C833,Radicals!$A$2:$A$215,0))</f>
        <v>6</v>
      </c>
      <c r="G833" s="8" t="n">
        <v>6</v>
      </c>
    </row>
    <row r="834" customFormat="false" ht="17.35" hidden="false" customHeight="false" outlineLevel="0" collapsed="false">
      <c r="A834" s="8" t="n">
        <v>833</v>
      </c>
      <c r="B834" s="9" t="s">
        <v>1866</v>
      </c>
      <c r="C834" s="8" t="n">
        <v>162</v>
      </c>
      <c r="D834" s="9" t="str">
        <f aca="false">INDEX(Radicals!$B$2:$B$215,MATCH(C834,Radicals!$A$2:$A$215,0))</f>
        <v>辵</v>
      </c>
      <c r="E834" s="10" t="str">
        <f aca="false">INDEX(Radicals!$G$2:$G$215,MATCH(C834,Radicals!$A$2:$A$215,0))</f>
        <v>walk, movement</v>
      </c>
      <c r="F834" s="8" t="n">
        <f aca="false">INDEX(Radicals!$D$2:$D$215,MATCH(C834,Radicals!$A$2:$A$215,0))</f>
        <v>7</v>
      </c>
      <c r="G834" s="8" t="n">
        <v>12</v>
      </c>
    </row>
    <row r="835" customFormat="false" ht="17.35" hidden="false" customHeight="false" outlineLevel="0" collapsed="false">
      <c r="A835" s="8" t="n">
        <v>834</v>
      </c>
      <c r="B835" s="9" t="s">
        <v>1867</v>
      </c>
      <c r="C835" s="8" t="n">
        <v>64</v>
      </c>
      <c r="D835" s="9" t="str">
        <f aca="false">INDEX(Radicals!$B$2:$B$215,MATCH(C835,Radicals!$A$2:$A$215,0))</f>
        <v>手</v>
      </c>
      <c r="E835" s="10" t="str">
        <f aca="false">INDEX(Radicals!$G$2:$G$215,MATCH(C835,Radicals!$A$2:$A$215,0))</f>
        <v>hand</v>
      </c>
      <c r="F835" s="8" t="n">
        <f aca="false">INDEX(Radicals!$D$2:$D$215,MATCH(C835,Radicals!$A$2:$A$215,0))</f>
        <v>4</v>
      </c>
      <c r="G835" s="8" t="n">
        <v>7</v>
      </c>
    </row>
    <row r="836" customFormat="false" ht="17.35" hidden="false" customHeight="false" outlineLevel="0" collapsed="false">
      <c r="A836" s="8" t="n">
        <v>835</v>
      </c>
      <c r="B836" s="9" t="s">
        <v>1868</v>
      </c>
      <c r="C836" s="8" t="n">
        <v>50</v>
      </c>
      <c r="D836" s="9" t="str">
        <f aca="false">INDEX(Radicals!$B$2:$B$215,MATCH(C836,Radicals!$A$2:$A$215,0))</f>
        <v>巾</v>
      </c>
      <c r="E836" s="10" t="str">
        <f aca="false">INDEX(Radicals!$G$2:$G$215,MATCH(C836,Radicals!$A$2:$A$215,0))</f>
        <v>turban, cloth</v>
      </c>
      <c r="F836" s="8" t="n">
        <f aca="false">INDEX(Radicals!$D$2:$D$215,MATCH(C836,Radicals!$A$2:$A$215,0))</f>
        <v>3</v>
      </c>
      <c r="G836" s="8" t="n">
        <v>13</v>
      </c>
    </row>
    <row r="837" customFormat="false" ht="17.35" hidden="false" customHeight="false" outlineLevel="0" collapsed="false">
      <c r="A837" s="8" t="n">
        <v>836</v>
      </c>
      <c r="B837" s="9" t="s">
        <v>1869</v>
      </c>
      <c r="C837" s="8" t="n">
        <v>44</v>
      </c>
      <c r="D837" s="9" t="str">
        <f aca="false">INDEX(Radicals!$B$2:$B$215,MATCH(C837,Radicals!$A$2:$A$215,0))</f>
        <v>尸</v>
      </c>
      <c r="E837" s="10" t="str">
        <f aca="false">INDEX(Radicals!$G$2:$G$215,MATCH(C837,Radicals!$A$2:$A$215,0))</f>
        <v>corpse, body</v>
      </c>
      <c r="F837" s="8" t="n">
        <f aca="false">INDEX(Radicals!$D$2:$D$215,MATCH(C837,Radicals!$A$2:$A$215,0))</f>
        <v>3</v>
      </c>
      <c r="G837" s="8" t="n">
        <v>8</v>
      </c>
    </row>
    <row r="838" customFormat="false" ht="17.35" hidden="false" customHeight="false" outlineLevel="0" collapsed="false">
      <c r="A838" s="8" t="n">
        <v>837</v>
      </c>
      <c r="B838" s="9" t="s">
        <v>1870</v>
      </c>
      <c r="C838" s="8" t="n">
        <v>75</v>
      </c>
      <c r="D838" s="9" t="str">
        <f aca="false">INDEX(Radicals!$B$2:$B$215,MATCH(C838,Radicals!$A$2:$A$215,0))</f>
        <v>木</v>
      </c>
      <c r="E838" s="10" t="str">
        <f aca="false">INDEX(Radicals!$G$2:$G$215,MATCH(C838,Radicals!$A$2:$A$215,0))</f>
        <v>tree, wood</v>
      </c>
      <c r="F838" s="8" t="n">
        <f aca="false">INDEX(Radicals!$D$2:$D$215,MATCH(C838,Radicals!$A$2:$A$215,0))</f>
        <v>4</v>
      </c>
      <c r="G838" s="8" t="n">
        <v>9</v>
      </c>
    </row>
    <row r="839" customFormat="false" ht="17.35" hidden="false" customHeight="false" outlineLevel="0" collapsed="false">
      <c r="A839" s="8" t="n">
        <v>838</v>
      </c>
      <c r="B839" s="9" t="s">
        <v>1871</v>
      </c>
      <c r="C839" s="8" t="n">
        <v>85</v>
      </c>
      <c r="D839" s="9" t="str">
        <f aca="false">INDEX(Radicals!$B$2:$B$215,MATCH(C839,Radicals!$A$2:$A$215,0))</f>
        <v>水</v>
      </c>
      <c r="E839" s="10" t="str">
        <f aca="false">INDEX(Radicals!$G$2:$G$215,MATCH(C839,Radicals!$A$2:$A$215,0))</f>
        <v>water</v>
      </c>
      <c r="F839" s="8" t="n">
        <f aca="false">INDEX(Radicals!$D$2:$D$215,MATCH(C839,Radicals!$A$2:$A$215,0))</f>
        <v>4</v>
      </c>
      <c r="G839" s="8" t="n">
        <v>12</v>
      </c>
    </row>
    <row r="840" customFormat="false" ht="17.35" hidden="false" customHeight="false" outlineLevel="0" collapsed="false">
      <c r="A840" s="8" t="n">
        <v>839</v>
      </c>
      <c r="B840" s="9" t="s">
        <v>1872</v>
      </c>
      <c r="C840" s="8" t="n">
        <v>172</v>
      </c>
      <c r="D840" s="9" t="str">
        <f aca="false">INDEX(Radicals!$B$2:$B$215,MATCH(C840,Radicals!$A$2:$A$215,0))</f>
        <v>隹</v>
      </c>
      <c r="E840" s="10" t="str">
        <f aca="false">INDEX(Radicals!$G$2:$G$215,MATCH(C840,Radicals!$A$2:$A$215,0))</f>
        <v>short-tailed bird</v>
      </c>
      <c r="F840" s="8" t="n">
        <f aca="false">INDEX(Radicals!$D$2:$D$215,MATCH(C840,Radicals!$A$2:$A$215,0))</f>
        <v>8</v>
      </c>
      <c r="G840" s="8" t="n">
        <v>14</v>
      </c>
    </row>
    <row r="841" customFormat="false" ht="17.35" hidden="false" customHeight="false" outlineLevel="0" collapsed="false">
      <c r="A841" s="8" t="n">
        <v>840</v>
      </c>
      <c r="B841" s="9" t="s">
        <v>1873</v>
      </c>
      <c r="C841" s="8" t="n">
        <v>64</v>
      </c>
      <c r="D841" s="9" t="str">
        <f aca="false">INDEX(Radicals!$B$2:$B$215,MATCH(C841,Radicals!$A$2:$A$215,0))</f>
        <v>手</v>
      </c>
      <c r="E841" s="10" t="str">
        <f aca="false">INDEX(Radicals!$G$2:$G$215,MATCH(C841,Radicals!$A$2:$A$215,0))</f>
        <v>hand</v>
      </c>
      <c r="F841" s="8" t="n">
        <f aca="false">INDEX(Radicals!$D$2:$D$215,MATCH(C841,Radicals!$A$2:$A$215,0))</f>
        <v>4</v>
      </c>
      <c r="G841" s="8" t="n">
        <v>8</v>
      </c>
    </row>
    <row r="842" customFormat="false" ht="17.35" hidden="false" customHeight="false" outlineLevel="0" collapsed="false">
      <c r="A842" s="8" t="n">
        <v>841</v>
      </c>
      <c r="B842" s="9" t="s">
        <v>1874</v>
      </c>
      <c r="C842" s="8" t="n">
        <v>37</v>
      </c>
      <c r="D842" s="9" t="str">
        <f aca="false">INDEX(Radicals!$B$2:$B$215,MATCH(C842,Radicals!$A$2:$A$215,0))</f>
        <v>大</v>
      </c>
      <c r="E842" s="10" t="str">
        <f aca="false">INDEX(Radicals!$G$2:$G$215,MATCH(C842,Radicals!$A$2:$A$215,0))</f>
        <v>big</v>
      </c>
      <c r="F842" s="8" t="n">
        <f aca="false">INDEX(Radicals!$D$2:$D$215,MATCH(C842,Radicals!$A$2:$A$215,0))</f>
        <v>3</v>
      </c>
      <c r="G842" s="8" t="n">
        <v>8</v>
      </c>
    </row>
    <row r="843" customFormat="false" ht="17.35" hidden="false" customHeight="false" outlineLevel="0" collapsed="false">
      <c r="A843" s="8" t="n">
        <v>842</v>
      </c>
      <c r="B843" s="9" t="s">
        <v>1875</v>
      </c>
      <c r="C843" s="8" t="n">
        <v>39</v>
      </c>
      <c r="D843" s="9" t="str">
        <f aca="false">INDEX(Radicals!$B$2:$B$215,MATCH(C843,Radicals!$A$2:$A$215,0))</f>
        <v>子</v>
      </c>
      <c r="E843" s="10" t="str">
        <f aca="false">INDEX(Radicals!$G$2:$G$215,MATCH(C843,Radicals!$A$2:$A$215,0))</f>
        <v>child</v>
      </c>
      <c r="F843" s="8" t="n">
        <f aca="false">INDEX(Radicals!$D$2:$D$215,MATCH(C843,Radicals!$A$2:$A$215,0))</f>
        <v>3</v>
      </c>
      <c r="G843" s="8" t="n">
        <v>8</v>
      </c>
    </row>
    <row r="844" customFormat="false" ht="17.35" hidden="false" customHeight="false" outlineLevel="0" collapsed="false">
      <c r="A844" s="8" t="n">
        <v>843</v>
      </c>
      <c r="B844" s="9" t="s">
        <v>1876</v>
      </c>
      <c r="C844" s="8" t="n">
        <v>31</v>
      </c>
      <c r="D844" s="9" t="str">
        <f aca="false">INDEX(Radicals!$B$2:$B$215,MATCH(C844,Radicals!$A$2:$A$215,0))</f>
        <v>囗</v>
      </c>
      <c r="E844" s="10" t="str">
        <f aca="false">INDEX(Radicals!$G$2:$G$215,MATCH(C844,Radicals!$A$2:$A$215,0))</f>
        <v>enclosure</v>
      </c>
      <c r="F844" s="8" t="n">
        <f aca="false">INDEX(Radicals!$D$2:$D$215,MATCH(C844,Radicals!$A$2:$A$215,0))</f>
        <v>3</v>
      </c>
      <c r="G844" s="8" t="n">
        <v>7</v>
      </c>
    </row>
    <row r="845" customFormat="false" ht="17.35" hidden="false" customHeight="false" outlineLevel="0" collapsed="false">
      <c r="A845" s="8" t="n">
        <v>844</v>
      </c>
      <c r="B845" s="9" t="s">
        <v>1877</v>
      </c>
      <c r="C845" s="8" t="n">
        <v>72</v>
      </c>
      <c r="D845" s="9" t="str">
        <f aca="false">INDEX(Radicals!$B$2:$B$215,MATCH(C845,Radicals!$A$2:$A$215,0))</f>
        <v>日</v>
      </c>
      <c r="E845" s="10" t="str">
        <f aca="false">INDEX(Radicals!$G$2:$G$215,MATCH(C845,Radicals!$A$2:$A$215,0))</f>
        <v>sun, day</v>
      </c>
      <c r="F845" s="8" t="n">
        <f aca="false">INDEX(Radicals!$D$2:$D$215,MATCH(C845,Radicals!$A$2:$A$215,0))</f>
        <v>4</v>
      </c>
      <c r="G845" s="8" t="n">
        <v>9</v>
      </c>
    </row>
    <row r="846" customFormat="false" ht="17.35" hidden="false" customHeight="false" outlineLevel="0" collapsed="false">
      <c r="A846" s="8" t="n">
        <v>845</v>
      </c>
      <c r="B846" s="9" t="s">
        <v>1878</v>
      </c>
      <c r="C846" s="8" t="n">
        <v>9</v>
      </c>
      <c r="D846" s="9" t="str">
        <f aca="false">INDEX(Radicals!$B$2:$B$215,MATCH(C846,Radicals!$A$2:$A$215,0))</f>
        <v>人</v>
      </c>
      <c r="E846" s="10" t="str">
        <f aca="false">INDEX(Radicals!$G$2:$G$215,MATCH(C846,Radicals!$A$2:$A$215,0))</f>
        <v>person</v>
      </c>
      <c r="F846" s="8" t="n">
        <f aca="false">INDEX(Radicals!$D$2:$D$215,MATCH(C846,Radicals!$A$2:$A$215,0))</f>
        <v>2</v>
      </c>
      <c r="G846" s="8" t="n">
        <v>13</v>
      </c>
    </row>
    <row r="847" customFormat="false" ht="17.35" hidden="false" customHeight="false" outlineLevel="0" collapsed="false">
      <c r="A847" s="8" t="n">
        <v>846</v>
      </c>
      <c r="B847" s="9" t="s">
        <v>1879</v>
      </c>
      <c r="C847" s="8" t="n">
        <v>85</v>
      </c>
      <c r="D847" s="9" t="str">
        <f aca="false">INDEX(Radicals!$B$2:$B$215,MATCH(C847,Radicals!$A$2:$A$215,0))</f>
        <v>水</v>
      </c>
      <c r="E847" s="10" t="str">
        <f aca="false">INDEX(Radicals!$G$2:$G$215,MATCH(C847,Radicals!$A$2:$A$215,0))</f>
        <v>water</v>
      </c>
      <c r="F847" s="8" t="n">
        <f aca="false">INDEX(Radicals!$D$2:$D$215,MATCH(C847,Radicals!$A$2:$A$215,0))</f>
        <v>4</v>
      </c>
      <c r="G847" s="8" t="n">
        <v>5</v>
      </c>
    </row>
    <row r="848" customFormat="false" ht="17.35" hidden="false" customHeight="false" outlineLevel="0" collapsed="false">
      <c r="A848" s="8" t="n">
        <v>847</v>
      </c>
      <c r="B848" s="9" t="s">
        <v>1880</v>
      </c>
      <c r="C848" s="8" t="n">
        <v>64</v>
      </c>
      <c r="D848" s="9" t="str">
        <f aca="false">INDEX(Radicals!$B$2:$B$215,MATCH(C848,Radicals!$A$2:$A$215,0))</f>
        <v>手</v>
      </c>
      <c r="E848" s="10" t="str">
        <f aca="false">INDEX(Radicals!$G$2:$G$215,MATCH(C848,Radicals!$A$2:$A$215,0))</f>
        <v>hand</v>
      </c>
      <c r="F848" s="8" t="n">
        <f aca="false">INDEX(Radicals!$D$2:$D$215,MATCH(C848,Radicals!$A$2:$A$215,0))</f>
        <v>4</v>
      </c>
      <c r="G848" s="8" t="n">
        <v>7</v>
      </c>
    </row>
    <row r="849" customFormat="false" ht="17.35" hidden="false" customHeight="false" outlineLevel="0" collapsed="false">
      <c r="A849" s="8" t="n">
        <v>848</v>
      </c>
      <c r="B849" s="9" t="s">
        <v>1881</v>
      </c>
      <c r="C849" s="8" t="n">
        <v>115</v>
      </c>
      <c r="D849" s="9" t="str">
        <f aca="false">INDEX(Radicals!$B$2:$B$215,MATCH(C849,Radicals!$A$2:$A$215,0))</f>
        <v>禾</v>
      </c>
      <c r="E849" s="10" t="str">
        <f aca="false">INDEX(Radicals!$G$2:$G$215,MATCH(C849,Radicals!$A$2:$A$215,0))</f>
        <v>grain, rice plant</v>
      </c>
      <c r="F849" s="8" t="n">
        <f aca="false">INDEX(Radicals!$D$2:$D$215,MATCH(C849,Radicals!$A$2:$A$215,0))</f>
        <v>5</v>
      </c>
      <c r="G849" s="8" t="n">
        <v>7</v>
      </c>
    </row>
    <row r="850" customFormat="false" ht="17.35" hidden="false" customHeight="false" outlineLevel="0" collapsed="false">
      <c r="A850" s="8" t="n">
        <v>849</v>
      </c>
      <c r="B850" s="9" t="s">
        <v>1882</v>
      </c>
      <c r="C850" s="8" t="n">
        <v>140</v>
      </c>
      <c r="D850" s="9" t="str">
        <f aca="false">INDEX(Radicals!$B$2:$B$215,MATCH(C850,Radicals!$A$2:$A$215,0))</f>
        <v>艸</v>
      </c>
      <c r="E850" s="10" t="str">
        <f aca="false">INDEX(Radicals!$G$2:$G$215,MATCH(C850,Radicals!$A$2:$A$215,0))</f>
        <v>grass, plant</v>
      </c>
      <c r="F850" s="8" t="n">
        <f aca="false">INDEX(Radicals!$D$2:$D$215,MATCH(C850,Radicals!$A$2:$A$215,0))</f>
        <v>6</v>
      </c>
      <c r="G850" s="8" t="n">
        <v>11</v>
      </c>
    </row>
    <row r="851" customFormat="false" ht="17.35" hidden="false" customHeight="false" outlineLevel="0" collapsed="false">
      <c r="A851" s="8" t="n">
        <v>850</v>
      </c>
      <c r="B851" s="9" t="s">
        <v>1883</v>
      </c>
      <c r="C851" s="8" t="n">
        <v>60</v>
      </c>
      <c r="D851" s="9" t="str">
        <f aca="false">INDEX(Radicals!$B$2:$B$215,MATCH(C851,Radicals!$A$2:$A$215,0))</f>
        <v>彳</v>
      </c>
      <c r="E851" s="10" t="str">
        <f aca="false">INDEX(Radicals!$G$2:$G$215,MATCH(C851,Radicals!$A$2:$A$215,0))</f>
        <v>step, small step</v>
      </c>
      <c r="F851" s="8" t="n">
        <f aca="false">INDEX(Radicals!$D$2:$D$215,MATCH(C851,Radicals!$A$2:$A$215,0))</f>
        <v>3</v>
      </c>
      <c r="G851" s="8" t="n">
        <v>14</v>
      </c>
    </row>
    <row r="852" customFormat="false" ht="17.35" hidden="false" customHeight="false" outlineLevel="0" collapsed="false">
      <c r="A852" s="8" t="n">
        <v>851</v>
      </c>
      <c r="B852" s="9" t="s">
        <v>1884</v>
      </c>
      <c r="C852" s="8" t="n">
        <v>149</v>
      </c>
      <c r="D852" s="9" t="str">
        <f aca="false">INDEX(Radicals!$B$2:$B$215,MATCH(C852,Radicals!$A$2:$A$215,0))</f>
        <v>言</v>
      </c>
      <c r="E852" s="10" t="str">
        <f aca="false">INDEX(Radicals!$G$2:$G$215,MATCH(C852,Radicals!$A$2:$A$215,0))</f>
        <v>speech, say</v>
      </c>
      <c r="F852" s="8" t="n">
        <f aca="false">INDEX(Radicals!$D$2:$D$215,MATCH(C852,Radicals!$A$2:$A$215,0))</f>
        <v>7</v>
      </c>
      <c r="G852" s="8" t="n">
        <v>14</v>
      </c>
    </row>
    <row r="853" customFormat="false" ht="17.35" hidden="false" customHeight="false" outlineLevel="0" collapsed="false">
      <c r="A853" s="8" t="n">
        <v>852</v>
      </c>
      <c r="B853" s="9" t="s">
        <v>1885</v>
      </c>
      <c r="C853" s="8" t="n">
        <v>53</v>
      </c>
      <c r="D853" s="9" t="str">
        <f aca="false">INDEX(Radicals!$B$2:$B$215,MATCH(C853,Radicals!$A$2:$A$215,0))</f>
        <v>广</v>
      </c>
      <c r="E853" s="10" t="str">
        <f aca="false">INDEX(Radicals!$G$2:$G$215,MATCH(C853,Radicals!$A$2:$A$215,0))</f>
        <v>dotted cliff, building</v>
      </c>
      <c r="F853" s="8" t="n">
        <f aca="false">INDEX(Radicals!$D$2:$D$215,MATCH(C853,Radicals!$A$2:$A$215,0))</f>
        <v>3</v>
      </c>
      <c r="G853" s="8" t="n">
        <v>10</v>
      </c>
    </row>
    <row r="854" customFormat="false" ht="17.35" hidden="false" customHeight="false" outlineLevel="0" collapsed="false">
      <c r="A854" s="8" t="n">
        <v>853</v>
      </c>
      <c r="B854" s="9" t="s">
        <v>1886</v>
      </c>
      <c r="C854" s="8" t="n">
        <v>57</v>
      </c>
      <c r="D854" s="9" t="str">
        <f aca="false">INDEX(Radicals!$B$2:$B$215,MATCH(C854,Radicals!$A$2:$A$215,0))</f>
        <v>弓</v>
      </c>
      <c r="E854" s="10" t="str">
        <f aca="false">INDEX(Radicals!$G$2:$G$215,MATCH(C854,Radicals!$A$2:$A$215,0))</f>
        <v>bow</v>
      </c>
      <c r="F854" s="8" t="n">
        <f aca="false">INDEX(Radicals!$D$2:$D$215,MATCH(C854,Radicals!$A$2:$A$215,0))</f>
        <v>3</v>
      </c>
      <c r="G854" s="8" t="n">
        <v>12</v>
      </c>
    </row>
    <row r="855" customFormat="false" ht="17.35" hidden="false" customHeight="false" outlineLevel="0" collapsed="false">
      <c r="A855" s="8" t="n">
        <v>854</v>
      </c>
      <c r="B855" s="9" t="s">
        <v>1887</v>
      </c>
      <c r="C855" s="8" t="n">
        <v>9</v>
      </c>
      <c r="D855" s="9" t="str">
        <f aca="false">INDEX(Radicals!$B$2:$B$215,MATCH(C855,Radicals!$A$2:$A$215,0))</f>
        <v>人</v>
      </c>
      <c r="E855" s="10" t="str">
        <f aca="false">INDEX(Radicals!$G$2:$G$215,MATCH(C855,Radicals!$A$2:$A$215,0))</f>
        <v>person</v>
      </c>
      <c r="F855" s="8" t="n">
        <f aca="false">INDEX(Radicals!$D$2:$D$215,MATCH(C855,Radicals!$A$2:$A$215,0))</f>
        <v>2</v>
      </c>
      <c r="G855" s="8" t="n">
        <v>17</v>
      </c>
    </row>
    <row r="856" customFormat="false" ht="17.35" hidden="false" customHeight="false" outlineLevel="0" collapsed="false">
      <c r="A856" s="8" t="n">
        <v>855</v>
      </c>
      <c r="B856" s="9" t="s">
        <v>1888</v>
      </c>
      <c r="C856" s="8" t="n">
        <v>18</v>
      </c>
      <c r="D856" s="9" t="str">
        <f aca="false">INDEX(Radicals!$B$2:$B$215,MATCH(C856,Radicals!$A$2:$A$215,0))</f>
        <v>刀</v>
      </c>
      <c r="E856" s="10" t="str">
        <f aca="false">INDEX(Radicals!$G$2:$G$215,MATCH(C856,Radicals!$A$2:$A$215,0))</f>
        <v>knife, sword</v>
      </c>
      <c r="F856" s="8" t="n">
        <f aca="false">INDEX(Radicals!$D$2:$D$215,MATCH(C856,Radicals!$A$2:$A$215,0))</f>
        <v>2</v>
      </c>
      <c r="G856" s="8" t="n">
        <v>5</v>
      </c>
    </row>
    <row r="857" customFormat="false" ht="17.35" hidden="false" customHeight="false" outlineLevel="0" collapsed="false">
      <c r="A857" s="8" t="n">
        <v>856</v>
      </c>
      <c r="B857" s="9" t="s">
        <v>1889</v>
      </c>
      <c r="C857" s="8" t="n">
        <v>9</v>
      </c>
      <c r="D857" s="9" t="str">
        <f aca="false">INDEX(Radicals!$B$2:$B$215,MATCH(C857,Radicals!$A$2:$A$215,0))</f>
        <v>人</v>
      </c>
      <c r="E857" s="10" t="str">
        <f aca="false">INDEX(Radicals!$G$2:$G$215,MATCH(C857,Radicals!$A$2:$A$215,0))</f>
        <v>person</v>
      </c>
      <c r="F857" s="8" t="n">
        <f aca="false">INDEX(Radicals!$D$2:$D$215,MATCH(C857,Radicals!$A$2:$A$215,0))</f>
        <v>2</v>
      </c>
      <c r="G857" s="8" t="n">
        <v>14</v>
      </c>
    </row>
    <row r="858" customFormat="false" ht="17.35" hidden="false" customHeight="false" outlineLevel="0" collapsed="false">
      <c r="A858" s="8" t="n">
        <v>857</v>
      </c>
      <c r="B858" s="9" t="s">
        <v>1890</v>
      </c>
      <c r="C858" s="8" t="n">
        <v>19</v>
      </c>
      <c r="D858" s="9" t="str">
        <f aca="false">INDEX(Radicals!$B$2:$B$215,MATCH(C858,Radicals!$A$2:$A$215,0))</f>
        <v>力</v>
      </c>
      <c r="E858" s="10" t="str">
        <f aca="false">INDEX(Radicals!$G$2:$G$215,MATCH(C858,Radicals!$A$2:$A$215,0))</f>
        <v>power, strength</v>
      </c>
      <c r="F858" s="8" t="n">
        <f aca="false">INDEX(Radicals!$D$2:$D$215,MATCH(C858,Radicals!$A$2:$A$215,0))</f>
        <v>2</v>
      </c>
      <c r="G858" s="8" t="n">
        <v>5</v>
      </c>
    </row>
    <row r="859" customFormat="false" ht="17.35" hidden="false" customHeight="false" outlineLevel="0" collapsed="false">
      <c r="A859" s="8" t="n">
        <v>858</v>
      </c>
      <c r="B859" s="9" t="s">
        <v>1891</v>
      </c>
      <c r="C859" s="8" t="n">
        <v>64</v>
      </c>
      <c r="D859" s="9" t="str">
        <f aca="false">INDEX(Radicals!$B$2:$B$215,MATCH(C859,Radicals!$A$2:$A$215,0))</f>
        <v>手</v>
      </c>
      <c r="E859" s="10" t="str">
        <f aca="false">INDEX(Radicals!$G$2:$G$215,MATCH(C859,Radicals!$A$2:$A$215,0))</f>
        <v>hand</v>
      </c>
      <c r="F859" s="8" t="n">
        <f aca="false">INDEX(Radicals!$D$2:$D$215,MATCH(C859,Radicals!$A$2:$A$215,0))</f>
        <v>4</v>
      </c>
      <c r="G859" s="8" t="n">
        <v>8</v>
      </c>
    </row>
    <row r="860" customFormat="false" ht="17.35" hidden="false" customHeight="false" outlineLevel="0" collapsed="false">
      <c r="A860" s="8" t="n">
        <v>859</v>
      </c>
      <c r="B860" s="9" t="s">
        <v>971</v>
      </c>
      <c r="C860" s="8" t="n">
        <v>186</v>
      </c>
      <c r="D860" s="9" t="str">
        <f aca="false">INDEX(Radicals!$B$2:$B$215,MATCH(C860,Radicals!$A$2:$A$215,0))</f>
        <v>香</v>
      </c>
      <c r="E860" s="10" t="str">
        <f aca="false">INDEX(Radicals!$G$2:$G$215,MATCH(C860,Radicals!$A$2:$A$215,0))</f>
        <v>fragrance, incense</v>
      </c>
      <c r="F860" s="8" t="n">
        <f aca="false">INDEX(Radicals!$D$2:$D$215,MATCH(C860,Radicals!$A$2:$A$215,0))</f>
        <v>9</v>
      </c>
      <c r="G860" s="8" t="n">
        <v>9</v>
      </c>
    </row>
    <row r="861" customFormat="false" ht="17.35" hidden="false" customHeight="false" outlineLevel="0" collapsed="false">
      <c r="A861" s="8" t="n">
        <v>860</v>
      </c>
      <c r="B861" s="9" t="s">
        <v>410</v>
      </c>
      <c r="C861" s="8" t="n">
        <v>76</v>
      </c>
      <c r="D861" s="9" t="str">
        <f aca="false">INDEX(Radicals!$B$2:$B$215,MATCH(C861,Radicals!$A$2:$A$215,0))</f>
        <v>欠</v>
      </c>
      <c r="E861" s="10" t="str">
        <f aca="false">INDEX(Radicals!$G$2:$G$215,MATCH(C861,Radicals!$A$2:$A$215,0))</f>
        <v>lack, yawn</v>
      </c>
      <c r="F861" s="8" t="n">
        <f aca="false">INDEX(Radicals!$D$2:$D$215,MATCH(C861,Radicals!$A$2:$A$215,0))</f>
        <v>4</v>
      </c>
      <c r="G861" s="8" t="n">
        <v>4</v>
      </c>
    </row>
    <row r="862" customFormat="false" ht="17.35" hidden="false" customHeight="false" outlineLevel="0" collapsed="false">
      <c r="A862" s="8" t="n">
        <v>861</v>
      </c>
      <c r="B862" s="9" t="s">
        <v>1892</v>
      </c>
      <c r="C862" s="8" t="n">
        <v>73</v>
      </c>
      <c r="D862" s="9" t="str">
        <f aca="false">INDEX(Radicals!$B$2:$B$215,MATCH(C862,Radicals!$A$2:$A$215,0))</f>
        <v>曰</v>
      </c>
      <c r="E862" s="10" t="str">
        <f aca="false">INDEX(Radicals!$G$2:$G$215,MATCH(C862,Radicals!$A$2:$A$215,0))</f>
        <v>say</v>
      </c>
      <c r="F862" s="8" t="n">
        <f aca="false">INDEX(Radicals!$D$2:$D$215,MATCH(C862,Radicals!$A$2:$A$215,0))</f>
        <v>4</v>
      </c>
      <c r="G862" s="8" t="n">
        <v>7</v>
      </c>
    </row>
    <row r="863" customFormat="false" ht="17.35" hidden="false" customHeight="false" outlineLevel="0" collapsed="false">
      <c r="A863" s="8" t="n">
        <v>862</v>
      </c>
      <c r="B863" s="9" t="s">
        <v>1893</v>
      </c>
      <c r="C863" s="8" t="n">
        <v>115</v>
      </c>
      <c r="D863" s="9" t="str">
        <f aca="false">INDEX(Radicals!$B$2:$B$215,MATCH(C863,Radicals!$A$2:$A$215,0))</f>
        <v>禾</v>
      </c>
      <c r="E863" s="10" t="str">
        <f aca="false">INDEX(Radicals!$G$2:$G$215,MATCH(C863,Radicals!$A$2:$A$215,0))</f>
        <v>grain, rice plant</v>
      </c>
      <c r="F863" s="8" t="n">
        <f aca="false">INDEX(Radicals!$D$2:$D$215,MATCH(C863,Radicals!$A$2:$A$215,0))</f>
        <v>5</v>
      </c>
      <c r="G863" s="8" t="n">
        <v>10</v>
      </c>
    </row>
    <row r="864" customFormat="false" ht="17.35" hidden="false" customHeight="false" outlineLevel="0" collapsed="false">
      <c r="A864" s="8" t="n">
        <v>863</v>
      </c>
      <c r="B864" s="9" t="s">
        <v>1894</v>
      </c>
      <c r="C864" s="8" t="n">
        <v>64</v>
      </c>
      <c r="D864" s="9" t="str">
        <f aca="false">INDEX(Radicals!$B$2:$B$215,MATCH(C864,Radicals!$A$2:$A$215,0))</f>
        <v>手</v>
      </c>
      <c r="E864" s="10" t="str">
        <f aca="false">INDEX(Radicals!$G$2:$G$215,MATCH(C864,Radicals!$A$2:$A$215,0))</f>
        <v>hand</v>
      </c>
      <c r="F864" s="8" t="n">
        <f aca="false">INDEX(Radicals!$D$2:$D$215,MATCH(C864,Radicals!$A$2:$A$215,0))</f>
        <v>4</v>
      </c>
      <c r="G864" s="8" t="n">
        <v>8</v>
      </c>
    </row>
    <row r="865" customFormat="false" ht="17.35" hidden="false" customHeight="false" outlineLevel="0" collapsed="false">
      <c r="A865" s="8" t="n">
        <v>864</v>
      </c>
      <c r="B865" s="9" t="s">
        <v>1895</v>
      </c>
      <c r="C865" s="8" t="n">
        <v>18</v>
      </c>
      <c r="D865" s="9" t="str">
        <f aca="false">INDEX(Radicals!$B$2:$B$215,MATCH(C865,Radicals!$A$2:$A$215,0))</f>
        <v>刀</v>
      </c>
      <c r="E865" s="10" t="str">
        <f aca="false">INDEX(Radicals!$G$2:$G$215,MATCH(C865,Radicals!$A$2:$A$215,0))</f>
        <v>knife, sword</v>
      </c>
      <c r="F865" s="8" t="n">
        <f aca="false">INDEX(Radicals!$D$2:$D$215,MATCH(C865,Radicals!$A$2:$A$215,0))</f>
        <v>2</v>
      </c>
      <c r="G865" s="8" t="n">
        <v>6</v>
      </c>
    </row>
    <row r="866" customFormat="false" ht="17.35" hidden="false" customHeight="false" outlineLevel="0" collapsed="false">
      <c r="A866" s="8" t="n">
        <v>865</v>
      </c>
      <c r="B866" s="9" t="s">
        <v>1896</v>
      </c>
      <c r="C866" s="8" t="n">
        <v>32</v>
      </c>
      <c r="D866" s="9" t="str">
        <f aca="false">INDEX(Radicals!$B$2:$B$215,MATCH(C866,Radicals!$A$2:$A$215,0))</f>
        <v>土</v>
      </c>
      <c r="E866" s="10" t="str">
        <f aca="false">INDEX(Radicals!$G$2:$G$215,MATCH(C866,Radicals!$A$2:$A$215,0))</f>
        <v>earth, soil</v>
      </c>
      <c r="F866" s="8" t="n">
        <f aca="false">INDEX(Radicals!$D$2:$D$215,MATCH(C866,Radicals!$A$2:$A$215,0))</f>
        <v>3</v>
      </c>
      <c r="G866" s="8" t="n">
        <v>7</v>
      </c>
    </row>
    <row r="867" customFormat="false" ht="17.35" hidden="false" customHeight="false" outlineLevel="0" collapsed="false">
      <c r="A867" s="8" t="n">
        <v>866</v>
      </c>
      <c r="B867" s="9" t="s">
        <v>1897</v>
      </c>
      <c r="C867" s="8" t="n">
        <v>18</v>
      </c>
      <c r="D867" s="9" t="str">
        <f aca="false">INDEX(Radicals!$B$2:$B$215,MATCH(C867,Radicals!$A$2:$A$215,0))</f>
        <v>刀</v>
      </c>
      <c r="E867" s="10" t="str">
        <f aca="false">INDEX(Radicals!$G$2:$G$215,MATCH(C867,Radicals!$A$2:$A$215,0))</f>
        <v>knife, sword</v>
      </c>
      <c r="F867" s="8" t="n">
        <f aca="false">INDEX(Radicals!$D$2:$D$215,MATCH(C867,Radicals!$A$2:$A$215,0))</f>
        <v>2</v>
      </c>
      <c r="G867" s="8" t="n">
        <v>8</v>
      </c>
    </row>
    <row r="868" customFormat="false" ht="17.35" hidden="false" customHeight="false" outlineLevel="0" collapsed="false">
      <c r="A868" s="8" t="n">
        <v>867</v>
      </c>
      <c r="B868" s="9" t="s">
        <v>1898</v>
      </c>
      <c r="C868" s="8" t="n">
        <v>53</v>
      </c>
      <c r="D868" s="9" t="str">
        <f aca="false">INDEX(Radicals!$B$2:$B$215,MATCH(C868,Radicals!$A$2:$A$215,0))</f>
        <v>广</v>
      </c>
      <c r="E868" s="10" t="str">
        <f aca="false">INDEX(Radicals!$G$2:$G$215,MATCH(C868,Radicals!$A$2:$A$215,0))</f>
        <v>dotted cliff, building</v>
      </c>
      <c r="F868" s="8" t="n">
        <f aca="false">INDEX(Radicals!$D$2:$D$215,MATCH(C868,Radicals!$A$2:$A$215,0))</f>
        <v>3</v>
      </c>
      <c r="G868" s="8" t="n">
        <v>8</v>
      </c>
    </row>
    <row r="869" customFormat="false" ht="17.35" hidden="false" customHeight="false" outlineLevel="0" collapsed="false">
      <c r="A869" s="8" t="n">
        <v>868</v>
      </c>
      <c r="B869" s="9" t="s">
        <v>1899</v>
      </c>
      <c r="C869" s="8" t="n">
        <v>154</v>
      </c>
      <c r="D869" s="9" t="str">
        <f aca="false">INDEX(Radicals!$B$2:$B$215,MATCH(C869,Radicals!$A$2:$A$215,0))</f>
        <v>貝</v>
      </c>
      <c r="E869" s="10" t="str">
        <f aca="false">INDEX(Radicals!$G$2:$G$215,MATCH(C869,Radicals!$A$2:$A$215,0))</f>
        <v>shell, money</v>
      </c>
      <c r="F869" s="8" t="n">
        <f aca="false">INDEX(Radicals!$D$2:$D$215,MATCH(C869,Radicals!$A$2:$A$215,0))</f>
        <v>7</v>
      </c>
      <c r="G869" s="8" t="n">
        <v>15</v>
      </c>
    </row>
    <row r="870" customFormat="false" ht="17.35" hidden="false" customHeight="false" outlineLevel="0" collapsed="false">
      <c r="A870" s="8" t="n">
        <v>869</v>
      </c>
      <c r="B870" s="9" t="s">
        <v>1900</v>
      </c>
      <c r="C870" s="8" t="n">
        <v>32</v>
      </c>
      <c r="D870" s="9" t="str">
        <f aca="false">INDEX(Radicals!$B$2:$B$215,MATCH(C870,Radicals!$A$2:$A$215,0))</f>
        <v>土</v>
      </c>
      <c r="E870" s="10" t="str">
        <f aca="false">INDEX(Radicals!$G$2:$G$215,MATCH(C870,Radicals!$A$2:$A$215,0))</f>
        <v>earth, soil</v>
      </c>
      <c r="F870" s="8" t="n">
        <f aca="false">INDEX(Radicals!$D$2:$D$215,MATCH(C870,Radicals!$A$2:$A$215,0))</f>
        <v>3</v>
      </c>
      <c r="G870" s="8" t="n">
        <v>12</v>
      </c>
    </row>
    <row r="871" customFormat="false" ht="17.35" hidden="false" customHeight="false" outlineLevel="0" collapsed="false">
      <c r="A871" s="8" t="n">
        <v>870</v>
      </c>
      <c r="B871" s="9" t="s">
        <v>1901</v>
      </c>
      <c r="C871" s="8" t="n">
        <v>133</v>
      </c>
      <c r="D871" s="9" t="str">
        <f aca="false">INDEX(Radicals!$B$2:$B$215,MATCH(C871,Radicals!$A$2:$A$215,0))</f>
        <v>至</v>
      </c>
      <c r="E871" s="10" t="str">
        <f aca="false">INDEX(Radicals!$G$2:$G$215,MATCH(C871,Radicals!$A$2:$A$215,0))</f>
        <v>arrive</v>
      </c>
      <c r="F871" s="8" t="n">
        <f aca="false">INDEX(Radicals!$D$2:$D$215,MATCH(C871,Radicals!$A$2:$A$215,0))</f>
        <v>6</v>
      </c>
      <c r="G871" s="8" t="n">
        <v>10</v>
      </c>
    </row>
    <row r="872" customFormat="false" ht="17.35" hidden="false" customHeight="false" outlineLevel="0" collapsed="false">
      <c r="A872" s="8" t="n">
        <v>871</v>
      </c>
      <c r="B872" s="9" t="s">
        <v>1902</v>
      </c>
      <c r="C872" s="8" t="n">
        <v>64</v>
      </c>
      <c r="D872" s="9" t="str">
        <f aca="false">INDEX(Radicals!$B$2:$B$215,MATCH(C872,Radicals!$A$2:$A$215,0))</f>
        <v>手</v>
      </c>
      <c r="E872" s="10" t="str">
        <f aca="false">INDEX(Radicals!$G$2:$G$215,MATCH(C872,Radicals!$A$2:$A$215,0))</f>
        <v>hand</v>
      </c>
      <c r="F872" s="8" t="n">
        <f aca="false">INDEX(Radicals!$D$2:$D$215,MATCH(C872,Radicals!$A$2:$A$215,0))</f>
        <v>4</v>
      </c>
      <c r="G872" s="8" t="n">
        <v>8</v>
      </c>
    </row>
    <row r="873" customFormat="false" ht="17.35" hidden="false" customHeight="false" outlineLevel="0" collapsed="false">
      <c r="A873" s="8" t="n">
        <v>872</v>
      </c>
      <c r="B873" s="9" t="s">
        <v>1903</v>
      </c>
      <c r="C873" s="8" t="n">
        <v>120</v>
      </c>
      <c r="D873" s="9" t="str">
        <f aca="false">INDEX(Radicals!$B$2:$B$215,MATCH(C873,Radicals!$A$2:$A$215,0))</f>
        <v>糸</v>
      </c>
      <c r="E873" s="10" t="str">
        <f aca="false">INDEX(Radicals!$G$2:$G$215,MATCH(C873,Radicals!$A$2:$A$215,0))</f>
        <v>thread, silk</v>
      </c>
      <c r="F873" s="8" t="n">
        <f aca="false">INDEX(Radicals!$D$2:$D$215,MATCH(C873,Radicals!$A$2:$A$215,0))</f>
        <v>6</v>
      </c>
      <c r="G873" s="8" t="n">
        <v>19</v>
      </c>
    </row>
    <row r="874" customFormat="false" ht="17.35" hidden="false" customHeight="false" outlineLevel="0" collapsed="false">
      <c r="A874" s="8" t="n">
        <v>873</v>
      </c>
      <c r="B874" s="9" t="s">
        <v>1904</v>
      </c>
      <c r="C874" s="8" t="n">
        <v>74</v>
      </c>
      <c r="D874" s="9" t="str">
        <f aca="false">INDEX(Radicals!$B$2:$B$215,MATCH(C874,Radicals!$A$2:$A$215,0))</f>
        <v>月</v>
      </c>
      <c r="E874" s="10" t="str">
        <f aca="false">INDEX(Radicals!$G$2:$G$215,MATCH(C874,Radicals!$A$2:$A$215,0))</f>
        <v>moon, month</v>
      </c>
      <c r="F874" s="8" t="n">
        <f aca="false">INDEX(Radicals!$D$2:$D$215,MATCH(C874,Radicals!$A$2:$A$215,0))</f>
        <v>4</v>
      </c>
      <c r="G874" s="8" t="n">
        <v>8</v>
      </c>
    </row>
    <row r="875" customFormat="false" ht="17.35" hidden="false" customHeight="false" outlineLevel="0" collapsed="false">
      <c r="A875" s="8" t="n">
        <v>874</v>
      </c>
      <c r="B875" s="9" t="s">
        <v>1905</v>
      </c>
      <c r="C875" s="8" t="n">
        <v>94</v>
      </c>
      <c r="D875" s="9" t="str">
        <f aca="false">INDEX(Radicals!$B$2:$B$215,MATCH(C875,Radicals!$A$2:$A$215,0))</f>
        <v>犬</v>
      </c>
      <c r="E875" s="10" t="str">
        <f aca="false">INDEX(Radicals!$G$2:$G$215,MATCH(C875,Radicals!$A$2:$A$215,0))</f>
        <v>dog</v>
      </c>
      <c r="F875" s="8" t="n">
        <f aca="false">INDEX(Radicals!$D$2:$D$215,MATCH(C875,Radicals!$A$2:$A$215,0))</f>
        <v>4</v>
      </c>
      <c r="G875" s="8" t="n">
        <v>5</v>
      </c>
    </row>
    <row r="876" customFormat="false" ht="17.35" hidden="false" customHeight="false" outlineLevel="0" collapsed="false">
      <c r="A876" s="8" t="n">
        <v>875</v>
      </c>
      <c r="B876" s="9" t="s">
        <v>1906</v>
      </c>
      <c r="C876" s="8" t="n">
        <v>44</v>
      </c>
      <c r="D876" s="9" t="str">
        <f aca="false">INDEX(Radicals!$B$2:$B$215,MATCH(C876,Radicals!$A$2:$A$215,0))</f>
        <v>尸</v>
      </c>
      <c r="E876" s="10" t="str">
        <f aca="false">INDEX(Radicals!$G$2:$G$215,MATCH(C876,Radicals!$A$2:$A$215,0))</f>
        <v>corpse, body</v>
      </c>
      <c r="F876" s="8" t="n">
        <f aca="false">INDEX(Radicals!$D$2:$D$215,MATCH(C876,Radicals!$A$2:$A$215,0))</f>
        <v>3</v>
      </c>
      <c r="G876" s="8" t="n">
        <v>7</v>
      </c>
    </row>
    <row r="877" customFormat="false" ht="17.35" hidden="false" customHeight="false" outlineLevel="0" collapsed="false">
      <c r="A877" s="8" t="n">
        <v>876</v>
      </c>
      <c r="B877" s="9" t="s">
        <v>1907</v>
      </c>
      <c r="C877" s="8" t="n">
        <v>64</v>
      </c>
      <c r="D877" s="9" t="str">
        <f aca="false">INDEX(Radicals!$B$2:$B$215,MATCH(C877,Radicals!$A$2:$A$215,0))</f>
        <v>手</v>
      </c>
      <c r="E877" s="10" t="str">
        <f aca="false">INDEX(Radicals!$G$2:$G$215,MATCH(C877,Radicals!$A$2:$A$215,0))</f>
        <v>hand</v>
      </c>
      <c r="F877" s="8" t="n">
        <f aca="false">INDEX(Radicals!$D$2:$D$215,MATCH(C877,Radicals!$A$2:$A$215,0))</f>
        <v>4</v>
      </c>
      <c r="G877" s="8" t="n">
        <v>11</v>
      </c>
    </row>
    <row r="878" customFormat="false" ht="17.35" hidden="false" customHeight="false" outlineLevel="0" collapsed="false">
      <c r="A878" s="8" t="n">
        <v>877</v>
      </c>
      <c r="B878" s="9" t="s">
        <v>1908</v>
      </c>
      <c r="C878" s="8" t="n">
        <v>50</v>
      </c>
      <c r="D878" s="9" t="str">
        <f aca="false">INDEX(Radicals!$B$2:$B$215,MATCH(C878,Radicals!$A$2:$A$215,0))</f>
        <v>巾</v>
      </c>
      <c r="E878" s="10" t="str">
        <f aca="false">INDEX(Radicals!$G$2:$G$215,MATCH(C878,Radicals!$A$2:$A$215,0))</f>
        <v>turban, cloth</v>
      </c>
      <c r="F878" s="8" t="n">
        <f aca="false">INDEX(Radicals!$D$2:$D$215,MATCH(C878,Radicals!$A$2:$A$215,0))</f>
        <v>3</v>
      </c>
      <c r="G878" s="8" t="n">
        <v>5</v>
      </c>
    </row>
    <row r="879" customFormat="false" ht="17.35" hidden="false" customHeight="false" outlineLevel="0" collapsed="false">
      <c r="A879" s="8" t="n">
        <v>878</v>
      </c>
      <c r="B879" s="9" t="s">
        <v>1909</v>
      </c>
      <c r="C879" s="8" t="n">
        <v>61</v>
      </c>
      <c r="D879" s="9" t="str">
        <f aca="false">INDEX(Radicals!$B$2:$B$215,MATCH(C879,Radicals!$A$2:$A$215,0))</f>
        <v>心</v>
      </c>
      <c r="E879" s="10" t="str">
        <f aca="false">INDEX(Radicals!$G$2:$G$215,MATCH(C879,Radicals!$A$2:$A$215,0))</f>
        <v>heart, mind</v>
      </c>
      <c r="F879" s="8" t="n">
        <f aca="false">INDEX(Radicals!$D$2:$D$215,MATCH(C879,Radicals!$A$2:$A$215,0))</f>
        <v>4</v>
      </c>
      <c r="G879" s="8" t="n">
        <v>10</v>
      </c>
    </row>
    <row r="880" customFormat="false" ht="17.35" hidden="false" customHeight="false" outlineLevel="0" collapsed="false">
      <c r="A880" s="8" t="n">
        <v>879</v>
      </c>
      <c r="B880" s="9" t="s">
        <v>1910</v>
      </c>
      <c r="C880" s="8" t="n">
        <v>41</v>
      </c>
      <c r="D880" s="9" t="str">
        <f aca="false">INDEX(Radicals!$B$2:$B$215,MATCH(C880,Radicals!$A$2:$A$215,0))</f>
        <v>寸</v>
      </c>
      <c r="E880" s="10" t="str">
        <f aca="false">INDEX(Radicals!$G$2:$G$215,MATCH(C880,Radicals!$A$2:$A$215,0))</f>
        <v>inch</v>
      </c>
      <c r="F880" s="8" t="n">
        <f aca="false">INDEX(Radicals!$D$2:$D$215,MATCH(C880,Radicals!$A$2:$A$215,0))</f>
        <v>3</v>
      </c>
      <c r="G880" s="8" t="n">
        <v>6</v>
      </c>
    </row>
    <row r="881" customFormat="false" ht="17.35" hidden="false" customHeight="false" outlineLevel="0" collapsed="false">
      <c r="A881" s="8" t="n">
        <v>880</v>
      </c>
      <c r="B881" s="9" t="s">
        <v>1911</v>
      </c>
      <c r="C881" s="8" t="n">
        <v>167</v>
      </c>
      <c r="D881" s="9" t="str">
        <f aca="false">INDEX(Radicals!$B$2:$B$215,MATCH(C881,Radicals!$A$2:$A$215,0))</f>
        <v>金</v>
      </c>
      <c r="E881" s="10" t="str">
        <f aca="false">INDEX(Radicals!$G$2:$G$215,MATCH(C881,Radicals!$A$2:$A$215,0))</f>
        <v>metal, gold</v>
      </c>
      <c r="F881" s="8" t="n">
        <f aca="false">INDEX(Radicals!$D$2:$D$215,MATCH(C881,Radicals!$A$2:$A$215,0))</f>
        <v>8</v>
      </c>
      <c r="G881" s="8" t="n">
        <v>13</v>
      </c>
    </row>
    <row r="882" customFormat="false" ht="17.35" hidden="false" customHeight="false" outlineLevel="0" collapsed="false">
      <c r="A882" s="8" t="n">
        <v>881</v>
      </c>
      <c r="B882" s="9" t="s">
        <v>1912</v>
      </c>
      <c r="C882" s="8" t="n">
        <v>108</v>
      </c>
      <c r="D882" s="9" t="str">
        <f aca="false">INDEX(Radicals!$B$2:$B$215,MATCH(C882,Radicals!$A$2:$A$215,0))</f>
        <v>皿</v>
      </c>
      <c r="E882" s="10" t="str">
        <f aca="false">INDEX(Radicals!$G$2:$G$215,MATCH(C882,Radicals!$A$2:$A$215,0))</f>
        <v>dish</v>
      </c>
      <c r="F882" s="8" t="n">
        <f aca="false">INDEX(Radicals!$D$2:$D$215,MATCH(C882,Radicals!$A$2:$A$215,0))</f>
        <v>5</v>
      </c>
      <c r="G882" s="8" t="n">
        <v>15</v>
      </c>
    </row>
    <row r="883" customFormat="false" ht="17.35" hidden="false" customHeight="false" outlineLevel="0" collapsed="false">
      <c r="A883" s="8" t="n">
        <v>882</v>
      </c>
      <c r="B883" s="9" t="s">
        <v>1913</v>
      </c>
      <c r="C883" s="8" t="n">
        <v>61</v>
      </c>
      <c r="D883" s="9" t="str">
        <f aca="false">INDEX(Radicals!$B$2:$B$215,MATCH(C883,Radicals!$A$2:$A$215,0))</f>
        <v>心</v>
      </c>
      <c r="E883" s="10" t="str">
        <f aca="false">INDEX(Radicals!$G$2:$G$215,MATCH(C883,Radicals!$A$2:$A$215,0))</f>
        <v>heart, mind</v>
      </c>
      <c r="F883" s="8" t="n">
        <f aca="false">INDEX(Radicals!$D$2:$D$215,MATCH(C883,Radicals!$A$2:$A$215,0))</f>
        <v>4</v>
      </c>
      <c r="G883" s="8" t="n">
        <v>10</v>
      </c>
    </row>
    <row r="884" customFormat="false" ht="17.35" hidden="false" customHeight="false" outlineLevel="0" collapsed="false">
      <c r="A884" s="8" t="n">
        <v>883</v>
      </c>
      <c r="B884" s="9" t="s">
        <v>1914</v>
      </c>
      <c r="C884" s="8" t="n">
        <v>40</v>
      </c>
      <c r="D884" s="9" t="str">
        <f aca="false">INDEX(Radicals!$B$2:$B$215,MATCH(C884,Radicals!$A$2:$A$215,0))</f>
        <v>宀</v>
      </c>
      <c r="E884" s="10" t="str">
        <f aca="false">INDEX(Radicals!$G$2:$G$215,MATCH(C884,Radicals!$A$2:$A$215,0))</f>
        <v>roof</v>
      </c>
      <c r="F884" s="8" t="n">
        <f aca="false">INDEX(Radicals!$D$2:$D$215,MATCH(C884,Radicals!$A$2:$A$215,0))</f>
        <v>3</v>
      </c>
      <c r="G884" s="8" t="n">
        <v>6</v>
      </c>
    </row>
    <row r="885" customFormat="false" ht="17.35" hidden="false" customHeight="false" outlineLevel="0" collapsed="false">
      <c r="A885" s="8" t="n">
        <v>884</v>
      </c>
      <c r="B885" s="9" t="s">
        <v>1915</v>
      </c>
      <c r="C885" s="8" t="n">
        <v>181</v>
      </c>
      <c r="D885" s="9" t="str">
        <f aca="false">INDEX(Radicals!$B$2:$B$215,MATCH(C885,Radicals!$A$2:$A$215,0))</f>
        <v>頁</v>
      </c>
      <c r="E885" s="10" t="str">
        <f aca="false">INDEX(Radicals!$G$2:$G$215,MATCH(C885,Radicals!$A$2:$A$215,0))</f>
        <v>page, leaf (head)</v>
      </c>
      <c r="F885" s="8" t="n">
        <f aca="false">INDEX(Radicals!$D$2:$D$215,MATCH(C885,Radicals!$A$2:$A$215,0))</f>
        <v>9</v>
      </c>
      <c r="G885" s="8" t="n">
        <v>12</v>
      </c>
    </row>
    <row r="886" customFormat="false" ht="17.35" hidden="false" customHeight="false" outlineLevel="0" collapsed="false">
      <c r="A886" s="8" t="n">
        <v>885</v>
      </c>
      <c r="B886" s="9" t="s">
        <v>1916</v>
      </c>
      <c r="C886" s="8" t="n">
        <v>30</v>
      </c>
      <c r="D886" s="9" t="str">
        <f aca="false">INDEX(Radicals!$B$2:$B$215,MATCH(C886,Radicals!$A$2:$A$215,0))</f>
        <v>口</v>
      </c>
      <c r="E886" s="10" t="str">
        <f aca="false">INDEX(Radicals!$G$2:$G$215,MATCH(C886,Radicals!$A$2:$A$215,0))</f>
        <v>mouth</v>
      </c>
      <c r="F886" s="8" t="n">
        <f aca="false">INDEX(Radicals!$D$2:$D$215,MATCH(C886,Radicals!$A$2:$A$215,0))</f>
        <v>3</v>
      </c>
      <c r="G886" s="8" t="n">
        <v>12</v>
      </c>
    </row>
    <row r="887" customFormat="false" ht="17.35" hidden="false" customHeight="false" outlineLevel="0" collapsed="false">
      <c r="A887" s="8" t="n">
        <v>886</v>
      </c>
      <c r="B887" s="9" t="s">
        <v>1917</v>
      </c>
      <c r="C887" s="8" t="n">
        <v>9</v>
      </c>
      <c r="D887" s="9" t="str">
        <f aca="false">INDEX(Radicals!$B$2:$B$215,MATCH(C887,Radicals!$A$2:$A$215,0))</f>
        <v>人</v>
      </c>
      <c r="E887" s="10" t="str">
        <f aca="false">INDEX(Radicals!$G$2:$G$215,MATCH(C887,Radicals!$A$2:$A$215,0))</f>
        <v>person</v>
      </c>
      <c r="F887" s="8" t="n">
        <f aca="false">INDEX(Radicals!$D$2:$D$215,MATCH(C887,Radicals!$A$2:$A$215,0))</f>
        <v>2</v>
      </c>
      <c r="G887" s="8" t="n">
        <v>7</v>
      </c>
    </row>
    <row r="888" customFormat="false" ht="17.35" hidden="false" customHeight="false" outlineLevel="0" collapsed="false">
      <c r="A888" s="8" t="n">
        <v>887</v>
      </c>
      <c r="B888" s="9" t="s">
        <v>1918</v>
      </c>
      <c r="C888" s="8" t="n">
        <v>162</v>
      </c>
      <c r="D888" s="9" t="str">
        <f aca="false">INDEX(Radicals!$B$2:$B$215,MATCH(C888,Radicals!$A$2:$A$215,0))</f>
        <v>辵</v>
      </c>
      <c r="E888" s="10" t="str">
        <f aca="false">INDEX(Radicals!$G$2:$G$215,MATCH(C888,Radicals!$A$2:$A$215,0))</f>
        <v>walk, movement</v>
      </c>
      <c r="F888" s="8" t="n">
        <f aca="false">INDEX(Radicals!$D$2:$D$215,MATCH(C888,Radicals!$A$2:$A$215,0))</f>
        <v>7</v>
      </c>
      <c r="G888" s="8" t="n">
        <v>13</v>
      </c>
    </row>
    <row r="889" customFormat="false" ht="17.35" hidden="false" customHeight="false" outlineLevel="0" collapsed="false">
      <c r="A889" s="8" t="n">
        <v>888</v>
      </c>
      <c r="B889" s="9" t="s">
        <v>1919</v>
      </c>
      <c r="C889" s="8" t="n">
        <v>184</v>
      </c>
      <c r="D889" s="9" t="str">
        <f aca="false">INDEX(Radicals!$B$2:$B$215,MATCH(C889,Radicals!$A$2:$A$215,0))</f>
        <v>食</v>
      </c>
      <c r="E889" s="10" t="str">
        <f aca="false">INDEX(Radicals!$G$2:$G$215,MATCH(C889,Radicals!$A$2:$A$215,0))</f>
        <v>eat, food</v>
      </c>
      <c r="F889" s="8" t="n">
        <f aca="false">INDEX(Radicals!$D$2:$D$215,MATCH(C889,Radicals!$A$2:$A$215,0))</f>
        <v>9</v>
      </c>
      <c r="G889" s="8" t="n">
        <v>15</v>
      </c>
    </row>
    <row r="890" customFormat="false" ht="17.35" hidden="false" customHeight="false" outlineLevel="0" collapsed="false">
      <c r="A890" s="8" t="n">
        <v>889</v>
      </c>
      <c r="B890" s="9" t="s">
        <v>1920</v>
      </c>
      <c r="C890" s="8" t="n">
        <v>61</v>
      </c>
      <c r="D890" s="9" t="str">
        <f aca="false">INDEX(Radicals!$B$2:$B$215,MATCH(C890,Radicals!$A$2:$A$215,0))</f>
        <v>心</v>
      </c>
      <c r="E890" s="10" t="str">
        <f aca="false">INDEX(Radicals!$G$2:$G$215,MATCH(C890,Radicals!$A$2:$A$215,0))</f>
        <v>heart, mind</v>
      </c>
      <c r="F890" s="8" t="n">
        <f aca="false">INDEX(Radicals!$D$2:$D$215,MATCH(C890,Radicals!$A$2:$A$215,0))</f>
        <v>4</v>
      </c>
      <c r="G890" s="8" t="n">
        <v>20</v>
      </c>
    </row>
    <row r="891" customFormat="false" ht="17.35" hidden="false" customHeight="false" outlineLevel="0" collapsed="false">
      <c r="A891" s="8" t="n">
        <v>890</v>
      </c>
      <c r="B891" s="9" t="s">
        <v>1921</v>
      </c>
      <c r="C891" s="8" t="n">
        <v>63</v>
      </c>
      <c r="D891" s="9" t="str">
        <f aca="false">INDEX(Radicals!$B$2:$B$215,MATCH(C891,Radicals!$A$2:$A$215,0))</f>
        <v>戶</v>
      </c>
      <c r="E891" s="10" t="str">
        <f aca="false">INDEX(Radicals!$G$2:$G$215,MATCH(C891,Radicals!$A$2:$A$215,0))</f>
        <v>door</v>
      </c>
      <c r="F891" s="8" t="n">
        <f aca="false">INDEX(Radicals!$D$2:$D$215,MATCH(C891,Radicals!$A$2:$A$215,0))</f>
        <v>4</v>
      </c>
      <c r="G891" s="8" t="n">
        <v>7</v>
      </c>
    </row>
    <row r="892" customFormat="false" ht="17.35" hidden="false" customHeight="false" outlineLevel="0" collapsed="false">
      <c r="A892" s="8" t="n">
        <v>891</v>
      </c>
      <c r="B892" s="9" t="s">
        <v>1922</v>
      </c>
      <c r="C892" s="8" t="n">
        <v>144</v>
      </c>
      <c r="D892" s="9" t="str">
        <f aca="false">INDEX(Radicals!$B$2:$B$215,MATCH(C892,Radicals!$A$2:$A$215,0))</f>
        <v>行</v>
      </c>
      <c r="E892" s="10" t="str">
        <f aca="false">INDEX(Radicals!$G$2:$G$215,MATCH(C892,Radicals!$A$2:$A$215,0))</f>
        <v>walk, go, line</v>
      </c>
      <c r="F892" s="8" t="n">
        <f aca="false">INDEX(Radicals!$D$2:$D$215,MATCH(C892,Radicals!$A$2:$A$215,0))</f>
        <v>6</v>
      </c>
      <c r="G892" s="8" t="n">
        <v>12</v>
      </c>
    </row>
    <row r="893" customFormat="false" ht="17.35" hidden="false" customHeight="false" outlineLevel="0" collapsed="false">
      <c r="A893" s="8" t="n">
        <v>892</v>
      </c>
      <c r="B893" s="9" t="s">
        <v>1923</v>
      </c>
      <c r="C893" s="8" t="n">
        <v>48</v>
      </c>
      <c r="D893" s="9" t="str">
        <f aca="false">INDEX(Radicals!$B$2:$B$215,MATCH(C893,Radicals!$A$2:$A$215,0))</f>
        <v>工</v>
      </c>
      <c r="E893" s="10" t="str">
        <f aca="false">INDEX(Radicals!$G$2:$G$215,MATCH(C893,Radicals!$A$2:$A$215,0))</f>
        <v>work, craftsman</v>
      </c>
      <c r="F893" s="8" t="n">
        <f aca="false">INDEX(Radicals!$D$2:$D$215,MATCH(C893,Radicals!$A$2:$A$215,0))</f>
        <v>3</v>
      </c>
      <c r="G893" s="8" t="n">
        <v>5</v>
      </c>
    </row>
    <row r="894" customFormat="false" ht="17.35" hidden="false" customHeight="false" outlineLevel="0" collapsed="false">
      <c r="A894" s="8" t="n">
        <v>893</v>
      </c>
      <c r="B894" s="9" t="s">
        <v>1924</v>
      </c>
      <c r="C894" s="8" t="n">
        <v>173</v>
      </c>
      <c r="D894" s="9" t="str">
        <f aca="false">INDEX(Radicals!$B$2:$B$215,MATCH(C894,Radicals!$A$2:$A$215,0))</f>
        <v>雨</v>
      </c>
      <c r="E894" s="10" t="str">
        <f aca="false">INDEX(Radicals!$G$2:$G$215,MATCH(C894,Radicals!$A$2:$A$215,0))</f>
        <v>rain</v>
      </c>
      <c r="F894" s="8" t="n">
        <f aca="false">INDEX(Radicals!$D$2:$D$215,MATCH(C894,Radicals!$A$2:$A$215,0))</f>
        <v>8</v>
      </c>
      <c r="G894" s="8" t="n">
        <v>15</v>
      </c>
    </row>
    <row r="895" customFormat="false" ht="17.35" hidden="false" customHeight="false" outlineLevel="0" collapsed="false">
      <c r="A895" s="8" t="n">
        <v>894</v>
      </c>
      <c r="B895" s="9" t="s">
        <v>1925</v>
      </c>
      <c r="C895" s="8" t="n">
        <v>181</v>
      </c>
      <c r="D895" s="9" t="str">
        <f aca="false">INDEX(Radicals!$B$2:$B$215,MATCH(C895,Radicals!$A$2:$A$215,0))</f>
        <v>頁</v>
      </c>
      <c r="E895" s="10" t="str">
        <f aca="false">INDEX(Radicals!$G$2:$G$215,MATCH(C895,Radicals!$A$2:$A$215,0))</f>
        <v>page, leaf (head)</v>
      </c>
      <c r="F895" s="8" t="n">
        <f aca="false">INDEX(Radicals!$D$2:$D$215,MATCH(C895,Radicals!$A$2:$A$215,0))</f>
        <v>9</v>
      </c>
      <c r="G895" s="8" t="n">
        <v>19</v>
      </c>
    </row>
    <row r="896" customFormat="false" ht="17.35" hidden="false" customHeight="false" outlineLevel="0" collapsed="false">
      <c r="A896" s="8" t="n">
        <v>895</v>
      </c>
      <c r="B896" s="9" t="s">
        <v>1926</v>
      </c>
      <c r="C896" s="8" t="n">
        <v>120</v>
      </c>
      <c r="D896" s="9" t="str">
        <f aca="false">INDEX(Radicals!$B$2:$B$215,MATCH(C896,Radicals!$A$2:$A$215,0))</f>
        <v>糸</v>
      </c>
      <c r="E896" s="10" t="str">
        <f aca="false">INDEX(Radicals!$G$2:$G$215,MATCH(C896,Radicals!$A$2:$A$215,0))</f>
        <v>thread, silk</v>
      </c>
      <c r="F896" s="8" t="n">
        <f aca="false">INDEX(Radicals!$D$2:$D$215,MATCH(C896,Radicals!$A$2:$A$215,0))</f>
        <v>6</v>
      </c>
      <c r="G896" s="8" t="n">
        <v>12</v>
      </c>
    </row>
    <row r="897" customFormat="false" ht="17.35" hidden="false" customHeight="false" outlineLevel="0" collapsed="false">
      <c r="A897" s="8" t="n">
        <v>896</v>
      </c>
      <c r="B897" s="9" t="s">
        <v>1927</v>
      </c>
      <c r="C897" s="8" t="n">
        <v>50</v>
      </c>
      <c r="D897" s="9" t="str">
        <f aca="false">INDEX(Radicals!$B$2:$B$215,MATCH(C897,Radicals!$A$2:$A$215,0))</f>
        <v>巾</v>
      </c>
      <c r="E897" s="10" t="str">
        <f aca="false">INDEX(Radicals!$G$2:$G$215,MATCH(C897,Radicals!$A$2:$A$215,0))</f>
        <v>turban, cloth</v>
      </c>
      <c r="F897" s="8" t="n">
        <f aca="false">INDEX(Radicals!$D$2:$D$215,MATCH(C897,Radicals!$A$2:$A$215,0))</f>
        <v>3</v>
      </c>
      <c r="G897" s="8" t="n">
        <v>7</v>
      </c>
    </row>
    <row r="898" customFormat="false" ht="17.35" hidden="false" customHeight="false" outlineLevel="0" collapsed="false">
      <c r="A898" s="8" t="n">
        <v>897</v>
      </c>
      <c r="B898" s="9" t="s">
        <v>1928</v>
      </c>
      <c r="C898" s="8" t="n">
        <v>156</v>
      </c>
      <c r="D898" s="9" t="str">
        <f aca="false">INDEX(Radicals!$B$2:$B$215,MATCH(C898,Radicals!$A$2:$A$215,0))</f>
        <v>走</v>
      </c>
      <c r="E898" s="10" t="str">
        <f aca="false">INDEX(Radicals!$G$2:$G$215,MATCH(C898,Radicals!$A$2:$A$215,0))</f>
        <v>run</v>
      </c>
      <c r="F898" s="8" t="n">
        <f aca="false">INDEX(Radicals!$D$2:$D$215,MATCH(C898,Radicals!$A$2:$A$215,0))</f>
        <v>7</v>
      </c>
      <c r="G898" s="8" t="n">
        <v>12</v>
      </c>
    </row>
    <row r="899" customFormat="false" ht="17.35" hidden="false" customHeight="false" outlineLevel="0" collapsed="false">
      <c r="A899" s="8" t="n">
        <v>898</v>
      </c>
      <c r="B899" s="9" t="s">
        <v>1929</v>
      </c>
      <c r="C899" s="8" t="n">
        <v>37</v>
      </c>
      <c r="D899" s="9" t="str">
        <f aca="false">INDEX(Radicals!$B$2:$B$215,MATCH(C899,Radicals!$A$2:$A$215,0))</f>
        <v>大</v>
      </c>
      <c r="E899" s="10" t="str">
        <f aca="false">INDEX(Radicals!$G$2:$G$215,MATCH(C899,Radicals!$A$2:$A$215,0))</f>
        <v>big</v>
      </c>
      <c r="F899" s="8" t="n">
        <f aca="false">INDEX(Radicals!$D$2:$D$215,MATCH(C899,Radicals!$A$2:$A$215,0))</f>
        <v>3</v>
      </c>
      <c r="G899" s="8" t="n">
        <v>9</v>
      </c>
    </row>
    <row r="900" customFormat="false" ht="17.35" hidden="false" customHeight="false" outlineLevel="0" collapsed="false">
      <c r="A900" s="8" t="n">
        <v>899</v>
      </c>
      <c r="B900" s="9" t="s">
        <v>1930</v>
      </c>
      <c r="C900" s="8" t="n">
        <v>64</v>
      </c>
      <c r="D900" s="9" t="str">
        <f aca="false">INDEX(Radicals!$B$2:$B$215,MATCH(C900,Radicals!$A$2:$A$215,0))</f>
        <v>手</v>
      </c>
      <c r="E900" s="10" t="str">
        <f aca="false">INDEX(Radicals!$G$2:$G$215,MATCH(C900,Radicals!$A$2:$A$215,0))</f>
        <v>hand</v>
      </c>
      <c r="F900" s="8" t="n">
        <f aca="false">INDEX(Radicals!$D$2:$D$215,MATCH(C900,Radicals!$A$2:$A$215,0))</f>
        <v>4</v>
      </c>
      <c r="G900" s="8" t="n">
        <v>11</v>
      </c>
    </row>
    <row r="901" customFormat="false" ht="17.35" hidden="false" customHeight="false" outlineLevel="0" collapsed="false">
      <c r="A901" s="8" t="n">
        <v>900</v>
      </c>
      <c r="B901" s="9" t="s">
        <v>1931</v>
      </c>
      <c r="C901" s="8" t="n">
        <v>157</v>
      </c>
      <c r="D901" s="9" t="str">
        <f aca="false">INDEX(Radicals!$B$2:$B$215,MATCH(C901,Radicals!$A$2:$A$215,0))</f>
        <v>足</v>
      </c>
      <c r="E901" s="10" t="str">
        <f aca="false">INDEX(Radicals!$G$2:$G$215,MATCH(C901,Radicals!$A$2:$A$215,0))</f>
        <v>foot, leg</v>
      </c>
      <c r="F901" s="8" t="n">
        <f aca="false">INDEX(Radicals!$D$2:$D$215,MATCH(C901,Radicals!$A$2:$A$215,0))</f>
        <v>7</v>
      </c>
      <c r="G901" s="8" t="n">
        <v>21</v>
      </c>
    </row>
    <row r="902" customFormat="false" ht="17.35" hidden="false" customHeight="false" outlineLevel="0" collapsed="false">
      <c r="A902" s="8" t="n">
        <v>901</v>
      </c>
      <c r="B902" s="9" t="s">
        <v>1932</v>
      </c>
      <c r="C902" s="8" t="n">
        <v>75</v>
      </c>
      <c r="D902" s="9" t="str">
        <f aca="false">INDEX(Radicals!$B$2:$B$215,MATCH(C902,Radicals!$A$2:$A$215,0))</f>
        <v>木</v>
      </c>
      <c r="E902" s="10" t="str">
        <f aca="false">INDEX(Radicals!$G$2:$G$215,MATCH(C902,Radicals!$A$2:$A$215,0))</f>
        <v>tree, wood</v>
      </c>
      <c r="F902" s="8" t="n">
        <f aca="false">INDEX(Radicals!$D$2:$D$215,MATCH(C902,Radicals!$A$2:$A$215,0))</f>
        <v>4</v>
      </c>
      <c r="G902" s="8" t="n">
        <v>13</v>
      </c>
    </row>
    <row r="903" customFormat="false" ht="17.35" hidden="false" customHeight="false" outlineLevel="0" collapsed="false">
      <c r="A903" s="8" t="n">
        <v>902</v>
      </c>
      <c r="B903" s="9" t="s">
        <v>1933</v>
      </c>
      <c r="C903" s="8" t="n">
        <v>76</v>
      </c>
      <c r="D903" s="9" t="str">
        <f aca="false">INDEX(Radicals!$B$2:$B$215,MATCH(C903,Radicals!$A$2:$A$215,0))</f>
        <v>欠</v>
      </c>
      <c r="E903" s="10" t="str">
        <f aca="false">INDEX(Radicals!$G$2:$G$215,MATCH(C903,Radicals!$A$2:$A$215,0))</f>
        <v>lack, yawn</v>
      </c>
      <c r="F903" s="8" t="n">
        <f aca="false">INDEX(Radicals!$D$2:$D$215,MATCH(C903,Radicals!$A$2:$A$215,0))</f>
        <v>4</v>
      </c>
      <c r="G903" s="8" t="n">
        <v>11</v>
      </c>
    </row>
    <row r="904" customFormat="false" ht="17.35" hidden="false" customHeight="false" outlineLevel="0" collapsed="false">
      <c r="A904" s="8" t="n">
        <v>903</v>
      </c>
      <c r="B904" s="9" t="s">
        <v>1934</v>
      </c>
      <c r="C904" s="8" t="n">
        <v>104</v>
      </c>
      <c r="D904" s="9" t="str">
        <f aca="false">INDEX(Radicals!$B$2:$B$215,MATCH(C904,Radicals!$A$2:$A$215,0))</f>
        <v>疒</v>
      </c>
      <c r="E904" s="10" t="str">
        <f aca="false">INDEX(Radicals!$G$2:$G$215,MATCH(C904,Radicals!$A$2:$A$215,0))</f>
        <v>sickness</v>
      </c>
      <c r="F904" s="8" t="n">
        <f aca="false">INDEX(Radicals!$D$2:$D$215,MATCH(C904,Radicals!$A$2:$A$215,0))</f>
        <v>5</v>
      </c>
      <c r="G904" s="8" t="n">
        <v>12</v>
      </c>
    </row>
    <row r="905" customFormat="false" ht="17.35" hidden="false" customHeight="false" outlineLevel="0" collapsed="false">
      <c r="A905" s="8" t="n">
        <v>904</v>
      </c>
      <c r="B905" s="9" t="s">
        <v>1935</v>
      </c>
      <c r="C905" s="8" t="n">
        <v>148</v>
      </c>
      <c r="D905" s="9" t="str">
        <f aca="false">INDEX(Radicals!$B$2:$B$215,MATCH(C905,Radicals!$A$2:$A$215,0))</f>
        <v>角</v>
      </c>
      <c r="E905" s="10" t="str">
        <f aca="false">INDEX(Radicals!$G$2:$G$215,MATCH(C905,Radicals!$A$2:$A$215,0))</f>
        <v>horn, corner</v>
      </c>
      <c r="F905" s="8" t="n">
        <f aca="false">INDEX(Radicals!$D$2:$D$215,MATCH(C905,Radicals!$A$2:$A$215,0))</f>
        <v>7</v>
      </c>
      <c r="G905" s="8" t="n">
        <v>13</v>
      </c>
    </row>
    <row r="906" customFormat="false" ht="17.35" hidden="false" customHeight="false" outlineLevel="0" collapsed="false">
      <c r="A906" s="8" t="n">
        <v>905</v>
      </c>
      <c r="B906" s="9" t="s">
        <v>1936</v>
      </c>
      <c r="C906" s="8" t="n">
        <v>163</v>
      </c>
      <c r="D906" s="9" t="str">
        <f aca="false">INDEX(Radicals!$B$2:$B$215,MATCH(C906,Radicals!$A$2:$A$215,0))</f>
        <v>邑</v>
      </c>
      <c r="E906" s="10" t="str">
        <f aca="false">INDEX(Radicals!$G$2:$G$215,MATCH(C906,Radicals!$A$2:$A$215,0))</f>
        <v>city, village</v>
      </c>
      <c r="F906" s="8" t="n">
        <f aca="false">INDEX(Radicals!$D$2:$D$215,MATCH(C906,Radicals!$A$2:$A$215,0))</f>
        <v>7</v>
      </c>
      <c r="G906" s="8" t="n">
        <v>8</v>
      </c>
    </row>
    <row r="907" customFormat="false" ht="17.35" hidden="false" customHeight="false" outlineLevel="0" collapsed="false">
      <c r="A907" s="8" t="n">
        <v>906</v>
      </c>
      <c r="B907" s="9" t="s">
        <v>1937</v>
      </c>
      <c r="C907" s="8" t="n">
        <v>9</v>
      </c>
      <c r="D907" s="9" t="str">
        <f aca="false">INDEX(Radicals!$B$2:$B$215,MATCH(C907,Radicals!$A$2:$A$215,0))</f>
        <v>人</v>
      </c>
      <c r="E907" s="10" t="str">
        <f aca="false">INDEX(Radicals!$G$2:$G$215,MATCH(C907,Radicals!$A$2:$A$215,0))</f>
        <v>person</v>
      </c>
      <c r="F907" s="8" t="n">
        <f aca="false">INDEX(Radicals!$D$2:$D$215,MATCH(C907,Radicals!$A$2:$A$215,0))</f>
        <v>2</v>
      </c>
      <c r="G907" s="8" t="n">
        <v>8</v>
      </c>
    </row>
    <row r="908" customFormat="false" ht="17.35" hidden="false" customHeight="false" outlineLevel="0" collapsed="false">
      <c r="A908" s="8" t="n">
        <v>907</v>
      </c>
      <c r="B908" s="9" t="s">
        <v>1938</v>
      </c>
      <c r="C908" s="8" t="n">
        <v>118</v>
      </c>
      <c r="D908" s="9" t="str">
        <f aca="false">INDEX(Radicals!$B$2:$B$215,MATCH(C908,Radicals!$A$2:$A$215,0))</f>
        <v>竹</v>
      </c>
      <c r="E908" s="10" t="str">
        <f aca="false">INDEX(Radicals!$G$2:$G$215,MATCH(C908,Radicals!$A$2:$A$215,0))</f>
        <v>bamboo</v>
      </c>
      <c r="F908" s="8" t="n">
        <f aca="false">INDEX(Radicals!$D$2:$D$215,MATCH(C908,Radicals!$A$2:$A$215,0))</f>
        <v>6</v>
      </c>
      <c r="G908" s="8" t="n">
        <v>20</v>
      </c>
    </row>
    <row r="909" customFormat="false" ht="17.35" hidden="false" customHeight="false" outlineLevel="0" collapsed="false">
      <c r="A909" s="8" t="n">
        <v>908</v>
      </c>
      <c r="B909" s="9" t="s">
        <v>1939</v>
      </c>
      <c r="C909" s="8" t="n">
        <v>85</v>
      </c>
      <c r="D909" s="9" t="str">
        <f aca="false">INDEX(Radicals!$B$2:$B$215,MATCH(C909,Radicals!$A$2:$A$215,0))</f>
        <v>水</v>
      </c>
      <c r="E909" s="10" t="str">
        <f aca="false">INDEX(Radicals!$G$2:$G$215,MATCH(C909,Radicals!$A$2:$A$215,0))</f>
        <v>water</v>
      </c>
      <c r="F909" s="8" t="n">
        <f aca="false">INDEX(Radicals!$D$2:$D$215,MATCH(C909,Radicals!$A$2:$A$215,0))</f>
        <v>4</v>
      </c>
      <c r="G909" s="8" t="n">
        <v>6</v>
      </c>
    </row>
    <row r="910" customFormat="false" ht="17.35" hidden="false" customHeight="false" outlineLevel="0" collapsed="false">
      <c r="A910" s="8" t="n">
        <v>909</v>
      </c>
      <c r="B910" s="9" t="s">
        <v>1940</v>
      </c>
      <c r="C910" s="8" t="n">
        <v>120</v>
      </c>
      <c r="D910" s="9" t="str">
        <f aca="false">INDEX(Radicals!$B$2:$B$215,MATCH(C910,Radicals!$A$2:$A$215,0))</f>
        <v>糸</v>
      </c>
      <c r="E910" s="10" t="str">
        <f aca="false">INDEX(Radicals!$G$2:$G$215,MATCH(C910,Radicals!$A$2:$A$215,0))</f>
        <v>thread, silk</v>
      </c>
      <c r="F910" s="8" t="n">
        <f aca="false">INDEX(Radicals!$D$2:$D$215,MATCH(C910,Radicals!$A$2:$A$215,0))</f>
        <v>6</v>
      </c>
      <c r="G910" s="8" t="n">
        <v>17</v>
      </c>
    </row>
    <row r="911" customFormat="false" ht="17.35" hidden="false" customHeight="false" outlineLevel="0" collapsed="false">
      <c r="A911" s="8" t="n">
        <v>910</v>
      </c>
      <c r="B911" s="9" t="s">
        <v>1941</v>
      </c>
      <c r="C911" s="8" t="n">
        <v>162</v>
      </c>
      <c r="D911" s="9" t="str">
        <f aca="false">INDEX(Radicals!$B$2:$B$215,MATCH(C911,Radicals!$A$2:$A$215,0))</f>
        <v>辵</v>
      </c>
      <c r="E911" s="10" t="str">
        <f aca="false">INDEX(Radicals!$G$2:$G$215,MATCH(C911,Radicals!$A$2:$A$215,0))</f>
        <v>walk, movement</v>
      </c>
      <c r="F911" s="8" t="n">
        <f aca="false">INDEX(Radicals!$D$2:$D$215,MATCH(C911,Radicals!$A$2:$A$215,0))</f>
        <v>7</v>
      </c>
      <c r="G911" s="8" t="n">
        <v>16</v>
      </c>
    </row>
    <row r="912" customFormat="false" ht="17.35" hidden="false" customHeight="false" outlineLevel="0" collapsed="false">
      <c r="A912" s="8" t="n">
        <v>911</v>
      </c>
      <c r="B912" s="9" t="s">
        <v>1942</v>
      </c>
      <c r="C912" s="8" t="n">
        <v>75</v>
      </c>
      <c r="D912" s="9" t="str">
        <f aca="false">INDEX(Radicals!$B$2:$B$215,MATCH(C912,Radicals!$A$2:$A$215,0))</f>
        <v>木</v>
      </c>
      <c r="E912" s="10" t="str">
        <f aca="false">INDEX(Radicals!$G$2:$G$215,MATCH(C912,Radicals!$A$2:$A$215,0))</f>
        <v>tree, wood</v>
      </c>
      <c r="F912" s="8" t="n">
        <f aca="false">INDEX(Radicals!$D$2:$D$215,MATCH(C912,Radicals!$A$2:$A$215,0))</f>
        <v>4</v>
      </c>
      <c r="G912" s="8" t="n">
        <v>8</v>
      </c>
    </row>
    <row r="913" customFormat="false" ht="17.35" hidden="false" customHeight="false" outlineLevel="0" collapsed="false">
      <c r="A913" s="8" t="n">
        <v>912</v>
      </c>
      <c r="B913" s="9" t="s">
        <v>1943</v>
      </c>
      <c r="C913" s="8" t="n">
        <v>44</v>
      </c>
      <c r="D913" s="9" t="str">
        <f aca="false">INDEX(Radicals!$B$2:$B$215,MATCH(C913,Radicals!$A$2:$A$215,0))</f>
        <v>尸</v>
      </c>
      <c r="E913" s="10" t="str">
        <f aca="false">INDEX(Radicals!$G$2:$G$215,MATCH(C913,Radicals!$A$2:$A$215,0))</f>
        <v>corpse, body</v>
      </c>
      <c r="F913" s="8" t="n">
        <f aca="false">INDEX(Radicals!$D$2:$D$215,MATCH(C913,Radicals!$A$2:$A$215,0))</f>
        <v>3</v>
      </c>
      <c r="G913" s="8" t="n">
        <v>12</v>
      </c>
    </row>
    <row r="914" customFormat="false" ht="17.35" hidden="false" customHeight="false" outlineLevel="0" collapsed="false">
      <c r="A914" s="8" t="n">
        <v>913</v>
      </c>
      <c r="B914" s="9" t="s">
        <v>1944</v>
      </c>
      <c r="C914" s="8" t="n">
        <v>118</v>
      </c>
      <c r="D914" s="9" t="str">
        <f aca="false">INDEX(Radicals!$B$2:$B$215,MATCH(C914,Radicals!$A$2:$A$215,0))</f>
        <v>竹</v>
      </c>
      <c r="E914" s="10" t="str">
        <f aca="false">INDEX(Radicals!$G$2:$G$215,MATCH(C914,Radicals!$A$2:$A$215,0))</f>
        <v>bamboo</v>
      </c>
      <c r="F914" s="8" t="n">
        <f aca="false">INDEX(Radicals!$D$2:$D$215,MATCH(C914,Radicals!$A$2:$A$215,0))</f>
        <v>6</v>
      </c>
      <c r="G914" s="8" t="n">
        <v>10</v>
      </c>
    </row>
    <row r="915" customFormat="false" ht="17.35" hidden="false" customHeight="false" outlineLevel="0" collapsed="false">
      <c r="A915" s="8" t="n">
        <v>914</v>
      </c>
      <c r="B915" s="9" t="s">
        <v>1945</v>
      </c>
      <c r="C915" s="8" t="n">
        <v>7</v>
      </c>
      <c r="D915" s="9" t="str">
        <f aca="false">INDEX(Radicals!$B$2:$B$215,MATCH(C915,Radicals!$A$2:$A$215,0))</f>
        <v>二</v>
      </c>
      <c r="E915" s="10" t="str">
        <f aca="false">INDEX(Radicals!$G$2:$G$215,MATCH(C915,Radicals!$A$2:$A$215,0))</f>
        <v>two</v>
      </c>
      <c r="F915" s="8" t="n">
        <f aca="false">INDEX(Radicals!$D$2:$D$215,MATCH(C915,Radicals!$A$2:$A$215,0))</f>
        <v>2</v>
      </c>
      <c r="G915" s="8" t="n">
        <v>4</v>
      </c>
    </row>
    <row r="916" customFormat="false" ht="17.35" hidden="false" customHeight="false" outlineLevel="0" collapsed="false">
      <c r="A916" s="8" t="n">
        <v>915</v>
      </c>
      <c r="B916" s="9" t="s">
        <v>1946</v>
      </c>
      <c r="C916" s="8" t="n">
        <v>145</v>
      </c>
      <c r="D916" s="9" t="str">
        <f aca="false">INDEX(Radicals!$B$2:$B$215,MATCH(C916,Radicals!$A$2:$A$215,0))</f>
        <v>衣</v>
      </c>
      <c r="E916" s="10" t="str">
        <f aca="false">INDEX(Radicals!$G$2:$G$215,MATCH(C916,Radicals!$A$2:$A$215,0))</f>
        <v>clothes</v>
      </c>
      <c r="F916" s="8" t="n">
        <f aca="false">INDEX(Radicals!$D$2:$D$215,MATCH(C916,Radicals!$A$2:$A$215,0))</f>
        <v>6</v>
      </c>
      <c r="G916" s="8" t="n">
        <v>14</v>
      </c>
    </row>
    <row r="917" customFormat="false" ht="17.35" hidden="false" customHeight="false" outlineLevel="0" collapsed="false">
      <c r="A917" s="8" t="n">
        <v>916</v>
      </c>
      <c r="B917" s="9" t="s">
        <v>1947</v>
      </c>
      <c r="C917" s="8" t="n">
        <v>61</v>
      </c>
      <c r="D917" s="9" t="str">
        <f aca="false">INDEX(Radicals!$B$2:$B$215,MATCH(C917,Radicals!$A$2:$A$215,0))</f>
        <v>心</v>
      </c>
      <c r="E917" s="10" t="str">
        <f aca="false">INDEX(Radicals!$G$2:$G$215,MATCH(C917,Radicals!$A$2:$A$215,0))</f>
        <v>heart, mind</v>
      </c>
      <c r="F917" s="8" t="n">
        <f aca="false">INDEX(Radicals!$D$2:$D$215,MATCH(C917,Radicals!$A$2:$A$215,0))</f>
        <v>4</v>
      </c>
      <c r="G917" s="8" t="n">
        <v>15</v>
      </c>
    </row>
    <row r="918" customFormat="false" ht="17.35" hidden="false" customHeight="false" outlineLevel="0" collapsed="false">
      <c r="A918" s="8" t="n">
        <v>917</v>
      </c>
      <c r="B918" s="9" t="s">
        <v>1948</v>
      </c>
      <c r="C918" s="8" t="n">
        <v>163</v>
      </c>
      <c r="D918" s="9" t="str">
        <f aca="false">INDEX(Radicals!$B$2:$B$215,MATCH(C918,Radicals!$A$2:$A$215,0))</f>
        <v>邑</v>
      </c>
      <c r="E918" s="10" t="str">
        <f aca="false">INDEX(Radicals!$G$2:$G$215,MATCH(C918,Radicals!$A$2:$A$215,0))</f>
        <v>city, village</v>
      </c>
      <c r="F918" s="8" t="n">
        <f aca="false">INDEX(Radicals!$D$2:$D$215,MATCH(C918,Radicals!$A$2:$A$215,0))</f>
        <v>7</v>
      </c>
      <c r="G918" s="8" t="n">
        <v>11</v>
      </c>
    </row>
    <row r="919" customFormat="false" ht="17.35" hidden="false" customHeight="false" outlineLevel="0" collapsed="false">
      <c r="A919" s="8" t="n">
        <v>918</v>
      </c>
      <c r="B919" s="9" t="s">
        <v>1949</v>
      </c>
      <c r="C919" s="8" t="n">
        <v>75</v>
      </c>
      <c r="D919" s="9" t="str">
        <f aca="false">INDEX(Radicals!$B$2:$B$215,MATCH(C919,Radicals!$A$2:$A$215,0))</f>
        <v>木</v>
      </c>
      <c r="E919" s="10" t="str">
        <f aca="false">INDEX(Radicals!$G$2:$G$215,MATCH(C919,Radicals!$A$2:$A$215,0))</f>
        <v>tree, wood</v>
      </c>
      <c r="F919" s="8" t="n">
        <f aca="false">INDEX(Radicals!$D$2:$D$215,MATCH(C919,Radicals!$A$2:$A$215,0))</f>
        <v>4</v>
      </c>
      <c r="G919" s="8" t="n">
        <v>7</v>
      </c>
    </row>
    <row r="920" customFormat="false" ht="17.35" hidden="false" customHeight="false" outlineLevel="0" collapsed="false">
      <c r="A920" s="8" t="n">
        <v>919</v>
      </c>
      <c r="B920" s="9" t="s">
        <v>1950</v>
      </c>
      <c r="C920" s="8" t="n">
        <v>9</v>
      </c>
      <c r="D920" s="9" t="str">
        <f aca="false">INDEX(Radicals!$B$2:$B$215,MATCH(C920,Radicals!$A$2:$A$215,0))</f>
        <v>人</v>
      </c>
      <c r="E920" s="10" t="str">
        <f aca="false">INDEX(Radicals!$G$2:$G$215,MATCH(C920,Radicals!$A$2:$A$215,0))</f>
        <v>person</v>
      </c>
      <c r="F920" s="8" t="n">
        <f aca="false">INDEX(Radicals!$D$2:$D$215,MATCH(C920,Radicals!$A$2:$A$215,0))</f>
        <v>2</v>
      </c>
      <c r="G920" s="8" t="n">
        <v>6</v>
      </c>
    </row>
    <row r="921" customFormat="false" ht="17.35" hidden="false" customHeight="false" outlineLevel="0" collapsed="false">
      <c r="A921" s="8" t="n">
        <v>920</v>
      </c>
      <c r="B921" s="9" t="s">
        <v>1951</v>
      </c>
      <c r="C921" s="8" t="n">
        <v>75</v>
      </c>
      <c r="D921" s="9" t="str">
        <f aca="false">INDEX(Radicals!$B$2:$B$215,MATCH(C921,Radicals!$A$2:$A$215,0))</f>
        <v>木</v>
      </c>
      <c r="E921" s="10" t="str">
        <f aca="false">INDEX(Radicals!$G$2:$G$215,MATCH(C921,Radicals!$A$2:$A$215,0))</f>
        <v>tree, wood</v>
      </c>
      <c r="F921" s="8" t="n">
        <f aca="false">INDEX(Radicals!$D$2:$D$215,MATCH(C921,Radicals!$A$2:$A$215,0))</f>
        <v>4</v>
      </c>
      <c r="G921" s="8" t="n">
        <v>9</v>
      </c>
    </row>
    <row r="922" customFormat="false" ht="17.35" hidden="false" customHeight="false" outlineLevel="0" collapsed="false">
      <c r="A922" s="8" t="n">
        <v>921</v>
      </c>
      <c r="B922" s="9" t="s">
        <v>1952</v>
      </c>
      <c r="C922" s="8" t="n">
        <v>75</v>
      </c>
      <c r="D922" s="9" t="str">
        <f aca="false">INDEX(Radicals!$B$2:$B$215,MATCH(C922,Radicals!$A$2:$A$215,0))</f>
        <v>木</v>
      </c>
      <c r="E922" s="10" t="str">
        <f aca="false">INDEX(Radicals!$G$2:$G$215,MATCH(C922,Radicals!$A$2:$A$215,0))</f>
        <v>tree, wood</v>
      </c>
      <c r="F922" s="8" t="n">
        <f aca="false">INDEX(Radicals!$D$2:$D$215,MATCH(C922,Radicals!$A$2:$A$215,0))</f>
        <v>4</v>
      </c>
      <c r="G922" s="8" t="n">
        <v>5</v>
      </c>
    </row>
    <row r="923" customFormat="false" ht="17.35" hidden="false" customHeight="false" outlineLevel="0" collapsed="false">
      <c r="A923" s="8" t="n">
        <v>922</v>
      </c>
      <c r="B923" s="9" t="s">
        <v>1953</v>
      </c>
      <c r="C923" s="8" t="n">
        <v>75</v>
      </c>
      <c r="D923" s="9" t="str">
        <f aca="false">INDEX(Radicals!$B$2:$B$215,MATCH(C923,Radicals!$A$2:$A$215,0))</f>
        <v>木</v>
      </c>
      <c r="E923" s="10" t="str">
        <f aca="false">INDEX(Radicals!$G$2:$G$215,MATCH(C923,Radicals!$A$2:$A$215,0))</f>
        <v>tree, wood</v>
      </c>
      <c r="F923" s="8" t="n">
        <f aca="false">INDEX(Radicals!$D$2:$D$215,MATCH(C923,Radicals!$A$2:$A$215,0))</f>
        <v>4</v>
      </c>
      <c r="G923" s="8" t="n">
        <v>8</v>
      </c>
    </row>
    <row r="924" customFormat="false" ht="17.35" hidden="false" customHeight="false" outlineLevel="0" collapsed="false">
      <c r="A924" s="8" t="n">
        <v>923</v>
      </c>
      <c r="B924" s="9" t="s">
        <v>1954</v>
      </c>
      <c r="C924" s="8" t="n">
        <v>9</v>
      </c>
      <c r="D924" s="9" t="str">
        <f aca="false">INDEX(Radicals!$B$2:$B$215,MATCH(C924,Radicals!$A$2:$A$215,0))</f>
        <v>人</v>
      </c>
      <c r="E924" s="10" t="str">
        <f aca="false">INDEX(Radicals!$G$2:$G$215,MATCH(C924,Radicals!$A$2:$A$215,0))</f>
        <v>person</v>
      </c>
      <c r="F924" s="8" t="n">
        <f aca="false">INDEX(Radicals!$D$2:$D$215,MATCH(C924,Radicals!$A$2:$A$215,0))</f>
        <v>2</v>
      </c>
      <c r="G924" s="8" t="n">
        <v>7</v>
      </c>
    </row>
    <row r="925" customFormat="false" ht="17.35" hidden="false" customHeight="false" outlineLevel="0" collapsed="false">
      <c r="A925" s="8" t="n">
        <v>924</v>
      </c>
      <c r="B925" s="9" t="s">
        <v>198</v>
      </c>
      <c r="C925" s="8" t="n">
        <v>36</v>
      </c>
      <c r="D925" s="9" t="str">
        <f aca="false">INDEX(Radicals!$B$2:$B$215,MATCH(C925,Radicals!$A$2:$A$215,0))</f>
        <v>夕</v>
      </c>
      <c r="E925" s="10" t="str">
        <f aca="false">INDEX(Radicals!$G$2:$G$215,MATCH(C925,Radicals!$A$2:$A$215,0))</f>
        <v>evening</v>
      </c>
      <c r="F925" s="8" t="n">
        <f aca="false">INDEX(Radicals!$D$2:$D$215,MATCH(C925,Radicals!$A$2:$A$215,0))</f>
        <v>3</v>
      </c>
      <c r="G925" s="8" t="n">
        <v>3</v>
      </c>
    </row>
    <row r="926" customFormat="false" ht="17.35" hidden="false" customHeight="false" outlineLevel="0" collapsed="false">
      <c r="A926" s="8" t="n">
        <v>925</v>
      </c>
      <c r="B926" s="9" t="s">
        <v>1955</v>
      </c>
      <c r="C926" s="8" t="n">
        <v>61</v>
      </c>
      <c r="D926" s="9" t="str">
        <f aca="false">INDEX(Radicals!$B$2:$B$215,MATCH(C926,Radicals!$A$2:$A$215,0))</f>
        <v>心</v>
      </c>
      <c r="E926" s="10" t="str">
        <f aca="false">INDEX(Radicals!$G$2:$G$215,MATCH(C926,Radicals!$A$2:$A$215,0))</f>
        <v>heart, mind</v>
      </c>
      <c r="F926" s="8" t="n">
        <f aca="false">INDEX(Radicals!$D$2:$D$215,MATCH(C926,Radicals!$A$2:$A$215,0))</f>
        <v>4</v>
      </c>
      <c r="G926" s="8" t="n">
        <v>10</v>
      </c>
    </row>
    <row r="927" customFormat="false" ht="17.35" hidden="false" customHeight="false" outlineLevel="0" collapsed="false">
      <c r="A927" s="8" t="n">
        <v>926</v>
      </c>
      <c r="B927" s="9" t="s">
        <v>1956</v>
      </c>
      <c r="C927" s="8" t="n">
        <v>75</v>
      </c>
      <c r="D927" s="9" t="str">
        <f aca="false">INDEX(Radicals!$B$2:$B$215,MATCH(C927,Radicals!$A$2:$A$215,0))</f>
        <v>木</v>
      </c>
      <c r="E927" s="10" t="str">
        <f aca="false">INDEX(Radicals!$G$2:$G$215,MATCH(C927,Radicals!$A$2:$A$215,0))</f>
        <v>tree, wood</v>
      </c>
      <c r="F927" s="8" t="n">
        <f aca="false">INDEX(Radicals!$D$2:$D$215,MATCH(C927,Radicals!$A$2:$A$215,0))</f>
        <v>4</v>
      </c>
      <c r="G927" s="8" t="n">
        <v>8</v>
      </c>
    </row>
    <row r="928" customFormat="false" ht="17.35" hidden="false" customHeight="false" outlineLevel="0" collapsed="false">
      <c r="A928" s="8" t="n">
        <v>927</v>
      </c>
      <c r="B928" s="9" t="s">
        <v>1957</v>
      </c>
      <c r="C928" s="8" t="n">
        <v>18</v>
      </c>
      <c r="D928" s="9" t="str">
        <f aca="false">INDEX(Radicals!$B$2:$B$215,MATCH(C928,Radicals!$A$2:$A$215,0))</f>
        <v>刀</v>
      </c>
      <c r="E928" s="10" t="str">
        <f aca="false">INDEX(Radicals!$G$2:$G$215,MATCH(C928,Radicals!$A$2:$A$215,0))</f>
        <v>knife, sword</v>
      </c>
      <c r="F928" s="8" t="n">
        <f aca="false">INDEX(Radicals!$D$2:$D$215,MATCH(C928,Radicals!$A$2:$A$215,0))</f>
        <v>2</v>
      </c>
      <c r="G928" s="8" t="n">
        <v>6</v>
      </c>
    </row>
    <row r="929" customFormat="false" ht="17.35" hidden="false" customHeight="false" outlineLevel="0" collapsed="false">
      <c r="A929" s="8" t="n">
        <v>928</v>
      </c>
      <c r="B929" s="9" t="s">
        <v>1958</v>
      </c>
      <c r="C929" s="8" t="n">
        <v>173</v>
      </c>
      <c r="D929" s="9" t="str">
        <f aca="false">INDEX(Radicals!$B$2:$B$215,MATCH(C929,Radicals!$A$2:$A$215,0))</f>
        <v>雨</v>
      </c>
      <c r="E929" s="10" t="str">
        <f aca="false">INDEX(Radicals!$G$2:$G$215,MATCH(C929,Radicals!$A$2:$A$215,0))</f>
        <v>rain</v>
      </c>
      <c r="F929" s="8" t="n">
        <f aca="false">INDEX(Radicals!$D$2:$D$215,MATCH(C929,Radicals!$A$2:$A$215,0))</f>
        <v>8</v>
      </c>
      <c r="G929" s="8" t="n">
        <v>21</v>
      </c>
    </row>
    <row r="930" customFormat="false" ht="17.35" hidden="false" customHeight="false" outlineLevel="0" collapsed="false">
      <c r="A930" s="8" t="n">
        <v>929</v>
      </c>
      <c r="B930" s="9" t="s">
        <v>1959</v>
      </c>
      <c r="C930" s="8" t="n">
        <v>85</v>
      </c>
      <c r="D930" s="9" t="str">
        <f aca="false">INDEX(Radicals!$B$2:$B$215,MATCH(C930,Radicals!$A$2:$A$215,0))</f>
        <v>水</v>
      </c>
      <c r="E930" s="10" t="str">
        <f aca="false">INDEX(Radicals!$G$2:$G$215,MATCH(C930,Radicals!$A$2:$A$215,0))</f>
        <v>water</v>
      </c>
      <c r="F930" s="8" t="n">
        <f aca="false">INDEX(Radicals!$D$2:$D$215,MATCH(C930,Radicals!$A$2:$A$215,0))</f>
        <v>4</v>
      </c>
      <c r="G930" s="8" t="n">
        <v>7</v>
      </c>
    </row>
    <row r="931" customFormat="false" ht="17.35" hidden="false" customHeight="false" outlineLevel="0" collapsed="false">
      <c r="A931" s="8" t="n">
        <v>930</v>
      </c>
      <c r="B931" s="9" t="s">
        <v>1960</v>
      </c>
      <c r="C931" s="8" t="n">
        <v>64</v>
      </c>
      <c r="D931" s="9" t="str">
        <f aca="false">INDEX(Radicals!$B$2:$B$215,MATCH(C931,Radicals!$A$2:$A$215,0))</f>
        <v>手</v>
      </c>
      <c r="E931" s="10" t="str">
        <f aca="false">INDEX(Radicals!$G$2:$G$215,MATCH(C931,Radicals!$A$2:$A$215,0))</f>
        <v>hand</v>
      </c>
      <c r="F931" s="8" t="n">
        <f aca="false">INDEX(Radicals!$D$2:$D$215,MATCH(C931,Radicals!$A$2:$A$215,0))</f>
        <v>4</v>
      </c>
      <c r="G931" s="8" t="n">
        <v>11</v>
      </c>
    </row>
    <row r="932" customFormat="false" ht="17.35" hidden="false" customHeight="false" outlineLevel="0" collapsed="false">
      <c r="A932" s="8" t="n">
        <v>931</v>
      </c>
      <c r="B932" s="9" t="s">
        <v>1961</v>
      </c>
      <c r="C932" s="8" t="n">
        <v>162</v>
      </c>
      <c r="D932" s="9" t="str">
        <f aca="false">INDEX(Radicals!$B$2:$B$215,MATCH(C932,Radicals!$A$2:$A$215,0))</f>
        <v>辵</v>
      </c>
      <c r="E932" s="10" t="str">
        <f aca="false">INDEX(Radicals!$G$2:$G$215,MATCH(C932,Radicals!$A$2:$A$215,0))</f>
        <v>walk, movement</v>
      </c>
      <c r="F932" s="8" t="n">
        <f aca="false">INDEX(Radicals!$D$2:$D$215,MATCH(C932,Radicals!$A$2:$A$215,0))</f>
        <v>7</v>
      </c>
      <c r="G932" s="8" t="n">
        <v>9</v>
      </c>
    </row>
    <row r="933" customFormat="false" ht="17.35" hidden="false" customHeight="false" outlineLevel="0" collapsed="false">
      <c r="A933" s="8" t="n">
        <v>932</v>
      </c>
      <c r="B933" s="9" t="s">
        <v>1962</v>
      </c>
      <c r="C933" s="8" t="n">
        <v>9</v>
      </c>
      <c r="D933" s="9" t="str">
        <f aca="false">INDEX(Radicals!$B$2:$B$215,MATCH(C933,Radicals!$A$2:$A$215,0))</f>
        <v>人</v>
      </c>
      <c r="E933" s="10" t="str">
        <f aca="false">INDEX(Radicals!$G$2:$G$215,MATCH(C933,Radicals!$A$2:$A$215,0))</f>
        <v>person</v>
      </c>
      <c r="F933" s="8" t="n">
        <f aca="false">INDEX(Radicals!$D$2:$D$215,MATCH(C933,Radicals!$A$2:$A$215,0))</f>
        <v>2</v>
      </c>
      <c r="G933" s="8" t="n">
        <v>10</v>
      </c>
    </row>
    <row r="934" customFormat="false" ht="17.35" hidden="false" customHeight="false" outlineLevel="0" collapsed="false">
      <c r="A934" s="8" t="n">
        <v>933</v>
      </c>
      <c r="B934" s="9" t="s">
        <v>1963</v>
      </c>
      <c r="C934" s="8" t="n">
        <v>120</v>
      </c>
      <c r="D934" s="9" t="str">
        <f aca="false">INDEX(Radicals!$B$2:$B$215,MATCH(C934,Radicals!$A$2:$A$215,0))</f>
        <v>糸</v>
      </c>
      <c r="E934" s="10" t="str">
        <f aca="false">INDEX(Radicals!$G$2:$G$215,MATCH(C934,Radicals!$A$2:$A$215,0))</f>
        <v>thread, silk</v>
      </c>
      <c r="F934" s="8" t="n">
        <f aca="false">INDEX(Radicals!$D$2:$D$215,MATCH(C934,Radicals!$A$2:$A$215,0))</f>
        <v>6</v>
      </c>
      <c r="G934" s="8" t="n">
        <v>15</v>
      </c>
    </row>
    <row r="935" customFormat="false" ht="17.35" hidden="false" customHeight="false" outlineLevel="0" collapsed="false">
      <c r="A935" s="8" t="n">
        <v>934</v>
      </c>
      <c r="B935" s="9" t="s">
        <v>1964</v>
      </c>
      <c r="C935" s="8" t="n">
        <v>118</v>
      </c>
      <c r="D935" s="9" t="str">
        <f aca="false">INDEX(Radicals!$B$2:$B$215,MATCH(C935,Radicals!$A$2:$A$215,0))</f>
        <v>竹</v>
      </c>
      <c r="E935" s="10" t="str">
        <f aca="false">INDEX(Radicals!$G$2:$G$215,MATCH(C935,Radicals!$A$2:$A$215,0))</f>
        <v>bamboo</v>
      </c>
      <c r="F935" s="8" t="n">
        <f aca="false">INDEX(Radicals!$D$2:$D$215,MATCH(C935,Radicals!$A$2:$A$215,0))</f>
        <v>6</v>
      </c>
      <c r="G935" s="8" t="n">
        <v>13</v>
      </c>
    </row>
    <row r="936" customFormat="false" ht="17.35" hidden="false" customHeight="false" outlineLevel="0" collapsed="false">
      <c r="A936" s="8" t="n">
        <v>935</v>
      </c>
      <c r="B936" s="9" t="s">
        <v>1965</v>
      </c>
      <c r="C936" s="8" t="n">
        <v>173</v>
      </c>
      <c r="D936" s="9" t="str">
        <f aca="false">INDEX(Radicals!$B$2:$B$215,MATCH(C936,Radicals!$A$2:$A$215,0))</f>
        <v>雨</v>
      </c>
      <c r="E936" s="10" t="str">
        <f aca="false">INDEX(Radicals!$G$2:$G$215,MATCH(C936,Radicals!$A$2:$A$215,0))</f>
        <v>rain</v>
      </c>
      <c r="F936" s="8" t="n">
        <f aca="false">INDEX(Radicals!$D$2:$D$215,MATCH(C936,Radicals!$A$2:$A$215,0))</f>
        <v>8</v>
      </c>
      <c r="G936" s="8" t="n">
        <v>14</v>
      </c>
    </row>
    <row r="937" customFormat="false" ht="17.35" hidden="false" customHeight="false" outlineLevel="0" collapsed="false">
      <c r="A937" s="8" t="n">
        <v>936</v>
      </c>
      <c r="B937" s="9" t="s">
        <v>981</v>
      </c>
      <c r="C937" s="8" t="n">
        <v>188</v>
      </c>
      <c r="D937" s="9" t="str">
        <f aca="false">INDEX(Radicals!$B$2:$B$215,MATCH(C937,Radicals!$A$2:$A$215,0))</f>
        <v>骨</v>
      </c>
      <c r="E937" s="10" t="str">
        <f aca="false">INDEX(Radicals!$G$2:$G$215,MATCH(C937,Radicals!$A$2:$A$215,0))</f>
        <v>bone</v>
      </c>
      <c r="F937" s="8" t="n">
        <f aca="false">INDEX(Radicals!$D$2:$D$215,MATCH(C937,Radicals!$A$2:$A$215,0))</f>
        <v>10</v>
      </c>
      <c r="G937" s="8" t="n">
        <v>10</v>
      </c>
    </row>
    <row r="938" customFormat="false" ht="17.35" hidden="false" customHeight="false" outlineLevel="0" collapsed="false">
      <c r="A938" s="8" t="n">
        <v>937</v>
      </c>
      <c r="B938" s="9" t="s">
        <v>1966</v>
      </c>
      <c r="C938" s="8" t="n">
        <v>41</v>
      </c>
      <c r="D938" s="9" t="str">
        <f aca="false">INDEX(Radicals!$B$2:$B$215,MATCH(C938,Radicals!$A$2:$A$215,0))</f>
        <v>寸</v>
      </c>
      <c r="E938" s="10" t="str">
        <f aca="false">INDEX(Radicals!$G$2:$G$215,MATCH(C938,Radicals!$A$2:$A$215,0))</f>
        <v>inch</v>
      </c>
      <c r="F938" s="8" t="n">
        <f aca="false">INDEX(Radicals!$D$2:$D$215,MATCH(C938,Radicals!$A$2:$A$215,0))</f>
        <v>3</v>
      </c>
      <c r="G938" s="8" t="n">
        <v>10</v>
      </c>
    </row>
    <row r="939" customFormat="false" ht="17.35" hidden="false" customHeight="false" outlineLevel="0" collapsed="false">
      <c r="A939" s="8" t="n">
        <v>938</v>
      </c>
      <c r="B939" s="9" t="s">
        <v>1967</v>
      </c>
      <c r="C939" s="8" t="n">
        <v>9</v>
      </c>
      <c r="D939" s="9" t="str">
        <f aca="false">INDEX(Radicals!$B$2:$B$215,MATCH(C939,Radicals!$A$2:$A$215,0))</f>
        <v>人</v>
      </c>
      <c r="E939" s="10" t="str">
        <f aca="false">INDEX(Radicals!$G$2:$G$215,MATCH(C939,Radicals!$A$2:$A$215,0))</f>
        <v>person</v>
      </c>
      <c r="F939" s="8" t="n">
        <f aca="false">INDEX(Radicals!$D$2:$D$215,MATCH(C939,Radicals!$A$2:$A$215,0))</f>
        <v>2</v>
      </c>
      <c r="G939" s="8" t="n">
        <v>13</v>
      </c>
    </row>
    <row r="940" customFormat="false" ht="17.35" hidden="false" customHeight="false" outlineLevel="0" collapsed="false">
      <c r="A940" s="8" t="n">
        <v>939</v>
      </c>
      <c r="B940" s="9" t="s">
        <v>1968</v>
      </c>
      <c r="C940" s="8" t="n">
        <v>44</v>
      </c>
      <c r="D940" s="9" t="str">
        <f aca="false">INDEX(Radicals!$B$2:$B$215,MATCH(C940,Radicals!$A$2:$A$215,0))</f>
        <v>尸</v>
      </c>
      <c r="E940" s="10" t="str">
        <f aca="false">INDEX(Radicals!$G$2:$G$215,MATCH(C940,Radicals!$A$2:$A$215,0))</f>
        <v>corpse, body</v>
      </c>
      <c r="F940" s="8" t="n">
        <f aca="false">INDEX(Radicals!$D$2:$D$215,MATCH(C940,Radicals!$A$2:$A$215,0))</f>
        <v>3</v>
      </c>
      <c r="G940" s="8" t="n">
        <v>8</v>
      </c>
    </row>
    <row r="941" customFormat="false" ht="17.35" hidden="false" customHeight="false" outlineLevel="0" collapsed="false">
      <c r="A941" s="8" t="n">
        <v>940</v>
      </c>
      <c r="B941" s="9" t="s">
        <v>1969</v>
      </c>
      <c r="C941" s="8" t="n">
        <v>72</v>
      </c>
      <c r="D941" s="9" t="str">
        <f aca="false">INDEX(Radicals!$B$2:$B$215,MATCH(C941,Radicals!$A$2:$A$215,0))</f>
        <v>日</v>
      </c>
      <c r="E941" s="10" t="str">
        <f aca="false">INDEX(Radicals!$G$2:$G$215,MATCH(C941,Radicals!$A$2:$A$215,0))</f>
        <v>sun, day</v>
      </c>
      <c r="F941" s="8" t="n">
        <f aca="false">INDEX(Radicals!$D$2:$D$215,MATCH(C941,Radicals!$A$2:$A$215,0))</f>
        <v>4</v>
      </c>
      <c r="G941" s="8" t="n">
        <v>18</v>
      </c>
    </row>
    <row r="942" customFormat="false" ht="17.35" hidden="false" customHeight="false" outlineLevel="0" collapsed="false">
      <c r="A942" s="8" t="n">
        <v>941</v>
      </c>
      <c r="B942" s="9" t="s">
        <v>1970</v>
      </c>
      <c r="C942" s="8" t="n">
        <v>162</v>
      </c>
      <c r="D942" s="9" t="str">
        <f aca="false">INDEX(Radicals!$B$2:$B$215,MATCH(C942,Radicals!$A$2:$A$215,0))</f>
        <v>辵</v>
      </c>
      <c r="E942" s="10" t="str">
        <f aca="false">INDEX(Radicals!$G$2:$G$215,MATCH(C942,Radicals!$A$2:$A$215,0))</f>
        <v>walk, movement</v>
      </c>
      <c r="F942" s="8" t="n">
        <f aca="false">INDEX(Radicals!$D$2:$D$215,MATCH(C942,Radicals!$A$2:$A$215,0))</f>
        <v>7</v>
      </c>
      <c r="G942" s="8" t="n">
        <v>12</v>
      </c>
    </row>
    <row r="943" customFormat="false" ht="17.35" hidden="false" customHeight="false" outlineLevel="0" collapsed="false">
      <c r="A943" s="8" t="n">
        <v>942</v>
      </c>
      <c r="B943" s="9" t="s">
        <v>1971</v>
      </c>
      <c r="C943" s="8" t="n">
        <v>162</v>
      </c>
      <c r="D943" s="9" t="str">
        <f aca="false">INDEX(Radicals!$B$2:$B$215,MATCH(C943,Radicals!$A$2:$A$215,0))</f>
        <v>辵</v>
      </c>
      <c r="E943" s="10" t="str">
        <f aca="false">INDEX(Radicals!$G$2:$G$215,MATCH(C943,Radicals!$A$2:$A$215,0))</f>
        <v>walk, movement</v>
      </c>
      <c r="F943" s="8" t="n">
        <f aca="false">INDEX(Radicals!$D$2:$D$215,MATCH(C943,Radicals!$A$2:$A$215,0))</f>
        <v>7</v>
      </c>
      <c r="G943" s="8" t="n">
        <v>9</v>
      </c>
    </row>
    <row r="944" customFormat="false" ht="17.35" hidden="false" customHeight="false" outlineLevel="0" collapsed="false">
      <c r="A944" s="8" t="n">
        <v>943</v>
      </c>
      <c r="B944" s="9" t="s">
        <v>1972</v>
      </c>
      <c r="C944" s="8" t="n">
        <v>36</v>
      </c>
      <c r="D944" s="9" t="str">
        <f aca="false">INDEX(Radicals!$B$2:$B$215,MATCH(C944,Radicals!$A$2:$A$215,0))</f>
        <v>夕</v>
      </c>
      <c r="E944" s="10" t="str">
        <f aca="false">INDEX(Radicals!$G$2:$G$215,MATCH(C944,Radicals!$A$2:$A$215,0))</f>
        <v>evening</v>
      </c>
      <c r="F944" s="8" t="n">
        <f aca="false">INDEX(Radicals!$D$2:$D$215,MATCH(C944,Radicals!$A$2:$A$215,0))</f>
        <v>3</v>
      </c>
      <c r="G944" s="8" t="n">
        <v>13</v>
      </c>
    </row>
    <row r="945" customFormat="false" ht="17.35" hidden="false" customHeight="false" outlineLevel="0" collapsed="false">
      <c r="A945" s="8" t="n">
        <v>944</v>
      </c>
      <c r="B945" s="9" t="s">
        <v>1973</v>
      </c>
      <c r="C945" s="8" t="n">
        <v>49</v>
      </c>
      <c r="D945" s="9" t="str">
        <f aca="false">INDEX(Radicals!$B$2:$B$215,MATCH(C945,Radicals!$A$2:$A$215,0))</f>
        <v>己</v>
      </c>
      <c r="E945" s="10" t="str">
        <f aca="false">INDEX(Radicals!$G$2:$G$215,MATCH(C945,Radicals!$A$2:$A$215,0))</f>
        <v>oneself</v>
      </c>
      <c r="F945" s="8" t="n">
        <f aca="false">INDEX(Radicals!$D$2:$D$215,MATCH(C945,Radicals!$A$2:$A$215,0))</f>
        <v>3</v>
      </c>
      <c r="G945" s="8" t="n">
        <v>9</v>
      </c>
    </row>
    <row r="946" customFormat="false" ht="17.35" hidden="false" customHeight="false" outlineLevel="0" collapsed="false">
      <c r="A946" s="8" t="n">
        <v>945</v>
      </c>
      <c r="B946" s="9" t="s">
        <v>1974</v>
      </c>
      <c r="C946" s="8" t="n">
        <v>154</v>
      </c>
      <c r="D946" s="9" t="str">
        <f aca="false">INDEX(Radicals!$B$2:$B$215,MATCH(C946,Radicals!$A$2:$A$215,0))</f>
        <v>貝</v>
      </c>
      <c r="E946" s="10" t="str">
        <f aca="false">INDEX(Radicals!$G$2:$G$215,MATCH(C946,Radicals!$A$2:$A$215,0))</f>
        <v>shell, money</v>
      </c>
      <c r="F946" s="8" t="n">
        <f aca="false">INDEX(Radicals!$D$2:$D$215,MATCH(C946,Radicals!$A$2:$A$215,0))</f>
        <v>7</v>
      </c>
      <c r="G946" s="8" t="n">
        <v>17</v>
      </c>
    </row>
    <row r="947" customFormat="false" ht="17.35" hidden="false" customHeight="false" outlineLevel="0" collapsed="false">
      <c r="A947" s="8" t="n">
        <v>946</v>
      </c>
      <c r="B947" s="9" t="s">
        <v>1975</v>
      </c>
      <c r="C947" s="8" t="n">
        <v>64</v>
      </c>
      <c r="D947" s="9" t="str">
        <f aca="false">INDEX(Radicals!$B$2:$B$215,MATCH(C947,Radicals!$A$2:$A$215,0))</f>
        <v>手</v>
      </c>
      <c r="E947" s="10" t="str">
        <f aca="false">INDEX(Radicals!$G$2:$G$215,MATCH(C947,Radicals!$A$2:$A$215,0))</f>
        <v>hand</v>
      </c>
      <c r="F947" s="8" t="n">
        <f aca="false">INDEX(Radicals!$D$2:$D$215,MATCH(C947,Radicals!$A$2:$A$215,0))</f>
        <v>4</v>
      </c>
      <c r="G947" s="8" t="n">
        <v>12</v>
      </c>
    </row>
    <row r="948" customFormat="false" ht="17.35" hidden="false" customHeight="false" outlineLevel="0" collapsed="false">
      <c r="A948" s="8" t="n">
        <v>947</v>
      </c>
      <c r="B948" s="9" t="s">
        <v>1976</v>
      </c>
      <c r="C948" s="8" t="n">
        <v>30</v>
      </c>
      <c r="D948" s="9" t="str">
        <f aca="false">INDEX(Radicals!$B$2:$B$215,MATCH(C948,Radicals!$A$2:$A$215,0))</f>
        <v>口</v>
      </c>
      <c r="E948" s="10" t="str">
        <f aca="false">INDEX(Radicals!$G$2:$G$215,MATCH(C948,Radicals!$A$2:$A$215,0))</f>
        <v>mouth</v>
      </c>
      <c r="F948" s="8" t="n">
        <f aca="false">INDEX(Radicals!$D$2:$D$215,MATCH(C948,Radicals!$A$2:$A$215,0))</f>
        <v>3</v>
      </c>
      <c r="G948" s="8" t="n">
        <v>7</v>
      </c>
    </row>
    <row r="949" customFormat="false" ht="17.35" hidden="false" customHeight="false" outlineLevel="0" collapsed="false">
      <c r="A949" s="8" t="n">
        <v>948</v>
      </c>
      <c r="B949" s="9" t="s">
        <v>1977</v>
      </c>
      <c r="C949" s="8" t="n">
        <v>86</v>
      </c>
      <c r="D949" s="9" t="str">
        <f aca="false">INDEX(Radicals!$B$2:$B$215,MATCH(C949,Radicals!$A$2:$A$215,0))</f>
        <v>火</v>
      </c>
      <c r="E949" s="10" t="str">
        <f aca="false">INDEX(Radicals!$G$2:$G$215,MATCH(C949,Radicals!$A$2:$A$215,0))</f>
        <v>fire</v>
      </c>
      <c r="F949" s="8" t="n">
        <f aca="false">INDEX(Radicals!$D$2:$D$215,MATCH(C949,Radicals!$A$2:$A$215,0))</f>
        <v>4</v>
      </c>
      <c r="G949" s="8" t="n">
        <v>16</v>
      </c>
    </row>
    <row r="950" customFormat="false" ht="17.35" hidden="false" customHeight="false" outlineLevel="0" collapsed="false">
      <c r="A950" s="8" t="n">
        <v>949</v>
      </c>
      <c r="B950" s="9" t="s">
        <v>1978</v>
      </c>
      <c r="C950" s="8" t="n">
        <v>10</v>
      </c>
      <c r="D950" s="9" t="str">
        <f aca="false">INDEX(Radicals!$B$2:$B$215,MATCH(C950,Radicals!$A$2:$A$215,0))</f>
        <v>儿</v>
      </c>
      <c r="E950" s="10" t="str">
        <f aca="false">INDEX(Radicals!$G$2:$G$215,MATCH(C950,Radicals!$A$2:$A$215,0))</f>
        <v>legs, walking person</v>
      </c>
      <c r="F950" s="8" t="n">
        <f aca="false">INDEX(Radicals!$D$2:$D$215,MATCH(C950,Radicals!$A$2:$A$215,0))</f>
        <v>2</v>
      </c>
      <c r="G950" s="8" t="n">
        <v>6</v>
      </c>
    </row>
    <row r="951" customFormat="false" ht="17.35" hidden="false" customHeight="false" outlineLevel="0" collapsed="false">
      <c r="A951" s="8" t="n">
        <v>950</v>
      </c>
      <c r="B951" s="9" t="s">
        <v>909</v>
      </c>
      <c r="C951" s="8" t="n">
        <v>173</v>
      </c>
      <c r="D951" s="9" t="str">
        <f aca="false">INDEX(Radicals!$B$2:$B$215,MATCH(C951,Radicals!$A$2:$A$215,0))</f>
        <v>雨</v>
      </c>
      <c r="E951" s="10" t="str">
        <f aca="false">INDEX(Radicals!$G$2:$G$215,MATCH(C951,Radicals!$A$2:$A$215,0))</f>
        <v>rain</v>
      </c>
      <c r="F951" s="8" t="n">
        <f aca="false">INDEX(Radicals!$D$2:$D$215,MATCH(C951,Radicals!$A$2:$A$215,0))</f>
        <v>8</v>
      </c>
      <c r="G951" s="8" t="n">
        <v>8</v>
      </c>
    </row>
    <row r="952" customFormat="false" ht="17.35" hidden="false" customHeight="false" outlineLevel="0" collapsed="false">
      <c r="A952" s="8" t="n">
        <v>951</v>
      </c>
      <c r="B952" s="9" t="s">
        <v>1979</v>
      </c>
      <c r="C952" s="8" t="n">
        <v>169</v>
      </c>
      <c r="D952" s="9" t="str">
        <f aca="false">INDEX(Radicals!$B$2:$B$215,MATCH(C952,Radicals!$A$2:$A$215,0))</f>
        <v>門</v>
      </c>
      <c r="E952" s="10" t="str">
        <f aca="false">INDEX(Radicals!$G$2:$G$215,MATCH(C952,Radicals!$A$2:$A$215,0))</f>
        <v>gate</v>
      </c>
      <c r="F952" s="8" t="n">
        <f aca="false">INDEX(Radicals!$D$2:$D$215,MATCH(C952,Radicals!$A$2:$A$215,0))</f>
        <v>8</v>
      </c>
      <c r="G952" s="8" t="n">
        <v>11</v>
      </c>
    </row>
    <row r="953" customFormat="false" ht="17.35" hidden="false" customHeight="false" outlineLevel="0" collapsed="false">
      <c r="A953" s="8" t="n">
        <v>952</v>
      </c>
      <c r="B953" s="9" t="s">
        <v>1980</v>
      </c>
      <c r="C953" s="8" t="n">
        <v>120</v>
      </c>
      <c r="D953" s="9" t="str">
        <f aca="false">INDEX(Radicals!$B$2:$B$215,MATCH(C953,Radicals!$A$2:$A$215,0))</f>
        <v>糸</v>
      </c>
      <c r="E953" s="10" t="str">
        <f aca="false">INDEX(Radicals!$G$2:$G$215,MATCH(C953,Radicals!$A$2:$A$215,0))</f>
        <v>thread, silk</v>
      </c>
      <c r="F953" s="8" t="n">
        <f aca="false">INDEX(Radicals!$D$2:$D$215,MATCH(C953,Radicals!$A$2:$A$215,0))</f>
        <v>6</v>
      </c>
      <c r="G953" s="8" t="n">
        <v>14</v>
      </c>
    </row>
    <row r="954" customFormat="false" ht="17.35" hidden="false" customHeight="false" outlineLevel="0" collapsed="false">
      <c r="A954" s="8" t="n">
        <v>953</v>
      </c>
      <c r="B954" s="9" t="s">
        <v>1981</v>
      </c>
      <c r="C954" s="8" t="n">
        <v>157</v>
      </c>
      <c r="D954" s="9" t="str">
        <f aca="false">INDEX(Radicals!$B$2:$B$215,MATCH(C954,Radicals!$A$2:$A$215,0))</f>
        <v>足</v>
      </c>
      <c r="E954" s="10" t="str">
        <f aca="false">INDEX(Radicals!$G$2:$G$215,MATCH(C954,Radicals!$A$2:$A$215,0))</f>
        <v>foot, leg</v>
      </c>
      <c r="F954" s="8" t="n">
        <f aca="false">INDEX(Radicals!$D$2:$D$215,MATCH(C954,Radicals!$A$2:$A$215,0))</f>
        <v>7</v>
      </c>
      <c r="G954" s="8" t="n">
        <v>13</v>
      </c>
    </row>
    <row r="955" customFormat="false" ht="17.35" hidden="false" customHeight="false" outlineLevel="0" collapsed="false">
      <c r="A955" s="8" t="n">
        <v>954</v>
      </c>
      <c r="B955" s="9" t="s">
        <v>1982</v>
      </c>
      <c r="C955" s="8" t="n">
        <v>20</v>
      </c>
      <c r="D955" s="9" t="str">
        <f aca="false">INDEX(Radicals!$B$2:$B$215,MATCH(C955,Radicals!$A$2:$A$215,0))</f>
        <v>勹</v>
      </c>
      <c r="E955" s="10" t="str">
        <f aca="false">INDEX(Radicals!$G$2:$G$215,MATCH(C955,Radicals!$A$2:$A$215,0))</f>
        <v>wrap</v>
      </c>
      <c r="F955" s="8" t="n">
        <f aca="false">INDEX(Radicals!$D$2:$D$215,MATCH(C955,Radicals!$A$2:$A$215,0))</f>
        <v>2</v>
      </c>
      <c r="G955" s="8" t="n">
        <v>5</v>
      </c>
    </row>
    <row r="956" customFormat="false" ht="17.35" hidden="false" customHeight="false" outlineLevel="0" collapsed="false">
      <c r="A956" s="8" t="n">
        <v>955</v>
      </c>
      <c r="B956" s="9" t="s">
        <v>1983</v>
      </c>
      <c r="C956" s="8" t="n">
        <v>187</v>
      </c>
      <c r="D956" s="9" t="str">
        <f aca="false">INDEX(Radicals!$B$2:$B$215,MATCH(C956,Radicals!$A$2:$A$215,0))</f>
        <v>馬</v>
      </c>
      <c r="E956" s="10" t="str">
        <f aca="false">INDEX(Radicals!$G$2:$G$215,MATCH(C956,Radicals!$A$2:$A$215,0))</f>
        <v>horse</v>
      </c>
      <c r="F956" s="8" t="n">
        <f aca="false">INDEX(Radicals!$D$2:$D$215,MATCH(C956,Radicals!$A$2:$A$215,0))</f>
        <v>10</v>
      </c>
      <c r="G956" s="8" t="n">
        <v>15</v>
      </c>
    </row>
    <row r="957" customFormat="false" ht="17.35" hidden="false" customHeight="false" outlineLevel="0" collapsed="false">
      <c r="A957" s="8" t="n">
        <v>956</v>
      </c>
      <c r="B957" s="9" t="s">
        <v>1984</v>
      </c>
      <c r="C957" s="8" t="n">
        <v>154</v>
      </c>
      <c r="D957" s="9" t="str">
        <f aca="false">INDEX(Radicals!$B$2:$B$215,MATCH(C957,Radicals!$A$2:$A$215,0))</f>
        <v>貝</v>
      </c>
      <c r="E957" s="10" t="str">
        <f aca="false">INDEX(Radicals!$G$2:$G$215,MATCH(C957,Radicals!$A$2:$A$215,0))</f>
        <v>shell, money</v>
      </c>
      <c r="F957" s="8" t="n">
        <f aca="false">INDEX(Radicals!$D$2:$D$215,MATCH(C957,Radicals!$A$2:$A$215,0))</f>
        <v>7</v>
      </c>
      <c r="G957" s="8" t="n">
        <v>10</v>
      </c>
    </row>
    <row r="958" customFormat="false" ht="17.35" hidden="false" customHeight="false" outlineLevel="0" collapsed="false">
      <c r="A958" s="8" t="n">
        <v>957</v>
      </c>
      <c r="B958" s="9" t="s">
        <v>1027</v>
      </c>
      <c r="C958" s="8" t="n">
        <v>198</v>
      </c>
      <c r="D958" s="9" t="str">
        <f aca="false">INDEX(Radicals!$B$2:$B$215,MATCH(C958,Radicals!$A$2:$A$215,0))</f>
        <v>鹿</v>
      </c>
      <c r="E958" s="10" t="str">
        <f aca="false">INDEX(Radicals!$G$2:$G$215,MATCH(C958,Radicals!$A$2:$A$215,0))</f>
        <v>deer</v>
      </c>
      <c r="F958" s="8" t="n">
        <f aca="false">INDEX(Radicals!$D$2:$D$215,MATCH(C958,Radicals!$A$2:$A$215,0))</f>
        <v>11</v>
      </c>
      <c r="G958" s="8" t="n">
        <v>11</v>
      </c>
    </row>
    <row r="959" customFormat="false" ht="17.35" hidden="false" customHeight="false" outlineLevel="0" collapsed="false">
      <c r="A959" s="8" t="n">
        <v>958</v>
      </c>
      <c r="B959" s="9" t="s">
        <v>1985</v>
      </c>
      <c r="C959" s="8" t="n">
        <v>57</v>
      </c>
      <c r="D959" s="9" t="str">
        <f aca="false">INDEX(Radicals!$B$2:$B$215,MATCH(C959,Radicals!$A$2:$A$215,0))</f>
        <v>弓</v>
      </c>
      <c r="E959" s="10" t="str">
        <f aca="false">INDEX(Radicals!$G$2:$G$215,MATCH(C959,Radicals!$A$2:$A$215,0))</f>
        <v>bow</v>
      </c>
      <c r="F959" s="8" t="n">
        <f aca="false">INDEX(Radicals!$D$2:$D$215,MATCH(C959,Radicals!$A$2:$A$215,0))</f>
        <v>3</v>
      </c>
      <c r="G959" s="8" t="n">
        <v>10</v>
      </c>
    </row>
    <row r="960" customFormat="false" ht="17.35" hidden="false" customHeight="false" outlineLevel="0" collapsed="false">
      <c r="A960" s="8" t="n">
        <v>959</v>
      </c>
      <c r="B960" s="9" t="s">
        <v>1986</v>
      </c>
      <c r="C960" s="8" t="n">
        <v>26</v>
      </c>
      <c r="D960" s="9" t="str">
        <f aca="false">INDEX(Radicals!$B$2:$B$215,MATCH(C960,Radicals!$A$2:$A$215,0))</f>
        <v>卩</v>
      </c>
      <c r="E960" s="10" t="str">
        <f aca="false">INDEX(Radicals!$G$2:$G$215,MATCH(C960,Radicals!$A$2:$A$215,0))</f>
        <v>seal, kneeling person</v>
      </c>
      <c r="F960" s="8" t="n">
        <f aca="false">INDEX(Radicals!$D$2:$D$215,MATCH(C960,Radicals!$A$2:$A$215,0))</f>
        <v>2</v>
      </c>
      <c r="G960" s="8" t="n">
        <v>7</v>
      </c>
    </row>
    <row r="961" customFormat="false" ht="17.35" hidden="false" customHeight="false" outlineLevel="0" collapsed="false">
      <c r="A961" s="8" t="n">
        <v>960</v>
      </c>
      <c r="B961" s="9" t="s">
        <v>1987</v>
      </c>
      <c r="C961" s="8" t="n">
        <v>117</v>
      </c>
      <c r="D961" s="9" t="str">
        <f aca="false">INDEX(Radicals!$B$2:$B$215,MATCH(C961,Radicals!$A$2:$A$215,0))</f>
        <v>立</v>
      </c>
      <c r="E961" s="10" t="str">
        <f aca="false">INDEX(Radicals!$G$2:$G$215,MATCH(C961,Radicals!$A$2:$A$215,0))</f>
        <v>stand</v>
      </c>
      <c r="F961" s="8" t="n">
        <f aca="false">INDEX(Radicals!$D$2:$D$215,MATCH(C961,Radicals!$A$2:$A$215,0))</f>
        <v>5</v>
      </c>
      <c r="G961" s="8" t="n">
        <v>14</v>
      </c>
    </row>
    <row r="962" customFormat="false" ht="17.35" hidden="false" customHeight="false" outlineLevel="0" collapsed="false">
      <c r="A962" s="8" t="n">
        <v>961</v>
      </c>
      <c r="B962" s="9" t="s">
        <v>1988</v>
      </c>
      <c r="C962" s="8" t="n">
        <v>154</v>
      </c>
      <c r="D962" s="9" t="str">
        <f aca="false">INDEX(Radicals!$B$2:$B$215,MATCH(C962,Radicals!$A$2:$A$215,0))</f>
        <v>貝</v>
      </c>
      <c r="E962" s="10" t="str">
        <f aca="false">INDEX(Radicals!$G$2:$G$215,MATCH(C962,Radicals!$A$2:$A$215,0))</f>
        <v>shell, money</v>
      </c>
      <c r="F962" s="8" t="n">
        <f aca="false">INDEX(Radicals!$D$2:$D$215,MATCH(C962,Radicals!$A$2:$A$215,0))</f>
        <v>7</v>
      </c>
      <c r="G962" s="8" t="n">
        <v>13</v>
      </c>
    </row>
    <row r="963" customFormat="false" ht="17.35" hidden="false" customHeight="false" outlineLevel="0" collapsed="false">
      <c r="A963" s="8" t="n">
        <v>962</v>
      </c>
      <c r="B963" s="9" t="s">
        <v>1989</v>
      </c>
      <c r="C963" s="8" t="n">
        <v>64</v>
      </c>
      <c r="D963" s="9" t="str">
        <f aca="false">INDEX(Radicals!$B$2:$B$215,MATCH(C963,Radicals!$A$2:$A$215,0))</f>
        <v>手</v>
      </c>
      <c r="E963" s="10" t="str">
        <f aca="false">INDEX(Radicals!$G$2:$G$215,MATCH(C963,Radicals!$A$2:$A$215,0))</f>
        <v>hand</v>
      </c>
      <c r="F963" s="8" t="n">
        <f aca="false">INDEX(Radicals!$D$2:$D$215,MATCH(C963,Radicals!$A$2:$A$215,0))</f>
        <v>4</v>
      </c>
      <c r="G963" s="8" t="n">
        <v>7</v>
      </c>
    </row>
    <row r="964" customFormat="false" ht="17.35" hidden="false" customHeight="false" outlineLevel="0" collapsed="false">
      <c r="A964" s="8" t="n">
        <v>963</v>
      </c>
      <c r="B964" s="9" t="s">
        <v>1990</v>
      </c>
      <c r="C964" s="8" t="n">
        <v>120</v>
      </c>
      <c r="D964" s="9" t="str">
        <f aca="false">INDEX(Radicals!$B$2:$B$215,MATCH(C964,Radicals!$A$2:$A$215,0))</f>
        <v>糸</v>
      </c>
      <c r="E964" s="10" t="str">
        <f aca="false">INDEX(Radicals!$G$2:$G$215,MATCH(C964,Radicals!$A$2:$A$215,0))</f>
        <v>thread, silk</v>
      </c>
      <c r="F964" s="8" t="n">
        <f aca="false">INDEX(Radicals!$D$2:$D$215,MATCH(C964,Radicals!$A$2:$A$215,0))</f>
        <v>6</v>
      </c>
      <c r="G964" s="8" t="n">
        <v>11</v>
      </c>
    </row>
    <row r="965" customFormat="false" ht="17.35" hidden="false" customHeight="false" outlineLevel="0" collapsed="false">
      <c r="A965" s="8" t="n">
        <v>964</v>
      </c>
      <c r="B965" s="9" t="s">
        <v>1991</v>
      </c>
      <c r="C965" s="8" t="n">
        <v>94</v>
      </c>
      <c r="D965" s="9" t="str">
        <f aca="false">INDEX(Radicals!$B$2:$B$215,MATCH(C965,Radicals!$A$2:$A$215,0))</f>
        <v>犬</v>
      </c>
      <c r="E965" s="10" t="str">
        <f aca="false">INDEX(Radicals!$G$2:$G$215,MATCH(C965,Radicals!$A$2:$A$215,0))</f>
        <v>dog</v>
      </c>
      <c r="F965" s="8" t="n">
        <f aca="false">INDEX(Radicals!$D$2:$D$215,MATCH(C965,Radicals!$A$2:$A$215,0))</f>
        <v>4</v>
      </c>
      <c r="G965" s="8" t="n">
        <v>16</v>
      </c>
    </row>
    <row r="966" customFormat="false" ht="17.35" hidden="false" customHeight="false" outlineLevel="0" collapsed="false">
      <c r="A966" s="8" t="n">
        <v>965</v>
      </c>
      <c r="B966" s="9" t="s">
        <v>1992</v>
      </c>
      <c r="C966" s="8" t="n">
        <v>163</v>
      </c>
      <c r="D966" s="9" t="str">
        <f aca="false">INDEX(Radicals!$B$2:$B$215,MATCH(C966,Radicals!$A$2:$A$215,0))</f>
        <v>邑</v>
      </c>
      <c r="E966" s="10" t="str">
        <f aca="false">INDEX(Radicals!$G$2:$G$215,MATCH(C966,Radicals!$A$2:$A$215,0))</f>
        <v>city, village</v>
      </c>
      <c r="F966" s="8" t="n">
        <f aca="false">INDEX(Radicals!$D$2:$D$215,MATCH(C966,Radicals!$A$2:$A$215,0))</f>
        <v>7</v>
      </c>
      <c r="G966" s="8" t="n">
        <v>10</v>
      </c>
    </row>
    <row r="967" customFormat="false" ht="17.35" hidden="false" customHeight="false" outlineLevel="0" collapsed="false">
      <c r="A967" s="8" t="n">
        <v>966</v>
      </c>
      <c r="B967" s="9" t="s">
        <v>1993</v>
      </c>
      <c r="C967" s="8" t="n">
        <v>9</v>
      </c>
      <c r="D967" s="9" t="str">
        <f aca="false">INDEX(Radicals!$B$2:$B$215,MATCH(C967,Radicals!$A$2:$A$215,0))</f>
        <v>人</v>
      </c>
      <c r="E967" s="10" t="str">
        <f aca="false">INDEX(Radicals!$G$2:$G$215,MATCH(C967,Radicals!$A$2:$A$215,0))</f>
        <v>person</v>
      </c>
      <c r="F967" s="8" t="n">
        <f aca="false">INDEX(Radicals!$D$2:$D$215,MATCH(C967,Radicals!$A$2:$A$215,0))</f>
        <v>2</v>
      </c>
      <c r="G967" s="8" t="n">
        <v>8</v>
      </c>
    </row>
    <row r="968" customFormat="false" ht="17.35" hidden="false" customHeight="false" outlineLevel="0" collapsed="false">
      <c r="A968" s="8" t="n">
        <v>967</v>
      </c>
      <c r="B968" s="9" t="s">
        <v>1994</v>
      </c>
      <c r="C968" s="8" t="n">
        <v>140</v>
      </c>
      <c r="D968" s="9" t="str">
        <f aca="false">INDEX(Radicals!$B$2:$B$215,MATCH(C968,Radicals!$A$2:$A$215,0))</f>
        <v>艸</v>
      </c>
      <c r="E968" s="10" t="str">
        <f aca="false">INDEX(Radicals!$G$2:$G$215,MATCH(C968,Radicals!$A$2:$A$215,0))</f>
        <v>grass, plant</v>
      </c>
      <c r="F968" s="8" t="n">
        <f aca="false">INDEX(Radicals!$D$2:$D$215,MATCH(C968,Radicals!$A$2:$A$215,0))</f>
        <v>6</v>
      </c>
      <c r="G968" s="8" t="n">
        <v>9</v>
      </c>
    </row>
    <row r="969" customFormat="false" ht="17.35" hidden="false" customHeight="false" outlineLevel="0" collapsed="false">
      <c r="A969" s="8" t="n">
        <v>968</v>
      </c>
      <c r="B969" s="9" t="s">
        <v>1995</v>
      </c>
      <c r="C969" s="8" t="n">
        <v>60</v>
      </c>
      <c r="D969" s="9" t="str">
        <f aca="false">INDEX(Radicals!$B$2:$B$215,MATCH(C969,Radicals!$A$2:$A$215,0))</f>
        <v>彳</v>
      </c>
      <c r="E969" s="10" t="str">
        <f aca="false">INDEX(Radicals!$G$2:$G$215,MATCH(C969,Radicals!$A$2:$A$215,0))</f>
        <v>step, small step</v>
      </c>
      <c r="F969" s="8" t="n">
        <f aca="false">INDEX(Radicals!$D$2:$D$215,MATCH(C969,Radicals!$A$2:$A$215,0))</f>
        <v>3</v>
      </c>
      <c r="G969" s="8" t="n">
        <v>15</v>
      </c>
    </row>
    <row r="970" customFormat="false" ht="17.35" hidden="false" customHeight="false" outlineLevel="0" collapsed="false">
      <c r="A970" s="8" t="n">
        <v>969</v>
      </c>
      <c r="B970" s="9" t="s">
        <v>1996</v>
      </c>
      <c r="C970" s="8" t="n">
        <v>184</v>
      </c>
      <c r="D970" s="9" t="str">
        <f aca="false">INDEX(Radicals!$B$2:$B$215,MATCH(C970,Radicals!$A$2:$A$215,0))</f>
        <v>食</v>
      </c>
      <c r="E970" s="10" t="str">
        <f aca="false">INDEX(Radicals!$G$2:$G$215,MATCH(C970,Radicals!$A$2:$A$215,0))</f>
        <v>eat, food</v>
      </c>
      <c r="F970" s="8" t="n">
        <f aca="false">INDEX(Radicals!$D$2:$D$215,MATCH(C970,Radicals!$A$2:$A$215,0))</f>
        <v>9</v>
      </c>
      <c r="G970" s="8" t="n">
        <v>12</v>
      </c>
    </row>
    <row r="971" customFormat="false" ht="17.35" hidden="false" customHeight="false" outlineLevel="0" collapsed="false">
      <c r="A971" s="8" t="n">
        <v>970</v>
      </c>
      <c r="B971" s="9" t="s">
        <v>1997</v>
      </c>
      <c r="C971" s="8" t="n">
        <v>154</v>
      </c>
      <c r="D971" s="9" t="str">
        <f aca="false">INDEX(Radicals!$B$2:$B$215,MATCH(C971,Radicals!$A$2:$A$215,0))</f>
        <v>貝</v>
      </c>
      <c r="E971" s="10" t="str">
        <f aca="false">INDEX(Radicals!$G$2:$G$215,MATCH(C971,Radicals!$A$2:$A$215,0))</f>
        <v>shell, money</v>
      </c>
      <c r="F971" s="8" t="n">
        <f aca="false">INDEX(Radicals!$D$2:$D$215,MATCH(C971,Radicals!$A$2:$A$215,0))</f>
        <v>7</v>
      </c>
      <c r="G971" s="8" t="n">
        <v>12</v>
      </c>
    </row>
    <row r="972" customFormat="false" ht="17.35" hidden="false" customHeight="false" outlineLevel="0" collapsed="false">
      <c r="A972" s="8" t="n">
        <v>971</v>
      </c>
      <c r="B972" s="9" t="s">
        <v>1998</v>
      </c>
      <c r="C972" s="8" t="n">
        <v>32</v>
      </c>
      <c r="D972" s="9" t="str">
        <f aca="false">INDEX(Radicals!$B$2:$B$215,MATCH(C972,Radicals!$A$2:$A$215,0))</f>
        <v>土</v>
      </c>
      <c r="E972" s="10" t="str">
        <f aca="false">INDEX(Radicals!$G$2:$G$215,MATCH(C972,Radicals!$A$2:$A$215,0))</f>
        <v>earth, soil</v>
      </c>
      <c r="F972" s="8" t="n">
        <f aca="false">INDEX(Radicals!$D$2:$D$215,MATCH(C972,Radicals!$A$2:$A$215,0))</f>
        <v>3</v>
      </c>
      <c r="G972" s="8" t="n">
        <v>11</v>
      </c>
    </row>
    <row r="973" customFormat="false" ht="17.35" hidden="false" customHeight="false" outlineLevel="0" collapsed="false">
      <c r="A973" s="8" t="n">
        <v>972</v>
      </c>
      <c r="B973" s="9" t="s">
        <v>1999</v>
      </c>
      <c r="C973" s="8" t="n">
        <v>144</v>
      </c>
      <c r="D973" s="9" t="str">
        <f aca="false">INDEX(Radicals!$B$2:$B$215,MATCH(C973,Radicals!$A$2:$A$215,0))</f>
        <v>行</v>
      </c>
      <c r="E973" s="10" t="str">
        <f aca="false">INDEX(Radicals!$G$2:$G$215,MATCH(C973,Radicals!$A$2:$A$215,0))</f>
        <v>walk, go, line</v>
      </c>
      <c r="F973" s="8" t="n">
        <f aca="false">INDEX(Radicals!$D$2:$D$215,MATCH(C973,Radicals!$A$2:$A$215,0))</f>
        <v>6</v>
      </c>
      <c r="G973" s="8" t="n">
        <v>15</v>
      </c>
    </row>
    <row r="974" customFormat="false" ht="17.35" hidden="false" customHeight="false" outlineLevel="0" collapsed="false">
      <c r="A974" s="8" t="n">
        <v>973</v>
      </c>
      <c r="B974" s="9" t="s">
        <v>2000</v>
      </c>
      <c r="C974" s="8" t="n">
        <v>86</v>
      </c>
      <c r="D974" s="9" t="str">
        <f aca="false">INDEX(Radicals!$B$2:$B$215,MATCH(C974,Radicals!$A$2:$A$215,0))</f>
        <v>火</v>
      </c>
      <c r="E974" s="10" t="str">
        <f aca="false">INDEX(Radicals!$G$2:$G$215,MATCH(C974,Radicals!$A$2:$A$215,0))</f>
        <v>fire</v>
      </c>
      <c r="F974" s="8" t="n">
        <f aca="false">INDEX(Radicals!$D$2:$D$215,MATCH(C974,Radicals!$A$2:$A$215,0))</f>
        <v>4</v>
      </c>
      <c r="G974" s="8" t="n">
        <v>12</v>
      </c>
    </row>
    <row r="975" customFormat="false" ht="17.35" hidden="false" customHeight="false" outlineLevel="0" collapsed="false">
      <c r="A975" s="8" t="n">
        <v>974</v>
      </c>
      <c r="B975" s="9" t="s">
        <v>2001</v>
      </c>
      <c r="C975" s="8" t="n">
        <v>37</v>
      </c>
      <c r="D975" s="9" t="str">
        <f aca="false">INDEX(Radicals!$B$2:$B$215,MATCH(C975,Radicals!$A$2:$A$215,0))</f>
        <v>大</v>
      </c>
      <c r="E975" s="10" t="str">
        <f aca="false">INDEX(Radicals!$G$2:$G$215,MATCH(C975,Radicals!$A$2:$A$215,0))</f>
        <v>big</v>
      </c>
      <c r="F975" s="8" t="n">
        <f aca="false">INDEX(Radicals!$D$2:$D$215,MATCH(C975,Radicals!$A$2:$A$215,0))</f>
        <v>3</v>
      </c>
      <c r="G975" s="8" t="n">
        <v>14</v>
      </c>
    </row>
    <row r="976" customFormat="false" ht="17.35" hidden="false" customHeight="false" outlineLevel="0" collapsed="false">
      <c r="A976" s="8" t="n">
        <v>975</v>
      </c>
      <c r="B976" s="9" t="s">
        <v>2002</v>
      </c>
      <c r="C976" s="8" t="n">
        <v>172</v>
      </c>
      <c r="D976" s="9" t="str">
        <f aca="false">INDEX(Radicals!$B$2:$B$215,MATCH(C976,Radicals!$A$2:$A$215,0))</f>
        <v>隹</v>
      </c>
      <c r="E976" s="10" t="str">
        <f aca="false">INDEX(Radicals!$G$2:$G$215,MATCH(C976,Radicals!$A$2:$A$215,0))</f>
        <v>short-tailed bird</v>
      </c>
      <c r="F976" s="8" t="n">
        <f aca="false">INDEX(Radicals!$D$2:$D$215,MATCH(C976,Radicals!$A$2:$A$215,0))</f>
        <v>8</v>
      </c>
      <c r="G976" s="8" t="n">
        <v>12</v>
      </c>
    </row>
    <row r="977" customFormat="false" ht="17.35" hidden="false" customHeight="false" outlineLevel="0" collapsed="false">
      <c r="A977" s="8" t="n">
        <v>976</v>
      </c>
      <c r="B977" s="9" t="s">
        <v>2003</v>
      </c>
      <c r="C977" s="8" t="n">
        <v>86</v>
      </c>
      <c r="D977" s="9" t="str">
        <f aca="false">INDEX(Radicals!$B$2:$B$215,MATCH(C977,Radicals!$A$2:$A$215,0))</f>
        <v>火</v>
      </c>
      <c r="E977" s="10" t="str">
        <f aca="false">INDEX(Radicals!$G$2:$G$215,MATCH(C977,Radicals!$A$2:$A$215,0))</f>
        <v>fire</v>
      </c>
      <c r="F977" s="8" t="n">
        <f aca="false">INDEX(Radicals!$D$2:$D$215,MATCH(C977,Radicals!$A$2:$A$215,0))</f>
        <v>4</v>
      </c>
      <c r="G977" s="8" t="n">
        <v>7</v>
      </c>
    </row>
    <row r="978" customFormat="false" ht="17.35" hidden="false" customHeight="false" outlineLevel="0" collapsed="false">
      <c r="A978" s="8" t="n">
        <v>977</v>
      </c>
      <c r="B978" s="9" t="s">
        <v>2004</v>
      </c>
      <c r="C978" s="8" t="n">
        <v>85</v>
      </c>
      <c r="D978" s="9" t="str">
        <f aca="false">INDEX(Radicals!$B$2:$B$215,MATCH(C978,Radicals!$A$2:$A$215,0))</f>
        <v>水</v>
      </c>
      <c r="E978" s="10" t="str">
        <f aca="false">INDEX(Radicals!$G$2:$G$215,MATCH(C978,Radicals!$A$2:$A$215,0))</f>
        <v>water</v>
      </c>
      <c r="F978" s="8" t="n">
        <f aca="false">INDEX(Radicals!$D$2:$D$215,MATCH(C978,Radicals!$A$2:$A$215,0))</f>
        <v>4</v>
      </c>
      <c r="G978" s="8" t="n">
        <v>10</v>
      </c>
    </row>
    <row r="979" customFormat="false" ht="17.35" hidden="false" customHeight="false" outlineLevel="0" collapsed="false">
      <c r="A979" s="8" t="n">
        <v>978</v>
      </c>
      <c r="B979" s="9" t="s">
        <v>2005</v>
      </c>
      <c r="C979" s="8" t="n">
        <v>72</v>
      </c>
      <c r="D979" s="9" t="str">
        <f aca="false">INDEX(Radicals!$B$2:$B$215,MATCH(C979,Radicals!$A$2:$A$215,0))</f>
        <v>日</v>
      </c>
      <c r="E979" s="10" t="str">
        <f aca="false">INDEX(Radicals!$G$2:$G$215,MATCH(C979,Radicals!$A$2:$A$215,0))</f>
        <v>sun, day</v>
      </c>
      <c r="F979" s="8" t="n">
        <f aca="false">INDEX(Radicals!$D$2:$D$215,MATCH(C979,Radicals!$A$2:$A$215,0))</f>
        <v>4</v>
      </c>
      <c r="G979" s="8" t="n">
        <v>14</v>
      </c>
    </row>
    <row r="980" customFormat="false" ht="17.35" hidden="false" customHeight="false" outlineLevel="0" collapsed="false">
      <c r="A980" s="8" t="n">
        <v>979</v>
      </c>
      <c r="B980" s="9" t="s">
        <v>2006</v>
      </c>
      <c r="C980" s="8" t="n">
        <v>73</v>
      </c>
      <c r="D980" s="9" t="str">
        <f aca="false">INDEX(Radicals!$B$2:$B$215,MATCH(C980,Radicals!$A$2:$A$215,0))</f>
        <v>曰</v>
      </c>
      <c r="E980" s="10" t="str">
        <f aca="false">INDEX(Radicals!$G$2:$G$215,MATCH(C980,Radicals!$A$2:$A$215,0))</f>
        <v>say</v>
      </c>
      <c r="F980" s="8" t="n">
        <f aca="false">INDEX(Radicals!$D$2:$D$215,MATCH(C980,Radicals!$A$2:$A$215,0))</f>
        <v>4</v>
      </c>
      <c r="G980" s="8" t="n">
        <v>12</v>
      </c>
    </row>
    <row r="981" customFormat="false" ht="17.35" hidden="false" customHeight="false" outlineLevel="0" collapsed="false">
      <c r="A981" s="8" t="n">
        <v>980</v>
      </c>
      <c r="B981" s="9" t="s">
        <v>2007</v>
      </c>
      <c r="C981" s="8" t="n">
        <v>75</v>
      </c>
      <c r="D981" s="9" t="str">
        <f aca="false">INDEX(Radicals!$B$2:$B$215,MATCH(C981,Radicals!$A$2:$A$215,0))</f>
        <v>木</v>
      </c>
      <c r="E981" s="10" t="str">
        <f aca="false">INDEX(Radicals!$G$2:$G$215,MATCH(C981,Radicals!$A$2:$A$215,0))</f>
        <v>tree, wood</v>
      </c>
      <c r="F981" s="8" t="n">
        <f aca="false">INDEX(Radicals!$D$2:$D$215,MATCH(C981,Radicals!$A$2:$A$215,0))</f>
        <v>4</v>
      </c>
      <c r="G981" s="8" t="n">
        <v>8</v>
      </c>
    </row>
    <row r="982" customFormat="false" ht="17.35" hidden="false" customHeight="false" outlineLevel="0" collapsed="false">
      <c r="A982" s="8" t="n">
        <v>981</v>
      </c>
      <c r="B982" s="9" t="s">
        <v>2008</v>
      </c>
      <c r="C982" s="8" t="n">
        <v>181</v>
      </c>
      <c r="D982" s="9" t="str">
        <f aca="false">INDEX(Radicals!$B$2:$B$215,MATCH(C982,Radicals!$A$2:$A$215,0))</f>
        <v>頁</v>
      </c>
      <c r="E982" s="10" t="str">
        <f aca="false">INDEX(Radicals!$G$2:$G$215,MATCH(C982,Radicals!$A$2:$A$215,0))</f>
        <v>page, leaf (head)</v>
      </c>
      <c r="F982" s="8" t="n">
        <f aca="false">INDEX(Radicals!$D$2:$D$215,MATCH(C982,Radicals!$A$2:$A$215,0))</f>
        <v>9</v>
      </c>
      <c r="G982" s="8" t="n">
        <v>13</v>
      </c>
    </row>
    <row r="983" customFormat="false" ht="17.35" hidden="false" customHeight="false" outlineLevel="0" collapsed="false">
      <c r="A983" s="8" t="n">
        <v>982</v>
      </c>
      <c r="B983" s="9" t="s">
        <v>2009</v>
      </c>
      <c r="C983" s="8" t="n">
        <v>86</v>
      </c>
      <c r="D983" s="9" t="str">
        <f aca="false">INDEX(Radicals!$B$2:$B$215,MATCH(C983,Radicals!$A$2:$A$215,0))</f>
        <v>火</v>
      </c>
      <c r="E983" s="10" t="str">
        <f aca="false">INDEX(Radicals!$G$2:$G$215,MATCH(C983,Radicals!$A$2:$A$215,0))</f>
        <v>fire</v>
      </c>
      <c r="F983" s="8" t="n">
        <f aca="false">INDEX(Radicals!$D$2:$D$215,MATCH(C983,Radicals!$A$2:$A$215,0))</f>
        <v>4</v>
      </c>
      <c r="G983" s="8" t="n">
        <v>12</v>
      </c>
    </row>
    <row r="984" customFormat="false" ht="17.35" hidden="false" customHeight="false" outlineLevel="0" collapsed="false">
      <c r="A984" s="8" t="n">
        <v>983</v>
      </c>
      <c r="B984" s="9" t="s">
        <v>2010</v>
      </c>
      <c r="C984" s="8" t="n">
        <v>118</v>
      </c>
      <c r="D984" s="9" t="str">
        <f aca="false">INDEX(Radicals!$B$2:$B$215,MATCH(C984,Radicals!$A$2:$A$215,0))</f>
        <v>竹</v>
      </c>
      <c r="E984" s="10" t="str">
        <f aca="false">INDEX(Radicals!$G$2:$G$215,MATCH(C984,Radicals!$A$2:$A$215,0))</f>
        <v>bamboo</v>
      </c>
      <c r="F984" s="8" t="n">
        <f aca="false">INDEX(Radicals!$D$2:$D$215,MATCH(C984,Radicals!$A$2:$A$215,0))</f>
        <v>6</v>
      </c>
      <c r="G984" s="8" t="n">
        <v>18</v>
      </c>
    </row>
    <row r="985" customFormat="false" ht="17.35" hidden="false" customHeight="false" outlineLevel="0" collapsed="false">
      <c r="A985" s="8" t="n">
        <v>984</v>
      </c>
      <c r="B985" s="9" t="s">
        <v>2011</v>
      </c>
      <c r="C985" s="8" t="n">
        <v>149</v>
      </c>
      <c r="D985" s="9" t="str">
        <f aca="false">INDEX(Radicals!$B$2:$B$215,MATCH(C985,Radicals!$A$2:$A$215,0))</f>
        <v>言</v>
      </c>
      <c r="E985" s="10" t="str">
        <f aca="false">INDEX(Radicals!$G$2:$G$215,MATCH(C985,Radicals!$A$2:$A$215,0))</f>
        <v>speech, say</v>
      </c>
      <c r="F985" s="8" t="n">
        <f aca="false">INDEX(Radicals!$D$2:$D$215,MATCH(C985,Radicals!$A$2:$A$215,0))</f>
        <v>7</v>
      </c>
      <c r="G985" s="8" t="n">
        <v>20</v>
      </c>
    </row>
    <row r="986" customFormat="false" ht="17.35" hidden="false" customHeight="false" outlineLevel="0" collapsed="false">
      <c r="A986" s="8" t="n">
        <v>985</v>
      </c>
      <c r="B986" s="9" t="s">
        <v>2012</v>
      </c>
      <c r="C986" s="8" t="n">
        <v>115</v>
      </c>
      <c r="D986" s="9" t="str">
        <f aca="false">INDEX(Radicals!$B$2:$B$215,MATCH(C986,Radicals!$A$2:$A$215,0))</f>
        <v>禾</v>
      </c>
      <c r="E986" s="10" t="str">
        <f aca="false">INDEX(Radicals!$G$2:$G$215,MATCH(C986,Radicals!$A$2:$A$215,0))</f>
        <v>grain, rice plant</v>
      </c>
      <c r="F986" s="8" t="n">
        <f aca="false">INDEX(Radicals!$D$2:$D$215,MATCH(C986,Radicals!$A$2:$A$215,0))</f>
        <v>5</v>
      </c>
      <c r="G986" s="8" t="n">
        <v>10</v>
      </c>
    </row>
    <row r="987" customFormat="false" ht="17.35" hidden="false" customHeight="false" outlineLevel="0" collapsed="false">
      <c r="A987" s="8" t="n">
        <v>986</v>
      </c>
      <c r="B987" s="9" t="s">
        <v>687</v>
      </c>
      <c r="C987" s="8" t="n">
        <v>130</v>
      </c>
      <c r="D987" s="9" t="str">
        <f aca="false">INDEX(Radicals!$B$2:$B$215,MATCH(C987,Radicals!$A$2:$A$215,0))</f>
        <v>肉</v>
      </c>
      <c r="E987" s="10" t="str">
        <f aca="false">INDEX(Radicals!$G$2:$G$215,MATCH(C987,Radicals!$A$2:$A$215,0))</f>
        <v>meat, flesh</v>
      </c>
      <c r="F987" s="8" t="n">
        <f aca="false">INDEX(Radicals!$D$2:$D$215,MATCH(C987,Radicals!$A$2:$A$215,0))</f>
        <v>6</v>
      </c>
      <c r="G987" s="8" t="n">
        <v>6</v>
      </c>
    </row>
    <row r="988" customFormat="false" ht="17.35" hidden="false" customHeight="false" outlineLevel="0" collapsed="false">
      <c r="A988" s="8" t="n">
        <v>987</v>
      </c>
      <c r="B988" s="9" t="s">
        <v>2013</v>
      </c>
      <c r="C988" s="8" t="n">
        <v>120</v>
      </c>
      <c r="D988" s="9" t="str">
        <f aca="false">INDEX(Radicals!$B$2:$B$215,MATCH(C988,Radicals!$A$2:$A$215,0))</f>
        <v>糸</v>
      </c>
      <c r="E988" s="10" t="str">
        <f aca="false">INDEX(Radicals!$G$2:$G$215,MATCH(C988,Radicals!$A$2:$A$215,0))</f>
        <v>thread, silk</v>
      </c>
      <c r="F988" s="8" t="n">
        <f aca="false">INDEX(Radicals!$D$2:$D$215,MATCH(C988,Radicals!$A$2:$A$215,0))</f>
        <v>6</v>
      </c>
      <c r="G988" s="8" t="n">
        <v>10</v>
      </c>
    </row>
    <row r="989" customFormat="false" ht="17.35" hidden="false" customHeight="false" outlineLevel="0" collapsed="false">
      <c r="A989" s="8" t="n">
        <v>988</v>
      </c>
      <c r="B989" s="9" t="s">
        <v>2014</v>
      </c>
      <c r="C989" s="8" t="n">
        <v>75</v>
      </c>
      <c r="D989" s="9" t="str">
        <f aca="false">INDEX(Radicals!$B$2:$B$215,MATCH(C989,Radicals!$A$2:$A$215,0))</f>
        <v>木</v>
      </c>
      <c r="E989" s="10" t="str">
        <f aca="false">INDEX(Radicals!$G$2:$G$215,MATCH(C989,Radicals!$A$2:$A$215,0))</f>
        <v>tree, wood</v>
      </c>
      <c r="F989" s="8" t="n">
        <f aca="false">INDEX(Radicals!$D$2:$D$215,MATCH(C989,Radicals!$A$2:$A$215,0))</f>
        <v>4</v>
      </c>
      <c r="G989" s="8" t="n">
        <v>16</v>
      </c>
    </row>
    <row r="990" customFormat="false" ht="17.35" hidden="false" customHeight="false" outlineLevel="0" collapsed="false">
      <c r="A990" s="8" t="n">
        <v>989</v>
      </c>
      <c r="B990" s="9" t="s">
        <v>2015</v>
      </c>
      <c r="C990" s="8" t="n">
        <v>64</v>
      </c>
      <c r="D990" s="9" t="str">
        <f aca="false">INDEX(Radicals!$B$2:$B$215,MATCH(C990,Radicals!$A$2:$A$215,0))</f>
        <v>手</v>
      </c>
      <c r="E990" s="10" t="str">
        <f aca="false">INDEX(Radicals!$G$2:$G$215,MATCH(C990,Radicals!$A$2:$A$215,0))</f>
        <v>hand</v>
      </c>
      <c r="F990" s="8" t="n">
        <f aca="false">INDEX(Radicals!$D$2:$D$215,MATCH(C990,Radicals!$A$2:$A$215,0))</f>
        <v>4</v>
      </c>
      <c r="G990" s="8" t="n">
        <v>9</v>
      </c>
    </row>
    <row r="991" customFormat="false" ht="17.35" hidden="false" customHeight="false" outlineLevel="0" collapsed="false">
      <c r="A991" s="8" t="n">
        <v>990</v>
      </c>
      <c r="B991" s="9" t="s">
        <v>2016</v>
      </c>
      <c r="C991" s="8" t="n">
        <v>117</v>
      </c>
      <c r="D991" s="9" t="str">
        <f aca="false">INDEX(Radicals!$B$2:$B$215,MATCH(C991,Radicals!$A$2:$A$215,0))</f>
        <v>立</v>
      </c>
      <c r="E991" s="10" t="str">
        <f aca="false">INDEX(Radicals!$G$2:$G$215,MATCH(C991,Radicals!$A$2:$A$215,0))</f>
        <v>stand</v>
      </c>
      <c r="F991" s="8" t="n">
        <f aca="false">INDEX(Radicals!$D$2:$D$215,MATCH(C991,Radicals!$A$2:$A$215,0))</f>
        <v>5</v>
      </c>
      <c r="G991" s="8" t="n">
        <v>11</v>
      </c>
    </row>
    <row r="992" customFormat="false" ht="17.35" hidden="false" customHeight="false" outlineLevel="0" collapsed="false">
      <c r="A992" s="8" t="n">
        <v>991</v>
      </c>
      <c r="B992" s="9" t="s">
        <v>2017</v>
      </c>
      <c r="C992" s="8" t="n">
        <v>130</v>
      </c>
      <c r="D992" s="9" t="str">
        <f aca="false">INDEX(Radicals!$B$2:$B$215,MATCH(C992,Radicals!$A$2:$A$215,0))</f>
        <v>肉</v>
      </c>
      <c r="E992" s="10" t="str">
        <f aca="false">INDEX(Radicals!$G$2:$G$215,MATCH(C992,Radicals!$A$2:$A$215,0))</f>
        <v>meat, flesh</v>
      </c>
      <c r="F992" s="8" t="n">
        <f aca="false">INDEX(Radicals!$D$2:$D$215,MATCH(C992,Radicals!$A$2:$A$215,0))</f>
        <v>6</v>
      </c>
      <c r="G992" s="8" t="n">
        <v>19</v>
      </c>
    </row>
    <row r="993" customFormat="false" ht="17.35" hidden="false" customHeight="false" outlineLevel="0" collapsed="false">
      <c r="A993" s="8" t="n">
        <v>992</v>
      </c>
      <c r="B993" s="9" t="s">
        <v>2018</v>
      </c>
      <c r="C993" s="8" t="n">
        <v>60</v>
      </c>
      <c r="D993" s="9" t="str">
        <f aca="false">INDEX(Radicals!$B$2:$B$215,MATCH(C993,Radicals!$A$2:$A$215,0))</f>
        <v>彳</v>
      </c>
      <c r="E993" s="10" t="str">
        <f aca="false">INDEX(Radicals!$G$2:$G$215,MATCH(C993,Radicals!$A$2:$A$215,0))</f>
        <v>step, small step</v>
      </c>
      <c r="F993" s="8" t="n">
        <f aca="false">INDEX(Radicals!$D$2:$D$215,MATCH(C993,Radicals!$A$2:$A$215,0))</f>
        <v>3</v>
      </c>
      <c r="G993" s="8" t="n">
        <v>9</v>
      </c>
    </row>
    <row r="994" customFormat="false" ht="17.35" hidden="false" customHeight="false" outlineLevel="0" collapsed="false">
      <c r="A994" s="8" t="n">
        <v>993</v>
      </c>
      <c r="B994" s="9" t="s">
        <v>2019</v>
      </c>
      <c r="C994" s="8" t="n">
        <v>149</v>
      </c>
      <c r="D994" s="9" t="str">
        <f aca="false">INDEX(Radicals!$B$2:$B$215,MATCH(C994,Radicals!$A$2:$A$215,0))</f>
        <v>言</v>
      </c>
      <c r="E994" s="10" t="str">
        <f aca="false">INDEX(Radicals!$G$2:$G$215,MATCH(C994,Radicals!$A$2:$A$215,0))</f>
        <v>speech, say</v>
      </c>
      <c r="F994" s="8" t="n">
        <f aca="false">INDEX(Radicals!$D$2:$D$215,MATCH(C994,Radicals!$A$2:$A$215,0))</f>
        <v>7</v>
      </c>
      <c r="G994" s="8" t="n">
        <v>14</v>
      </c>
    </row>
    <row r="995" customFormat="false" ht="17.35" hidden="false" customHeight="false" outlineLevel="0" collapsed="false">
      <c r="A995" s="8" t="n">
        <v>994</v>
      </c>
      <c r="B995" s="9" t="s">
        <v>2020</v>
      </c>
      <c r="C995" s="8" t="n">
        <v>120</v>
      </c>
      <c r="D995" s="9" t="str">
        <f aca="false">INDEX(Radicals!$B$2:$B$215,MATCH(C995,Radicals!$A$2:$A$215,0))</f>
        <v>糸</v>
      </c>
      <c r="E995" s="10" t="str">
        <f aca="false">INDEX(Radicals!$G$2:$G$215,MATCH(C995,Radicals!$A$2:$A$215,0))</f>
        <v>thread, silk</v>
      </c>
      <c r="F995" s="8" t="n">
        <f aca="false">INDEX(Radicals!$D$2:$D$215,MATCH(C995,Radicals!$A$2:$A$215,0))</f>
        <v>6</v>
      </c>
      <c r="G995" s="8" t="n">
        <v>10</v>
      </c>
    </row>
    <row r="996" customFormat="false" ht="17.35" hidden="false" customHeight="false" outlineLevel="0" collapsed="false">
      <c r="A996" s="8" t="n">
        <v>995</v>
      </c>
      <c r="B996" s="9" t="s">
        <v>2021</v>
      </c>
      <c r="C996" s="8" t="n">
        <v>154</v>
      </c>
      <c r="D996" s="9" t="str">
        <f aca="false">INDEX(Radicals!$B$2:$B$215,MATCH(C996,Radicals!$A$2:$A$215,0))</f>
        <v>貝</v>
      </c>
      <c r="E996" s="10" t="str">
        <f aca="false">INDEX(Radicals!$G$2:$G$215,MATCH(C996,Radicals!$A$2:$A$215,0))</f>
        <v>shell, money</v>
      </c>
      <c r="F996" s="8" t="n">
        <f aca="false">INDEX(Radicals!$D$2:$D$215,MATCH(C996,Radicals!$A$2:$A$215,0))</f>
        <v>7</v>
      </c>
      <c r="G996" s="8" t="n">
        <v>12</v>
      </c>
    </row>
    <row r="997" customFormat="false" ht="17.35" hidden="false" customHeight="false" outlineLevel="0" collapsed="false">
      <c r="A997" s="8" t="n">
        <v>996</v>
      </c>
      <c r="B997" s="9" t="s">
        <v>703</v>
      </c>
      <c r="C997" s="8" t="n">
        <v>133</v>
      </c>
      <c r="D997" s="9" t="str">
        <f aca="false">INDEX(Radicals!$B$2:$B$215,MATCH(C997,Radicals!$A$2:$A$215,0))</f>
        <v>至</v>
      </c>
      <c r="E997" s="10" t="str">
        <f aca="false">INDEX(Radicals!$G$2:$G$215,MATCH(C997,Radicals!$A$2:$A$215,0))</f>
        <v>arrive</v>
      </c>
      <c r="F997" s="8" t="n">
        <f aca="false">INDEX(Radicals!$D$2:$D$215,MATCH(C997,Radicals!$A$2:$A$215,0))</f>
        <v>6</v>
      </c>
      <c r="G997" s="8" t="n">
        <v>6</v>
      </c>
    </row>
    <row r="998" customFormat="false" ht="17.35" hidden="false" customHeight="false" outlineLevel="0" collapsed="false">
      <c r="A998" s="8" t="n">
        <v>997</v>
      </c>
      <c r="B998" s="9" t="s">
        <v>2022</v>
      </c>
      <c r="C998" s="8" t="n">
        <v>40</v>
      </c>
      <c r="D998" s="9" t="str">
        <f aca="false">INDEX(Radicals!$B$2:$B$215,MATCH(C998,Radicals!$A$2:$A$215,0))</f>
        <v>宀</v>
      </c>
      <c r="E998" s="10" t="str">
        <f aca="false">INDEX(Radicals!$G$2:$G$215,MATCH(C998,Radicals!$A$2:$A$215,0))</f>
        <v>roof</v>
      </c>
      <c r="F998" s="8" t="n">
        <f aca="false">INDEX(Radicals!$D$2:$D$215,MATCH(C998,Radicals!$A$2:$A$215,0))</f>
        <v>3</v>
      </c>
      <c r="G998" s="8" t="n">
        <v>8</v>
      </c>
    </row>
    <row r="999" customFormat="false" ht="17.35" hidden="false" customHeight="false" outlineLevel="0" collapsed="false">
      <c r="A999" s="8" t="n">
        <v>998</v>
      </c>
      <c r="B999" s="9" t="s">
        <v>2023</v>
      </c>
      <c r="C999" s="8" t="n">
        <v>9</v>
      </c>
      <c r="D999" s="9" t="str">
        <f aca="false">INDEX(Radicals!$B$2:$B$215,MATCH(C999,Radicals!$A$2:$A$215,0))</f>
        <v>人</v>
      </c>
      <c r="E999" s="10" t="str">
        <f aca="false">INDEX(Radicals!$G$2:$G$215,MATCH(C999,Radicals!$A$2:$A$215,0))</f>
        <v>person</v>
      </c>
      <c r="F999" s="8" t="n">
        <f aca="false">INDEX(Radicals!$D$2:$D$215,MATCH(C999,Radicals!$A$2:$A$215,0))</f>
        <v>2</v>
      </c>
      <c r="G999" s="8" t="n">
        <v>9</v>
      </c>
    </row>
    <row r="1000" customFormat="false" ht="17.35" hidden="false" customHeight="false" outlineLevel="0" collapsed="false">
      <c r="A1000" s="8" t="n">
        <v>999</v>
      </c>
      <c r="B1000" s="9" t="s">
        <v>2024</v>
      </c>
      <c r="C1000" s="8" t="n">
        <v>61</v>
      </c>
      <c r="D1000" s="9" t="str">
        <f aca="false">INDEX(Radicals!$B$2:$B$215,MATCH(C1000,Radicals!$A$2:$A$215,0))</f>
        <v>心</v>
      </c>
      <c r="E1000" s="10" t="str">
        <f aca="false">INDEX(Radicals!$G$2:$G$215,MATCH(C1000,Radicals!$A$2:$A$215,0))</f>
        <v>heart, mind</v>
      </c>
      <c r="F1000" s="8" t="n">
        <f aca="false">INDEX(Radicals!$D$2:$D$215,MATCH(C1000,Radicals!$A$2:$A$215,0))</f>
        <v>4</v>
      </c>
      <c r="G1000" s="8" t="n">
        <v>13</v>
      </c>
    </row>
    <row r="1001" customFormat="false" ht="17.35" hidden="false" customHeight="false" outlineLevel="0" collapsed="false">
      <c r="A1001" s="8" t="n">
        <v>1000</v>
      </c>
      <c r="B1001" s="9" t="s">
        <v>2025</v>
      </c>
      <c r="C1001" s="8" t="n">
        <v>64</v>
      </c>
      <c r="D1001" s="9" t="str">
        <f aca="false">INDEX(Radicals!$B$2:$B$215,MATCH(C1001,Radicals!$A$2:$A$215,0))</f>
        <v>手</v>
      </c>
      <c r="E1001" s="10" t="str">
        <f aca="false">INDEX(Radicals!$G$2:$G$215,MATCH(C1001,Radicals!$A$2:$A$215,0))</f>
        <v>hand</v>
      </c>
      <c r="F1001" s="8" t="n">
        <f aca="false">INDEX(Radicals!$D$2:$D$215,MATCH(C1001,Radicals!$A$2:$A$215,0))</f>
        <v>4</v>
      </c>
      <c r="G1001" s="8" t="n">
        <v>11</v>
      </c>
    </row>
    <row r="1002" customFormat="false" ht="17.35" hidden="false" customHeight="false" outlineLevel="0" collapsed="false">
      <c r="A1002" s="8" t="n">
        <v>1001</v>
      </c>
      <c r="B1002" s="9" t="s">
        <v>2026</v>
      </c>
      <c r="C1002" s="8" t="n">
        <v>154</v>
      </c>
      <c r="D1002" s="9" t="str">
        <f aca="false">INDEX(Radicals!$B$2:$B$215,MATCH(C1002,Radicals!$A$2:$A$215,0))</f>
        <v>貝</v>
      </c>
      <c r="E1002" s="10" t="str">
        <f aca="false">INDEX(Radicals!$G$2:$G$215,MATCH(C1002,Radicals!$A$2:$A$215,0))</f>
        <v>shell, money</v>
      </c>
      <c r="F1002" s="8" t="n">
        <f aca="false">INDEX(Radicals!$D$2:$D$215,MATCH(C1002,Radicals!$A$2:$A$215,0))</f>
        <v>7</v>
      </c>
      <c r="G1002" s="8" t="n">
        <v>18</v>
      </c>
    </row>
    <row r="1003" customFormat="false" ht="17.35" hidden="false" customHeight="false" outlineLevel="0" collapsed="false">
      <c r="A1003" s="8" t="n">
        <v>1002</v>
      </c>
      <c r="B1003" s="9" t="s">
        <v>2027</v>
      </c>
      <c r="C1003" s="8" t="n">
        <v>72</v>
      </c>
      <c r="D1003" s="9" t="str">
        <f aca="false">INDEX(Radicals!$B$2:$B$215,MATCH(C1003,Radicals!$A$2:$A$215,0))</f>
        <v>日</v>
      </c>
      <c r="E1003" s="10" t="str">
        <f aca="false">INDEX(Radicals!$G$2:$G$215,MATCH(C1003,Radicals!$A$2:$A$215,0))</f>
        <v>sun, day</v>
      </c>
      <c r="F1003" s="8" t="n">
        <f aca="false">INDEX(Radicals!$D$2:$D$215,MATCH(C1003,Radicals!$A$2:$A$215,0))</f>
        <v>4</v>
      </c>
      <c r="G1003" s="8" t="n">
        <v>12</v>
      </c>
    </row>
    <row r="1004" customFormat="false" ht="17.35" hidden="false" customHeight="false" outlineLevel="0" collapsed="false">
      <c r="A1004" s="8" t="n">
        <v>1003</v>
      </c>
      <c r="B1004" s="9" t="s">
        <v>2028</v>
      </c>
      <c r="C1004" s="8" t="n">
        <v>64</v>
      </c>
      <c r="D1004" s="9" t="str">
        <f aca="false">INDEX(Radicals!$B$2:$B$215,MATCH(C1004,Radicals!$A$2:$A$215,0))</f>
        <v>手</v>
      </c>
      <c r="E1004" s="10" t="str">
        <f aca="false">INDEX(Radicals!$G$2:$G$215,MATCH(C1004,Radicals!$A$2:$A$215,0))</f>
        <v>hand</v>
      </c>
      <c r="F1004" s="8" t="n">
        <f aca="false">INDEX(Radicals!$D$2:$D$215,MATCH(C1004,Radicals!$A$2:$A$215,0))</f>
        <v>4</v>
      </c>
      <c r="G1004" s="8" t="n">
        <v>12</v>
      </c>
    </row>
    <row r="1005" customFormat="false" ht="17.35" hidden="false" customHeight="false" outlineLevel="0" collapsed="false">
      <c r="A1005" s="8" t="n">
        <v>1004</v>
      </c>
      <c r="B1005" s="9" t="s">
        <v>2029</v>
      </c>
      <c r="C1005" s="8" t="n">
        <v>86</v>
      </c>
      <c r="D1005" s="9" t="str">
        <f aca="false">INDEX(Radicals!$B$2:$B$215,MATCH(C1005,Radicals!$A$2:$A$215,0))</f>
        <v>火</v>
      </c>
      <c r="E1005" s="10" t="str">
        <f aca="false">INDEX(Radicals!$G$2:$G$215,MATCH(C1005,Radicals!$A$2:$A$215,0))</f>
        <v>fire</v>
      </c>
      <c r="F1005" s="8" t="n">
        <f aca="false">INDEX(Radicals!$D$2:$D$215,MATCH(C1005,Radicals!$A$2:$A$215,0))</f>
        <v>4</v>
      </c>
      <c r="G1005" s="8" t="n">
        <v>13</v>
      </c>
    </row>
    <row r="1006" customFormat="false" ht="17.35" hidden="false" customHeight="false" outlineLevel="0" collapsed="false">
      <c r="A1006" s="8" t="n">
        <v>1005</v>
      </c>
      <c r="B1006" s="9" t="s">
        <v>2030</v>
      </c>
      <c r="C1006" s="8" t="n">
        <v>40</v>
      </c>
      <c r="D1006" s="9" t="str">
        <f aca="false">INDEX(Radicals!$B$2:$B$215,MATCH(C1006,Radicals!$A$2:$A$215,0))</f>
        <v>宀</v>
      </c>
      <c r="E1006" s="10" t="str">
        <f aca="false">INDEX(Radicals!$G$2:$G$215,MATCH(C1006,Radicals!$A$2:$A$215,0))</f>
        <v>roof</v>
      </c>
      <c r="F1006" s="8" t="n">
        <f aca="false">INDEX(Radicals!$D$2:$D$215,MATCH(C1006,Radicals!$A$2:$A$215,0))</f>
        <v>3</v>
      </c>
      <c r="G1006" s="8" t="n">
        <v>8</v>
      </c>
    </row>
    <row r="1007" customFormat="false" ht="17.35" hidden="false" customHeight="false" outlineLevel="0" collapsed="false">
      <c r="A1007" s="8" t="n">
        <v>1006</v>
      </c>
      <c r="B1007" s="9" t="s">
        <v>2031</v>
      </c>
      <c r="C1007" s="8" t="n">
        <v>164</v>
      </c>
      <c r="D1007" s="9" t="str">
        <f aca="false">INDEX(Radicals!$B$2:$B$215,MATCH(C1007,Radicals!$A$2:$A$215,0))</f>
        <v>酉</v>
      </c>
      <c r="E1007" s="10" t="str">
        <f aca="false">INDEX(Radicals!$G$2:$G$215,MATCH(C1007,Radicals!$A$2:$A$215,0))</f>
        <v>wine, 10th zodiac sign (rooster)</v>
      </c>
      <c r="F1007" s="8" t="n">
        <f aca="false">INDEX(Radicals!$D$2:$D$215,MATCH(C1007,Radicals!$A$2:$A$215,0))</f>
        <v>7</v>
      </c>
      <c r="G1007" s="8" t="n">
        <v>10</v>
      </c>
    </row>
    <row r="1008" customFormat="false" ht="17.35" hidden="false" customHeight="false" outlineLevel="0" collapsed="false">
      <c r="A1008" s="8" t="n">
        <v>1007</v>
      </c>
      <c r="B1008" s="9" t="s">
        <v>2032</v>
      </c>
      <c r="C1008" s="8" t="n">
        <v>9</v>
      </c>
      <c r="D1008" s="9" t="str">
        <f aca="false">INDEX(Radicals!$B$2:$B$215,MATCH(C1008,Radicals!$A$2:$A$215,0))</f>
        <v>人</v>
      </c>
      <c r="E1008" s="10" t="str">
        <f aca="false">INDEX(Radicals!$G$2:$G$215,MATCH(C1008,Radicals!$A$2:$A$215,0))</f>
        <v>person</v>
      </c>
      <c r="F1008" s="8" t="n">
        <f aca="false">INDEX(Radicals!$D$2:$D$215,MATCH(C1008,Radicals!$A$2:$A$215,0))</f>
        <v>2</v>
      </c>
      <c r="G1008" s="8" t="n">
        <v>9</v>
      </c>
    </row>
    <row r="1009" customFormat="false" ht="17.35" hidden="false" customHeight="false" outlineLevel="0" collapsed="false">
      <c r="A1009" s="8" t="n">
        <v>1008</v>
      </c>
      <c r="B1009" s="9" t="s">
        <v>2033</v>
      </c>
      <c r="C1009" s="8" t="n">
        <v>167</v>
      </c>
      <c r="D1009" s="9" t="str">
        <f aca="false">INDEX(Radicals!$B$2:$B$215,MATCH(C1009,Radicals!$A$2:$A$215,0))</f>
        <v>金</v>
      </c>
      <c r="E1009" s="10" t="str">
        <f aca="false">INDEX(Radicals!$G$2:$G$215,MATCH(C1009,Radicals!$A$2:$A$215,0))</f>
        <v>metal, gold</v>
      </c>
      <c r="F1009" s="8" t="n">
        <f aca="false">INDEX(Radicals!$D$2:$D$215,MATCH(C1009,Radicals!$A$2:$A$215,0))</f>
        <v>8</v>
      </c>
      <c r="G1009" s="8" t="n">
        <v>14</v>
      </c>
    </row>
    <row r="1010" customFormat="false" ht="17.35" hidden="false" customHeight="false" outlineLevel="0" collapsed="false">
      <c r="A1010" s="8" t="n">
        <v>1009</v>
      </c>
      <c r="B1010" s="9" t="s">
        <v>2034</v>
      </c>
      <c r="C1010" s="8" t="n">
        <v>140</v>
      </c>
      <c r="D1010" s="9" t="str">
        <f aca="false">INDEX(Radicals!$B$2:$B$215,MATCH(C1010,Radicals!$A$2:$A$215,0))</f>
        <v>艸</v>
      </c>
      <c r="E1010" s="10" t="str">
        <f aca="false">INDEX(Radicals!$G$2:$G$215,MATCH(C1010,Radicals!$A$2:$A$215,0))</f>
        <v>grass, plant</v>
      </c>
      <c r="F1010" s="8" t="n">
        <f aca="false">INDEX(Radicals!$D$2:$D$215,MATCH(C1010,Radicals!$A$2:$A$215,0))</f>
        <v>6</v>
      </c>
      <c r="G1010" s="8" t="n">
        <v>16</v>
      </c>
    </row>
    <row r="1011" customFormat="false" ht="17.35" hidden="false" customHeight="false" outlineLevel="0" collapsed="false">
      <c r="A1011" s="8" t="n">
        <v>1010</v>
      </c>
      <c r="B1011" s="9" t="s">
        <v>2035</v>
      </c>
      <c r="C1011" s="8" t="n">
        <v>32</v>
      </c>
      <c r="D1011" s="9" t="str">
        <f aca="false">INDEX(Radicals!$B$2:$B$215,MATCH(C1011,Radicals!$A$2:$A$215,0))</f>
        <v>土</v>
      </c>
      <c r="E1011" s="10" t="str">
        <f aca="false">INDEX(Radicals!$G$2:$G$215,MATCH(C1011,Radicals!$A$2:$A$215,0))</f>
        <v>earth, soil</v>
      </c>
      <c r="F1011" s="8" t="n">
        <f aca="false">INDEX(Radicals!$D$2:$D$215,MATCH(C1011,Radicals!$A$2:$A$215,0))</f>
        <v>3</v>
      </c>
      <c r="G1011" s="8" t="n">
        <v>11</v>
      </c>
    </row>
    <row r="1012" customFormat="false" ht="17.35" hidden="false" customHeight="false" outlineLevel="0" collapsed="false">
      <c r="A1012" s="8" t="n">
        <v>1011</v>
      </c>
      <c r="B1012" s="9" t="s">
        <v>2036</v>
      </c>
      <c r="C1012" s="8" t="n">
        <v>85</v>
      </c>
      <c r="D1012" s="9" t="str">
        <f aca="false">INDEX(Radicals!$B$2:$B$215,MATCH(C1012,Radicals!$A$2:$A$215,0))</f>
        <v>水</v>
      </c>
      <c r="E1012" s="10" t="str">
        <f aca="false">INDEX(Radicals!$G$2:$G$215,MATCH(C1012,Radicals!$A$2:$A$215,0))</f>
        <v>water</v>
      </c>
      <c r="F1012" s="8" t="n">
        <f aca="false">INDEX(Radicals!$D$2:$D$215,MATCH(C1012,Radicals!$A$2:$A$215,0))</f>
        <v>4</v>
      </c>
      <c r="G1012" s="8" t="n">
        <v>11</v>
      </c>
    </row>
    <row r="1013" customFormat="false" ht="17.35" hidden="false" customHeight="false" outlineLevel="0" collapsed="false">
      <c r="A1013" s="8" t="n">
        <v>1012</v>
      </c>
      <c r="B1013" s="9" t="s">
        <v>2037</v>
      </c>
      <c r="C1013" s="8" t="n">
        <v>123</v>
      </c>
      <c r="D1013" s="9" t="str">
        <f aca="false">INDEX(Radicals!$B$2:$B$215,MATCH(C1013,Radicals!$A$2:$A$215,0))</f>
        <v>羊</v>
      </c>
      <c r="E1013" s="10" t="str">
        <f aca="false">INDEX(Radicals!$G$2:$G$215,MATCH(C1013,Radicals!$A$2:$A$215,0))</f>
        <v>sheep</v>
      </c>
      <c r="F1013" s="8" t="n">
        <f aca="false">INDEX(Radicals!$D$2:$D$215,MATCH(C1013,Radicals!$A$2:$A$215,0))</f>
        <v>6</v>
      </c>
      <c r="G1013" s="8" t="n">
        <v>13</v>
      </c>
    </row>
    <row r="1014" customFormat="false" ht="17.35" hidden="false" customHeight="false" outlineLevel="0" collapsed="false">
      <c r="A1014" s="8" t="n">
        <v>1013</v>
      </c>
      <c r="B1014" s="9" t="s">
        <v>2038</v>
      </c>
      <c r="C1014" s="8" t="n">
        <v>167</v>
      </c>
      <c r="D1014" s="9" t="str">
        <f aca="false">INDEX(Radicals!$B$2:$B$215,MATCH(C1014,Radicals!$A$2:$A$215,0))</f>
        <v>金</v>
      </c>
      <c r="E1014" s="10" t="str">
        <f aca="false">INDEX(Radicals!$G$2:$G$215,MATCH(C1014,Radicals!$A$2:$A$215,0))</f>
        <v>metal, gold</v>
      </c>
      <c r="F1014" s="8" t="n">
        <f aca="false">INDEX(Radicals!$D$2:$D$215,MATCH(C1014,Radicals!$A$2:$A$215,0))</f>
        <v>8</v>
      </c>
      <c r="G1014" s="8" t="n">
        <v>14</v>
      </c>
    </row>
    <row r="1015" customFormat="false" ht="17.35" hidden="false" customHeight="false" outlineLevel="0" collapsed="false">
      <c r="A1015" s="8" t="n">
        <v>1014</v>
      </c>
      <c r="B1015" s="9" t="s">
        <v>2039</v>
      </c>
      <c r="C1015" s="8" t="n">
        <v>61</v>
      </c>
      <c r="D1015" s="9" t="str">
        <f aca="false">INDEX(Radicals!$B$2:$B$215,MATCH(C1015,Radicals!$A$2:$A$215,0))</f>
        <v>心</v>
      </c>
      <c r="E1015" s="10" t="str">
        <f aca="false">INDEX(Radicals!$G$2:$G$215,MATCH(C1015,Radicals!$A$2:$A$215,0))</f>
        <v>heart, mind</v>
      </c>
      <c r="F1015" s="8" t="n">
        <f aca="false">INDEX(Radicals!$D$2:$D$215,MATCH(C1015,Radicals!$A$2:$A$215,0))</f>
        <v>4</v>
      </c>
      <c r="G1015" s="8" t="n">
        <v>12</v>
      </c>
    </row>
    <row r="1016" customFormat="false" ht="17.35" hidden="false" customHeight="false" outlineLevel="0" collapsed="false">
      <c r="A1016" s="8" t="n">
        <v>1015</v>
      </c>
      <c r="B1016" s="9" t="s">
        <v>2040</v>
      </c>
      <c r="C1016" s="8" t="n">
        <v>115</v>
      </c>
      <c r="D1016" s="9" t="str">
        <f aca="false">INDEX(Radicals!$B$2:$B$215,MATCH(C1016,Radicals!$A$2:$A$215,0))</f>
        <v>禾</v>
      </c>
      <c r="E1016" s="10" t="str">
        <f aca="false">INDEX(Radicals!$G$2:$G$215,MATCH(C1016,Radicals!$A$2:$A$215,0))</f>
        <v>grain, rice plant</v>
      </c>
      <c r="F1016" s="8" t="n">
        <f aca="false">INDEX(Radicals!$D$2:$D$215,MATCH(C1016,Radicals!$A$2:$A$215,0))</f>
        <v>5</v>
      </c>
      <c r="G1016" s="8" t="n">
        <v>9</v>
      </c>
    </row>
    <row r="1017" customFormat="false" ht="17.35" hidden="false" customHeight="false" outlineLevel="0" collapsed="false">
      <c r="A1017" s="8" t="n">
        <v>1016</v>
      </c>
      <c r="B1017" s="9" t="s">
        <v>2041</v>
      </c>
      <c r="C1017" s="8" t="n">
        <v>64</v>
      </c>
      <c r="D1017" s="9" t="str">
        <f aca="false">INDEX(Radicals!$B$2:$B$215,MATCH(C1017,Radicals!$A$2:$A$215,0))</f>
        <v>手</v>
      </c>
      <c r="E1017" s="10" t="str">
        <f aca="false">INDEX(Radicals!$G$2:$G$215,MATCH(C1017,Radicals!$A$2:$A$215,0))</f>
        <v>hand</v>
      </c>
      <c r="F1017" s="8" t="n">
        <f aca="false">INDEX(Radicals!$D$2:$D$215,MATCH(C1017,Radicals!$A$2:$A$215,0))</f>
        <v>4</v>
      </c>
      <c r="G1017" s="8" t="n">
        <v>16</v>
      </c>
    </row>
    <row r="1018" customFormat="false" ht="17.35" hidden="false" customHeight="false" outlineLevel="0" collapsed="false">
      <c r="A1018" s="8" t="n">
        <v>1017</v>
      </c>
      <c r="B1018" s="9" t="s">
        <v>2042</v>
      </c>
      <c r="C1018" s="8" t="n">
        <v>64</v>
      </c>
      <c r="D1018" s="9" t="str">
        <f aca="false">INDEX(Radicals!$B$2:$B$215,MATCH(C1018,Radicals!$A$2:$A$215,0))</f>
        <v>手</v>
      </c>
      <c r="E1018" s="10" t="str">
        <f aca="false">INDEX(Radicals!$G$2:$G$215,MATCH(C1018,Radicals!$A$2:$A$215,0))</f>
        <v>hand</v>
      </c>
      <c r="F1018" s="8" t="n">
        <f aca="false">INDEX(Radicals!$D$2:$D$215,MATCH(C1018,Radicals!$A$2:$A$215,0))</f>
        <v>4</v>
      </c>
      <c r="G1018" s="8" t="n">
        <v>13</v>
      </c>
    </row>
    <row r="1019" customFormat="false" ht="17.35" hidden="false" customHeight="false" outlineLevel="0" collapsed="false">
      <c r="A1019" s="8" t="n">
        <v>1018</v>
      </c>
      <c r="B1019" s="9" t="s">
        <v>2043</v>
      </c>
      <c r="C1019" s="8" t="n">
        <v>37</v>
      </c>
      <c r="D1019" s="9" t="str">
        <f aca="false">INDEX(Radicals!$B$2:$B$215,MATCH(C1019,Radicals!$A$2:$A$215,0))</f>
        <v>大</v>
      </c>
      <c r="E1019" s="10" t="str">
        <f aca="false">INDEX(Radicals!$G$2:$G$215,MATCH(C1019,Radicals!$A$2:$A$215,0))</f>
        <v>big</v>
      </c>
      <c r="F1019" s="8" t="n">
        <f aca="false">INDEX(Radicals!$D$2:$D$215,MATCH(C1019,Radicals!$A$2:$A$215,0))</f>
        <v>3</v>
      </c>
      <c r="G1019" s="8" t="n">
        <v>12</v>
      </c>
    </row>
    <row r="1020" customFormat="false" ht="17.35" hidden="false" customHeight="false" outlineLevel="0" collapsed="false">
      <c r="A1020" s="8" t="n">
        <v>1019</v>
      </c>
      <c r="B1020" s="9" t="s">
        <v>2044</v>
      </c>
      <c r="C1020" s="8" t="n">
        <v>149</v>
      </c>
      <c r="D1020" s="9" t="str">
        <f aca="false">INDEX(Radicals!$B$2:$B$215,MATCH(C1020,Radicals!$A$2:$A$215,0))</f>
        <v>言</v>
      </c>
      <c r="E1020" s="10" t="str">
        <f aca="false">INDEX(Radicals!$G$2:$G$215,MATCH(C1020,Radicals!$A$2:$A$215,0))</f>
        <v>speech, say</v>
      </c>
      <c r="F1020" s="8" t="n">
        <f aca="false">INDEX(Radicals!$D$2:$D$215,MATCH(C1020,Radicals!$A$2:$A$215,0))</f>
        <v>7</v>
      </c>
      <c r="G1020" s="8" t="n">
        <v>12</v>
      </c>
    </row>
    <row r="1021" customFormat="false" ht="17.35" hidden="false" customHeight="false" outlineLevel="0" collapsed="false">
      <c r="A1021" s="8" t="n">
        <v>1020</v>
      </c>
      <c r="B1021" s="9" t="s">
        <v>2045</v>
      </c>
      <c r="C1021" s="8" t="n">
        <v>149</v>
      </c>
      <c r="D1021" s="9" t="str">
        <f aca="false">INDEX(Radicals!$B$2:$B$215,MATCH(C1021,Radicals!$A$2:$A$215,0))</f>
        <v>言</v>
      </c>
      <c r="E1021" s="10" t="str">
        <f aca="false">INDEX(Radicals!$G$2:$G$215,MATCH(C1021,Radicals!$A$2:$A$215,0))</f>
        <v>speech, say</v>
      </c>
      <c r="F1021" s="8" t="n">
        <f aca="false">INDEX(Radicals!$D$2:$D$215,MATCH(C1021,Radicals!$A$2:$A$215,0))</f>
        <v>7</v>
      </c>
      <c r="G1021" s="8" t="n">
        <v>13</v>
      </c>
    </row>
    <row r="1022" customFormat="false" ht="17.35" hidden="false" customHeight="false" outlineLevel="0" collapsed="false">
      <c r="A1022" s="8" t="n">
        <v>1021</v>
      </c>
      <c r="B1022" s="9" t="s">
        <v>2046</v>
      </c>
      <c r="C1022" s="8" t="n">
        <v>149</v>
      </c>
      <c r="D1022" s="9" t="str">
        <f aca="false">INDEX(Radicals!$B$2:$B$215,MATCH(C1022,Radicals!$A$2:$A$215,0))</f>
        <v>言</v>
      </c>
      <c r="E1022" s="10" t="str">
        <f aca="false">INDEX(Radicals!$G$2:$G$215,MATCH(C1022,Radicals!$A$2:$A$215,0))</f>
        <v>speech, say</v>
      </c>
      <c r="F1022" s="8" t="n">
        <f aca="false">INDEX(Radicals!$D$2:$D$215,MATCH(C1022,Radicals!$A$2:$A$215,0))</f>
        <v>7</v>
      </c>
      <c r="G1022" s="8" t="n">
        <v>10</v>
      </c>
    </row>
    <row r="1023" customFormat="false" ht="17.35" hidden="false" customHeight="false" outlineLevel="0" collapsed="false">
      <c r="A1023" s="8" t="n">
        <v>1022</v>
      </c>
      <c r="B1023" s="9" t="s">
        <v>2047</v>
      </c>
      <c r="C1023" s="8" t="n">
        <v>72</v>
      </c>
      <c r="D1023" s="9" t="str">
        <f aca="false">INDEX(Radicals!$B$2:$B$215,MATCH(C1023,Radicals!$A$2:$A$215,0))</f>
        <v>日</v>
      </c>
      <c r="E1023" s="10" t="str">
        <f aca="false">INDEX(Radicals!$G$2:$G$215,MATCH(C1023,Radicals!$A$2:$A$215,0))</f>
        <v>sun, day</v>
      </c>
      <c r="F1023" s="8" t="n">
        <f aca="false">INDEX(Radicals!$D$2:$D$215,MATCH(C1023,Radicals!$A$2:$A$215,0))</f>
        <v>4</v>
      </c>
      <c r="G1023" s="8" t="n">
        <v>12</v>
      </c>
    </row>
    <row r="1024" customFormat="false" ht="17.35" hidden="false" customHeight="false" outlineLevel="0" collapsed="false">
      <c r="A1024" s="8" t="n">
        <v>1023</v>
      </c>
      <c r="B1024" s="9" t="s">
        <v>2048</v>
      </c>
      <c r="C1024" s="8" t="n">
        <v>64</v>
      </c>
      <c r="D1024" s="9" t="str">
        <f aca="false">INDEX(Radicals!$B$2:$B$215,MATCH(C1024,Radicals!$A$2:$A$215,0))</f>
        <v>手</v>
      </c>
      <c r="E1024" s="10" t="str">
        <f aca="false">INDEX(Radicals!$G$2:$G$215,MATCH(C1024,Radicals!$A$2:$A$215,0))</f>
        <v>hand</v>
      </c>
      <c r="F1024" s="8" t="n">
        <f aca="false">INDEX(Radicals!$D$2:$D$215,MATCH(C1024,Radicals!$A$2:$A$215,0))</f>
        <v>4</v>
      </c>
      <c r="G1024" s="8" t="n">
        <v>15</v>
      </c>
    </row>
    <row r="1025" customFormat="false" ht="17.35" hidden="false" customHeight="false" outlineLevel="0" collapsed="false">
      <c r="A1025" s="8" t="n">
        <v>1024</v>
      </c>
      <c r="B1025" s="9" t="s">
        <v>2049</v>
      </c>
      <c r="C1025" s="8" t="n">
        <v>149</v>
      </c>
      <c r="D1025" s="9" t="str">
        <f aca="false">INDEX(Radicals!$B$2:$B$215,MATCH(C1025,Radicals!$A$2:$A$215,0))</f>
        <v>言</v>
      </c>
      <c r="E1025" s="10" t="str">
        <f aca="false">INDEX(Radicals!$G$2:$G$215,MATCH(C1025,Radicals!$A$2:$A$215,0))</f>
        <v>speech, say</v>
      </c>
      <c r="F1025" s="8" t="n">
        <f aca="false">INDEX(Radicals!$D$2:$D$215,MATCH(C1025,Radicals!$A$2:$A$215,0))</f>
        <v>7</v>
      </c>
      <c r="G1025" s="8" t="n">
        <v>15</v>
      </c>
    </row>
    <row r="1026" customFormat="false" ht="17.35" hidden="false" customHeight="false" outlineLevel="0" collapsed="false">
      <c r="A1026" s="8" t="n">
        <v>1025</v>
      </c>
      <c r="B1026" s="9" t="s">
        <v>2050</v>
      </c>
      <c r="C1026" s="8" t="n">
        <v>9</v>
      </c>
      <c r="D1026" s="9" t="str">
        <f aca="false">INDEX(Radicals!$B$2:$B$215,MATCH(C1026,Radicals!$A$2:$A$215,0))</f>
        <v>人</v>
      </c>
      <c r="E1026" s="10" t="str">
        <f aca="false">INDEX(Radicals!$G$2:$G$215,MATCH(C1026,Radicals!$A$2:$A$215,0))</f>
        <v>person</v>
      </c>
      <c r="F1026" s="8" t="n">
        <f aca="false">INDEX(Radicals!$D$2:$D$215,MATCH(C1026,Radicals!$A$2:$A$215,0))</f>
        <v>2</v>
      </c>
      <c r="G1026" s="8" t="n">
        <v>9</v>
      </c>
    </row>
    <row r="1027" customFormat="false" ht="17.35" hidden="false" customHeight="false" outlineLevel="0" collapsed="false">
      <c r="A1027" s="8" t="n">
        <v>1026</v>
      </c>
      <c r="B1027" s="9" t="s">
        <v>2051</v>
      </c>
      <c r="C1027" s="8" t="n">
        <v>64</v>
      </c>
      <c r="D1027" s="9" t="str">
        <f aca="false">INDEX(Radicals!$B$2:$B$215,MATCH(C1027,Radicals!$A$2:$A$215,0))</f>
        <v>手</v>
      </c>
      <c r="E1027" s="10" t="str">
        <f aca="false">INDEX(Radicals!$G$2:$G$215,MATCH(C1027,Radicals!$A$2:$A$215,0))</f>
        <v>hand</v>
      </c>
      <c r="F1027" s="8" t="n">
        <f aca="false">INDEX(Radicals!$D$2:$D$215,MATCH(C1027,Radicals!$A$2:$A$215,0))</f>
        <v>4</v>
      </c>
      <c r="G1027" s="8" t="n">
        <v>9</v>
      </c>
    </row>
    <row r="1028" customFormat="false" ht="17.35" hidden="false" customHeight="false" outlineLevel="0" collapsed="false">
      <c r="A1028" s="8" t="n">
        <v>1027</v>
      </c>
      <c r="B1028" s="9" t="s">
        <v>2052</v>
      </c>
      <c r="C1028" s="8" t="n">
        <v>64</v>
      </c>
      <c r="D1028" s="9" t="str">
        <f aca="false">INDEX(Radicals!$B$2:$B$215,MATCH(C1028,Radicals!$A$2:$A$215,0))</f>
        <v>手</v>
      </c>
      <c r="E1028" s="10" t="str">
        <f aca="false">INDEX(Radicals!$G$2:$G$215,MATCH(C1028,Radicals!$A$2:$A$215,0))</f>
        <v>hand</v>
      </c>
      <c r="F1028" s="8" t="n">
        <f aca="false">INDEX(Radicals!$D$2:$D$215,MATCH(C1028,Radicals!$A$2:$A$215,0))</f>
        <v>4</v>
      </c>
      <c r="G1028" s="8" t="n">
        <v>11</v>
      </c>
    </row>
    <row r="1029" customFormat="false" ht="17.35" hidden="false" customHeight="false" outlineLevel="0" collapsed="false">
      <c r="A1029" s="8" t="n">
        <v>1028</v>
      </c>
      <c r="B1029" s="9" t="s">
        <v>2053</v>
      </c>
      <c r="C1029" s="8" t="n">
        <v>149</v>
      </c>
      <c r="D1029" s="9" t="str">
        <f aca="false">INDEX(Radicals!$B$2:$B$215,MATCH(C1029,Radicals!$A$2:$A$215,0))</f>
        <v>言</v>
      </c>
      <c r="E1029" s="10" t="str">
        <f aca="false">INDEX(Radicals!$G$2:$G$215,MATCH(C1029,Radicals!$A$2:$A$215,0))</f>
        <v>speech, say</v>
      </c>
      <c r="F1029" s="8" t="n">
        <f aca="false">INDEX(Radicals!$D$2:$D$215,MATCH(C1029,Radicals!$A$2:$A$215,0))</f>
        <v>7</v>
      </c>
      <c r="G1029" s="8" t="n">
        <v>17</v>
      </c>
    </row>
    <row r="1030" customFormat="false" ht="17.35" hidden="false" customHeight="false" outlineLevel="0" collapsed="false">
      <c r="A1030" s="8" t="n">
        <v>1029</v>
      </c>
      <c r="B1030" s="9" t="s">
        <v>2054</v>
      </c>
      <c r="C1030" s="8" t="n">
        <v>29</v>
      </c>
      <c r="D1030" s="9" t="str">
        <f aca="false">INDEX(Radicals!$B$2:$B$215,MATCH(C1030,Radicals!$A$2:$A$215,0))</f>
        <v>又</v>
      </c>
      <c r="E1030" s="10" t="str">
        <f aca="false">INDEX(Radicals!$G$2:$G$215,MATCH(C1030,Radicals!$A$2:$A$215,0))</f>
        <v>again, right hand</v>
      </c>
      <c r="F1030" s="8" t="n">
        <f aca="false">INDEX(Radicals!$D$2:$D$215,MATCH(C1030,Radicals!$A$2:$A$215,0))</f>
        <v>2</v>
      </c>
      <c r="G1030" s="8" t="n">
        <v>4</v>
      </c>
    </row>
    <row r="1031" customFormat="false" ht="17.35" hidden="false" customHeight="false" outlineLevel="0" collapsed="false">
      <c r="A1031" s="8" t="n">
        <v>1030</v>
      </c>
      <c r="B1031" s="9" t="s">
        <v>2055</v>
      </c>
      <c r="C1031" s="8" t="n">
        <v>39</v>
      </c>
      <c r="D1031" s="9" t="str">
        <f aca="false">INDEX(Radicals!$B$2:$B$215,MATCH(C1031,Radicals!$A$2:$A$215,0))</f>
        <v>子</v>
      </c>
      <c r="E1031" s="10" t="str">
        <f aca="false">INDEX(Radicals!$G$2:$G$215,MATCH(C1031,Radicals!$A$2:$A$215,0))</f>
        <v>child</v>
      </c>
      <c r="F1031" s="8" t="n">
        <f aca="false">INDEX(Radicals!$D$2:$D$215,MATCH(C1031,Radicals!$A$2:$A$215,0))</f>
        <v>3</v>
      </c>
      <c r="G1031" s="8" t="n">
        <v>7</v>
      </c>
    </row>
    <row r="1032" customFormat="false" ht="17.35" hidden="false" customHeight="false" outlineLevel="0" collapsed="false">
      <c r="A1032" s="8" t="n">
        <v>1031</v>
      </c>
      <c r="B1032" s="9" t="s">
        <v>2056</v>
      </c>
      <c r="C1032" s="8" t="n">
        <v>18</v>
      </c>
      <c r="D1032" s="9" t="str">
        <f aca="false">INDEX(Radicals!$B$2:$B$215,MATCH(C1032,Radicals!$A$2:$A$215,0))</f>
        <v>刀</v>
      </c>
      <c r="E1032" s="10" t="str">
        <f aca="false">INDEX(Radicals!$G$2:$G$215,MATCH(C1032,Radicals!$A$2:$A$215,0))</f>
        <v>knife, sword</v>
      </c>
      <c r="F1032" s="8" t="n">
        <f aca="false">INDEX(Radicals!$D$2:$D$215,MATCH(C1032,Radicals!$A$2:$A$215,0))</f>
        <v>2</v>
      </c>
      <c r="G1032" s="8" t="n">
        <v>8</v>
      </c>
    </row>
    <row r="1033" customFormat="false" ht="17.35" hidden="false" customHeight="false" outlineLevel="0" collapsed="false">
      <c r="A1033" s="8" t="n">
        <v>1032</v>
      </c>
      <c r="B1033" s="9" t="s">
        <v>2057</v>
      </c>
      <c r="C1033" s="8" t="n">
        <v>18</v>
      </c>
      <c r="D1033" s="9" t="str">
        <f aca="false">INDEX(Radicals!$B$2:$B$215,MATCH(C1033,Radicals!$A$2:$A$215,0))</f>
        <v>刀</v>
      </c>
      <c r="E1033" s="10" t="str">
        <f aca="false">INDEX(Radicals!$G$2:$G$215,MATCH(C1033,Radicals!$A$2:$A$215,0))</f>
        <v>knife, sword</v>
      </c>
      <c r="F1033" s="8" t="n">
        <f aca="false">INDEX(Radicals!$D$2:$D$215,MATCH(C1033,Radicals!$A$2:$A$215,0))</f>
        <v>2</v>
      </c>
      <c r="G1033" s="8" t="n">
        <v>8</v>
      </c>
    </row>
    <row r="1034" customFormat="false" ht="17.35" hidden="false" customHeight="false" outlineLevel="0" collapsed="false">
      <c r="A1034" s="8" t="n">
        <v>1033</v>
      </c>
      <c r="B1034" s="9" t="s">
        <v>2058</v>
      </c>
      <c r="C1034" s="8" t="n">
        <v>187</v>
      </c>
      <c r="D1034" s="9" t="str">
        <f aca="false">INDEX(Radicals!$B$2:$B$215,MATCH(C1034,Radicals!$A$2:$A$215,0))</f>
        <v>馬</v>
      </c>
      <c r="E1034" s="10" t="str">
        <f aca="false">INDEX(Radicals!$G$2:$G$215,MATCH(C1034,Radicals!$A$2:$A$215,0))</f>
        <v>horse</v>
      </c>
      <c r="F1034" s="8" t="n">
        <f aca="false">INDEX(Radicals!$D$2:$D$215,MATCH(C1034,Radicals!$A$2:$A$215,0))</f>
        <v>10</v>
      </c>
      <c r="G1034" s="8" t="n">
        <v>14</v>
      </c>
    </row>
    <row r="1035" customFormat="false" ht="17.35" hidden="false" customHeight="false" outlineLevel="0" collapsed="false">
      <c r="A1035" s="8" t="n">
        <v>1034</v>
      </c>
      <c r="B1035" s="9" t="s">
        <v>2059</v>
      </c>
      <c r="C1035" s="8" t="n">
        <v>40</v>
      </c>
      <c r="D1035" s="9" t="str">
        <f aca="false">INDEX(Radicals!$B$2:$B$215,MATCH(C1035,Radicals!$A$2:$A$215,0))</f>
        <v>宀</v>
      </c>
      <c r="E1035" s="10" t="str">
        <f aca="false">INDEX(Radicals!$G$2:$G$215,MATCH(C1035,Radicals!$A$2:$A$215,0))</f>
        <v>roof</v>
      </c>
      <c r="F1035" s="8" t="n">
        <f aca="false">INDEX(Radicals!$D$2:$D$215,MATCH(C1035,Radicals!$A$2:$A$215,0))</f>
        <v>3</v>
      </c>
      <c r="G1035" s="8" t="n">
        <v>13</v>
      </c>
    </row>
    <row r="1036" customFormat="false" ht="17.35" hidden="false" customHeight="false" outlineLevel="0" collapsed="false">
      <c r="A1036" s="8" t="n">
        <v>1035</v>
      </c>
      <c r="B1036" s="9" t="s">
        <v>2060</v>
      </c>
      <c r="C1036" s="8" t="n">
        <v>162</v>
      </c>
      <c r="D1036" s="9" t="str">
        <f aca="false">INDEX(Radicals!$B$2:$B$215,MATCH(C1036,Radicals!$A$2:$A$215,0))</f>
        <v>辵</v>
      </c>
      <c r="E1036" s="10" t="str">
        <f aca="false">INDEX(Radicals!$G$2:$G$215,MATCH(C1036,Radicals!$A$2:$A$215,0))</f>
        <v>walk, movement</v>
      </c>
      <c r="F1036" s="8" t="n">
        <f aca="false">INDEX(Radicals!$D$2:$D$215,MATCH(C1036,Radicals!$A$2:$A$215,0))</f>
        <v>7</v>
      </c>
      <c r="G1036" s="8" t="n">
        <v>10</v>
      </c>
    </row>
    <row r="1037" customFormat="false" ht="17.35" hidden="false" customHeight="false" outlineLevel="0" collapsed="false">
      <c r="A1037" s="8" t="n">
        <v>1036</v>
      </c>
      <c r="B1037" s="9" t="s">
        <v>2061</v>
      </c>
      <c r="C1037" s="8" t="n">
        <v>85</v>
      </c>
      <c r="D1037" s="9" t="str">
        <f aca="false">INDEX(Radicals!$B$2:$B$215,MATCH(C1037,Radicals!$A$2:$A$215,0))</f>
        <v>水</v>
      </c>
      <c r="E1037" s="10" t="str">
        <f aca="false">INDEX(Radicals!$G$2:$G$215,MATCH(C1037,Radicals!$A$2:$A$215,0))</f>
        <v>water</v>
      </c>
      <c r="F1037" s="8" t="n">
        <f aca="false">INDEX(Radicals!$D$2:$D$215,MATCH(C1037,Radicals!$A$2:$A$215,0))</f>
        <v>4</v>
      </c>
      <c r="G1037" s="8" t="n">
        <v>9</v>
      </c>
    </row>
    <row r="1038" customFormat="false" ht="17.35" hidden="false" customHeight="false" outlineLevel="0" collapsed="false">
      <c r="A1038" s="8" t="n">
        <v>1037</v>
      </c>
      <c r="B1038" s="9" t="s">
        <v>2062</v>
      </c>
      <c r="C1038" s="8" t="n">
        <v>32</v>
      </c>
      <c r="D1038" s="9" t="str">
        <f aca="false">INDEX(Radicals!$B$2:$B$215,MATCH(C1038,Radicals!$A$2:$A$215,0))</f>
        <v>土</v>
      </c>
      <c r="E1038" s="10" t="str">
        <f aca="false">INDEX(Radicals!$G$2:$G$215,MATCH(C1038,Radicals!$A$2:$A$215,0))</f>
        <v>earth, soil</v>
      </c>
      <c r="F1038" s="8" t="n">
        <f aca="false">INDEX(Radicals!$D$2:$D$215,MATCH(C1038,Radicals!$A$2:$A$215,0))</f>
        <v>3</v>
      </c>
      <c r="G1038" s="8" t="n">
        <v>16</v>
      </c>
    </row>
    <row r="1039" customFormat="false" ht="17.35" hidden="false" customHeight="false" outlineLevel="0" collapsed="false">
      <c r="A1039" s="8" t="n">
        <v>1038</v>
      </c>
      <c r="B1039" s="9" t="s">
        <v>2063</v>
      </c>
      <c r="C1039" s="8" t="n">
        <v>115</v>
      </c>
      <c r="D1039" s="9" t="str">
        <f aca="false">INDEX(Radicals!$B$2:$B$215,MATCH(C1039,Radicals!$A$2:$A$215,0))</f>
        <v>禾</v>
      </c>
      <c r="E1039" s="10" t="str">
        <f aca="false">INDEX(Radicals!$G$2:$G$215,MATCH(C1039,Radicals!$A$2:$A$215,0))</f>
        <v>grain, rice plant</v>
      </c>
      <c r="F1039" s="8" t="n">
        <f aca="false">INDEX(Radicals!$D$2:$D$215,MATCH(C1039,Radicals!$A$2:$A$215,0))</f>
        <v>5</v>
      </c>
      <c r="G1039" s="8" t="n">
        <v>14</v>
      </c>
    </row>
    <row r="1040" customFormat="false" ht="17.35" hidden="false" customHeight="false" outlineLevel="0" collapsed="false">
      <c r="A1040" s="8" t="n">
        <v>1039</v>
      </c>
      <c r="B1040" s="9" t="s">
        <v>2064</v>
      </c>
      <c r="C1040" s="8" t="n">
        <v>9</v>
      </c>
      <c r="D1040" s="9" t="str">
        <f aca="false">INDEX(Radicals!$B$2:$B$215,MATCH(C1040,Radicals!$A$2:$A$215,0))</f>
        <v>人</v>
      </c>
      <c r="E1040" s="10" t="str">
        <f aca="false">INDEX(Radicals!$G$2:$G$215,MATCH(C1040,Radicals!$A$2:$A$215,0))</f>
        <v>person</v>
      </c>
      <c r="F1040" s="8" t="n">
        <f aca="false">INDEX(Radicals!$D$2:$D$215,MATCH(C1040,Radicals!$A$2:$A$215,0))</f>
        <v>2</v>
      </c>
      <c r="G1040" s="8" t="n">
        <v>6</v>
      </c>
    </row>
    <row r="1041" customFormat="false" ht="17.35" hidden="false" customHeight="false" outlineLevel="0" collapsed="false">
      <c r="A1041" s="8" t="n">
        <v>1040</v>
      </c>
      <c r="B1041" s="9" t="s">
        <v>2065</v>
      </c>
      <c r="C1041" s="8" t="n">
        <v>72</v>
      </c>
      <c r="D1041" s="9" t="str">
        <f aca="false">INDEX(Radicals!$B$2:$B$215,MATCH(C1041,Radicals!$A$2:$A$215,0))</f>
        <v>日</v>
      </c>
      <c r="E1041" s="10" t="str">
        <f aca="false">INDEX(Radicals!$G$2:$G$215,MATCH(C1041,Radicals!$A$2:$A$215,0))</f>
        <v>sun, day</v>
      </c>
      <c r="F1041" s="8" t="n">
        <f aca="false">INDEX(Radicals!$D$2:$D$215,MATCH(C1041,Radicals!$A$2:$A$215,0))</f>
        <v>4</v>
      </c>
      <c r="G1041" s="8" t="n">
        <v>13</v>
      </c>
    </row>
    <row r="1042" customFormat="false" ht="17.35" hidden="false" customHeight="false" outlineLevel="0" collapsed="false">
      <c r="A1042" s="8" t="n">
        <v>1041</v>
      </c>
      <c r="B1042" s="9" t="s">
        <v>2066</v>
      </c>
      <c r="C1042" s="8" t="n">
        <v>145</v>
      </c>
      <c r="D1042" s="9" t="str">
        <f aca="false">INDEX(Radicals!$B$2:$B$215,MATCH(C1042,Radicals!$A$2:$A$215,0))</f>
        <v>衣</v>
      </c>
      <c r="E1042" s="10" t="str">
        <f aca="false">INDEX(Radicals!$G$2:$G$215,MATCH(C1042,Radicals!$A$2:$A$215,0))</f>
        <v>clothes</v>
      </c>
      <c r="F1042" s="8" t="n">
        <f aca="false">INDEX(Radicals!$D$2:$D$215,MATCH(C1042,Radicals!$A$2:$A$215,0))</f>
        <v>6</v>
      </c>
      <c r="G1042" s="8" t="n">
        <v>12</v>
      </c>
    </row>
    <row r="1043" customFormat="false" ht="17.35" hidden="false" customHeight="false" outlineLevel="0" collapsed="false">
      <c r="A1043" s="8" t="n">
        <v>1042</v>
      </c>
      <c r="B1043" s="9" t="s">
        <v>2067</v>
      </c>
      <c r="C1043" s="8" t="n">
        <v>66</v>
      </c>
      <c r="D1043" s="9" t="str">
        <f aca="false">INDEX(Radicals!$B$2:$B$215,MATCH(C1043,Radicals!$A$2:$A$215,0))</f>
        <v>攴</v>
      </c>
      <c r="E1043" s="10" t="str">
        <f aca="false">INDEX(Radicals!$G$2:$G$215,MATCH(C1043,Radicals!$A$2:$A$215,0))</f>
        <v>rap, tap, strike</v>
      </c>
      <c r="F1043" s="8" t="n">
        <f aca="false">INDEX(Radicals!$D$2:$D$215,MATCH(C1043,Radicals!$A$2:$A$215,0))</f>
        <v>4</v>
      </c>
      <c r="G1043" s="8" t="n">
        <v>10</v>
      </c>
    </row>
    <row r="1044" customFormat="false" ht="17.35" hidden="false" customHeight="false" outlineLevel="0" collapsed="false">
      <c r="A1044" s="8" t="n">
        <v>1043</v>
      </c>
      <c r="B1044" s="9" t="s">
        <v>1018</v>
      </c>
      <c r="C1044" s="8" t="n">
        <v>196</v>
      </c>
      <c r="D1044" s="9" t="str">
        <f aca="false">INDEX(Radicals!$B$2:$B$215,MATCH(C1044,Radicals!$A$2:$A$215,0))</f>
        <v>鳥</v>
      </c>
      <c r="E1044" s="10" t="str">
        <f aca="false">INDEX(Radicals!$G$2:$G$215,MATCH(C1044,Radicals!$A$2:$A$215,0))</f>
        <v>bird</v>
      </c>
      <c r="F1044" s="8" t="n">
        <f aca="false">INDEX(Radicals!$D$2:$D$215,MATCH(C1044,Radicals!$A$2:$A$215,0))</f>
        <v>11</v>
      </c>
      <c r="G1044" s="8" t="n">
        <v>11</v>
      </c>
    </row>
    <row r="1045" customFormat="false" ht="17.35" hidden="false" customHeight="false" outlineLevel="0" collapsed="false">
      <c r="A1045" s="8" t="n">
        <v>1044</v>
      </c>
      <c r="B1045" s="9" t="s">
        <v>2068</v>
      </c>
      <c r="C1045" s="8" t="n">
        <v>120</v>
      </c>
      <c r="D1045" s="9" t="str">
        <f aca="false">INDEX(Radicals!$B$2:$B$215,MATCH(C1045,Radicals!$A$2:$A$215,0))</f>
        <v>糸</v>
      </c>
      <c r="E1045" s="10" t="str">
        <f aca="false">INDEX(Radicals!$G$2:$G$215,MATCH(C1045,Radicals!$A$2:$A$215,0))</f>
        <v>thread, silk</v>
      </c>
      <c r="F1045" s="8" t="n">
        <f aca="false">INDEX(Radicals!$D$2:$D$215,MATCH(C1045,Radicals!$A$2:$A$215,0))</f>
        <v>6</v>
      </c>
      <c r="G1045" s="8" t="n">
        <v>10</v>
      </c>
    </row>
    <row r="1046" customFormat="false" ht="17.35" hidden="false" customHeight="false" outlineLevel="0" collapsed="false">
      <c r="A1046" s="8" t="n">
        <v>1045</v>
      </c>
      <c r="B1046" s="9" t="s">
        <v>2069</v>
      </c>
      <c r="C1046" s="8" t="n">
        <v>72</v>
      </c>
      <c r="D1046" s="9" t="str">
        <f aca="false">INDEX(Radicals!$B$2:$B$215,MATCH(C1046,Radicals!$A$2:$A$215,0))</f>
        <v>日</v>
      </c>
      <c r="E1046" s="10" t="str">
        <f aca="false">INDEX(Radicals!$G$2:$G$215,MATCH(C1046,Radicals!$A$2:$A$215,0))</f>
        <v>sun, day</v>
      </c>
      <c r="F1046" s="8" t="n">
        <f aca="false">INDEX(Radicals!$D$2:$D$215,MATCH(C1046,Radicals!$A$2:$A$215,0))</f>
        <v>4</v>
      </c>
      <c r="G1046" s="8" t="n">
        <v>9</v>
      </c>
    </row>
    <row r="1047" customFormat="false" ht="17.35" hidden="false" customHeight="false" outlineLevel="0" collapsed="false">
      <c r="A1047" s="8" t="n">
        <v>1046</v>
      </c>
      <c r="B1047" s="9" t="s">
        <v>2070</v>
      </c>
      <c r="C1047" s="8" t="n">
        <v>184</v>
      </c>
      <c r="D1047" s="9" t="str">
        <f aca="false">INDEX(Radicals!$B$2:$B$215,MATCH(C1047,Radicals!$A$2:$A$215,0))</f>
        <v>食</v>
      </c>
      <c r="E1047" s="10" t="str">
        <f aca="false">INDEX(Radicals!$G$2:$G$215,MATCH(C1047,Radicals!$A$2:$A$215,0))</f>
        <v>eat, food</v>
      </c>
      <c r="F1047" s="8" t="n">
        <f aca="false">INDEX(Radicals!$D$2:$D$215,MATCH(C1047,Radicals!$A$2:$A$215,0))</f>
        <v>9</v>
      </c>
      <c r="G1047" s="8" t="n">
        <v>12</v>
      </c>
    </row>
    <row r="1048" customFormat="false" ht="17.35" hidden="false" customHeight="false" outlineLevel="0" collapsed="false">
      <c r="A1048" s="8" t="n">
        <v>1047</v>
      </c>
      <c r="B1048" s="9" t="s">
        <v>2071</v>
      </c>
      <c r="C1048" s="8" t="n">
        <v>64</v>
      </c>
      <c r="D1048" s="9" t="str">
        <f aca="false">INDEX(Radicals!$B$2:$B$215,MATCH(C1048,Radicals!$A$2:$A$215,0))</f>
        <v>手</v>
      </c>
      <c r="E1048" s="10" t="str">
        <f aca="false">INDEX(Radicals!$G$2:$G$215,MATCH(C1048,Radicals!$A$2:$A$215,0))</f>
        <v>hand</v>
      </c>
      <c r="F1048" s="8" t="n">
        <f aca="false">INDEX(Radicals!$D$2:$D$215,MATCH(C1048,Radicals!$A$2:$A$215,0))</f>
        <v>4</v>
      </c>
      <c r="G1048" s="8" t="n">
        <v>11</v>
      </c>
    </row>
    <row r="1049" customFormat="false" ht="17.35" hidden="false" customHeight="false" outlineLevel="0" collapsed="false">
      <c r="A1049" s="8" t="n">
        <v>1048</v>
      </c>
      <c r="B1049" s="9" t="s">
        <v>2072</v>
      </c>
      <c r="C1049" s="8" t="n">
        <v>145</v>
      </c>
      <c r="D1049" s="9" t="str">
        <f aca="false">INDEX(Radicals!$B$2:$B$215,MATCH(C1049,Radicals!$A$2:$A$215,0))</f>
        <v>衣</v>
      </c>
      <c r="E1049" s="10" t="str">
        <f aca="false">INDEX(Radicals!$G$2:$G$215,MATCH(C1049,Radicals!$A$2:$A$215,0))</f>
        <v>clothes</v>
      </c>
      <c r="F1049" s="8" t="n">
        <f aca="false">INDEX(Radicals!$D$2:$D$215,MATCH(C1049,Radicals!$A$2:$A$215,0))</f>
        <v>6</v>
      </c>
      <c r="G1049" s="8" t="n">
        <v>12</v>
      </c>
    </row>
    <row r="1050" customFormat="false" ht="17.35" hidden="false" customHeight="false" outlineLevel="0" collapsed="false">
      <c r="A1050" s="8" t="n">
        <v>1049</v>
      </c>
      <c r="B1050" s="9" t="s">
        <v>2073</v>
      </c>
      <c r="C1050" s="8" t="n">
        <v>32</v>
      </c>
      <c r="D1050" s="9" t="str">
        <f aca="false">INDEX(Radicals!$B$2:$B$215,MATCH(C1050,Radicals!$A$2:$A$215,0))</f>
        <v>土</v>
      </c>
      <c r="E1050" s="10" t="str">
        <f aca="false">INDEX(Radicals!$G$2:$G$215,MATCH(C1050,Radicals!$A$2:$A$215,0))</f>
        <v>earth, soil</v>
      </c>
      <c r="F1050" s="8" t="n">
        <f aca="false">INDEX(Radicals!$D$2:$D$215,MATCH(C1050,Radicals!$A$2:$A$215,0))</f>
        <v>3</v>
      </c>
      <c r="G1050" s="8" t="n">
        <v>12</v>
      </c>
    </row>
    <row r="1051" customFormat="false" ht="17.35" hidden="false" customHeight="false" outlineLevel="0" collapsed="false">
      <c r="A1051" s="8" t="n">
        <v>1050</v>
      </c>
      <c r="B1051" s="9" t="s">
        <v>2074</v>
      </c>
      <c r="C1051" s="8" t="n">
        <v>149</v>
      </c>
      <c r="D1051" s="9" t="str">
        <f aca="false">INDEX(Radicals!$B$2:$B$215,MATCH(C1051,Radicals!$A$2:$A$215,0))</f>
        <v>言</v>
      </c>
      <c r="E1051" s="10" t="str">
        <f aca="false">INDEX(Radicals!$G$2:$G$215,MATCH(C1051,Radicals!$A$2:$A$215,0))</f>
        <v>speech, say</v>
      </c>
      <c r="F1051" s="8" t="n">
        <f aca="false">INDEX(Radicals!$D$2:$D$215,MATCH(C1051,Radicals!$A$2:$A$215,0))</f>
        <v>7</v>
      </c>
      <c r="G1051" s="8" t="n">
        <v>11</v>
      </c>
    </row>
    <row r="1052" customFormat="false" ht="17.35" hidden="false" customHeight="false" outlineLevel="0" collapsed="false">
      <c r="A1052" s="8" t="n">
        <v>1051</v>
      </c>
      <c r="B1052" s="9" t="s">
        <v>2075</v>
      </c>
      <c r="C1052" s="8" t="n">
        <v>108</v>
      </c>
      <c r="D1052" s="9" t="str">
        <f aca="false">INDEX(Radicals!$B$2:$B$215,MATCH(C1052,Radicals!$A$2:$A$215,0))</f>
        <v>皿</v>
      </c>
      <c r="E1052" s="10" t="str">
        <f aca="false">INDEX(Radicals!$G$2:$G$215,MATCH(C1052,Radicals!$A$2:$A$215,0))</f>
        <v>dish</v>
      </c>
      <c r="F1052" s="8" t="n">
        <f aca="false">INDEX(Radicals!$D$2:$D$215,MATCH(C1052,Radicals!$A$2:$A$215,0))</f>
        <v>5</v>
      </c>
      <c r="G1052" s="8" t="n">
        <v>11</v>
      </c>
    </row>
    <row r="1053" customFormat="false" ht="17.35" hidden="false" customHeight="false" outlineLevel="0" collapsed="false">
      <c r="A1053" s="8" t="n">
        <v>1052</v>
      </c>
      <c r="B1053" s="9" t="s">
        <v>2076</v>
      </c>
      <c r="C1053" s="8" t="n">
        <v>140</v>
      </c>
      <c r="D1053" s="9" t="str">
        <f aca="false">INDEX(Radicals!$B$2:$B$215,MATCH(C1053,Radicals!$A$2:$A$215,0))</f>
        <v>艸</v>
      </c>
      <c r="E1053" s="10" t="str">
        <f aca="false">INDEX(Radicals!$G$2:$G$215,MATCH(C1053,Radicals!$A$2:$A$215,0))</f>
        <v>grass, plant</v>
      </c>
      <c r="F1053" s="8" t="n">
        <f aca="false">INDEX(Radicals!$D$2:$D$215,MATCH(C1053,Radicals!$A$2:$A$215,0))</f>
        <v>6</v>
      </c>
      <c r="G1053" s="8" t="n">
        <v>6</v>
      </c>
    </row>
    <row r="1054" customFormat="false" ht="17.35" hidden="false" customHeight="false" outlineLevel="0" collapsed="false">
      <c r="A1054" s="8" t="n">
        <v>1053</v>
      </c>
      <c r="B1054" s="9" t="s">
        <v>2077</v>
      </c>
      <c r="C1054" s="8" t="n">
        <v>120</v>
      </c>
      <c r="D1054" s="9" t="str">
        <f aca="false">INDEX(Radicals!$B$2:$B$215,MATCH(C1054,Radicals!$A$2:$A$215,0))</f>
        <v>糸</v>
      </c>
      <c r="E1054" s="10" t="str">
        <f aca="false">INDEX(Radicals!$G$2:$G$215,MATCH(C1054,Radicals!$A$2:$A$215,0))</f>
        <v>thread, silk</v>
      </c>
      <c r="F1054" s="8" t="n">
        <f aca="false">INDEX(Radicals!$D$2:$D$215,MATCH(C1054,Radicals!$A$2:$A$215,0))</f>
        <v>6</v>
      </c>
      <c r="G1054" s="8" t="n">
        <v>14</v>
      </c>
    </row>
    <row r="1055" customFormat="false" ht="17.35" hidden="false" customHeight="false" outlineLevel="0" collapsed="false">
      <c r="A1055" s="8" t="n">
        <v>1054</v>
      </c>
      <c r="B1055" s="9" t="s">
        <v>2078</v>
      </c>
      <c r="C1055" s="8" t="n">
        <v>30</v>
      </c>
      <c r="D1055" s="9" t="str">
        <f aca="false">INDEX(Radicals!$B$2:$B$215,MATCH(C1055,Radicals!$A$2:$A$215,0))</f>
        <v>口</v>
      </c>
      <c r="E1055" s="10" t="str">
        <f aca="false">INDEX(Radicals!$G$2:$G$215,MATCH(C1055,Radicals!$A$2:$A$215,0))</f>
        <v>mouth</v>
      </c>
      <c r="F1055" s="8" t="n">
        <f aca="false">INDEX(Radicals!$D$2:$D$215,MATCH(C1055,Radicals!$A$2:$A$215,0))</f>
        <v>3</v>
      </c>
      <c r="G1055" s="8" t="n">
        <v>6</v>
      </c>
    </row>
    <row r="1056" customFormat="false" ht="17.35" hidden="false" customHeight="false" outlineLevel="0" collapsed="false">
      <c r="A1056" s="8" t="n">
        <v>1055</v>
      </c>
      <c r="B1056" s="9" t="s">
        <v>2079</v>
      </c>
      <c r="C1056" s="8" t="n">
        <v>12</v>
      </c>
      <c r="D1056" s="9" t="str">
        <f aca="false">INDEX(Radicals!$B$2:$B$215,MATCH(C1056,Radicals!$A$2:$A$215,0))</f>
        <v>八</v>
      </c>
      <c r="E1056" s="10" t="str">
        <f aca="false">INDEX(Radicals!$G$2:$G$215,MATCH(C1056,Radicals!$A$2:$A$215,0))</f>
        <v>eight</v>
      </c>
      <c r="F1056" s="8" t="n">
        <f aca="false">INDEX(Radicals!$D$2:$D$215,MATCH(C1056,Radicals!$A$2:$A$215,0))</f>
        <v>2</v>
      </c>
      <c r="G1056" s="8" t="n">
        <v>8</v>
      </c>
    </row>
    <row r="1057" customFormat="false" ht="17.35" hidden="false" customHeight="false" outlineLevel="0" collapsed="false">
      <c r="A1057" s="8" t="n">
        <v>1056</v>
      </c>
      <c r="B1057" s="9" t="s">
        <v>2080</v>
      </c>
      <c r="C1057" s="8" t="n">
        <v>154</v>
      </c>
      <c r="D1057" s="9" t="str">
        <f aca="false">INDEX(Radicals!$B$2:$B$215,MATCH(C1057,Radicals!$A$2:$A$215,0))</f>
        <v>貝</v>
      </c>
      <c r="E1057" s="10" t="str">
        <f aca="false">INDEX(Radicals!$G$2:$G$215,MATCH(C1057,Radicals!$A$2:$A$215,0))</f>
        <v>shell, money</v>
      </c>
      <c r="F1057" s="8" t="n">
        <f aca="false">INDEX(Radicals!$D$2:$D$215,MATCH(C1057,Radicals!$A$2:$A$215,0))</f>
        <v>7</v>
      </c>
      <c r="G1057" s="8" t="n">
        <v>12</v>
      </c>
    </row>
    <row r="1058" customFormat="false" ht="17.35" hidden="false" customHeight="false" outlineLevel="0" collapsed="false">
      <c r="A1058" s="8" t="n">
        <v>1057</v>
      </c>
      <c r="B1058" s="9" t="s">
        <v>2081</v>
      </c>
      <c r="C1058" s="8" t="n">
        <v>64</v>
      </c>
      <c r="D1058" s="9" t="str">
        <f aca="false">INDEX(Radicals!$B$2:$B$215,MATCH(C1058,Radicals!$A$2:$A$215,0))</f>
        <v>手</v>
      </c>
      <c r="E1058" s="10" t="str">
        <f aca="false">INDEX(Radicals!$G$2:$G$215,MATCH(C1058,Radicals!$A$2:$A$215,0))</f>
        <v>hand</v>
      </c>
      <c r="F1058" s="8" t="n">
        <f aca="false">INDEX(Radicals!$D$2:$D$215,MATCH(C1058,Radicals!$A$2:$A$215,0))</f>
        <v>4</v>
      </c>
      <c r="G1058" s="8" t="n">
        <v>6</v>
      </c>
    </row>
    <row r="1059" customFormat="false" ht="17.35" hidden="false" customHeight="false" outlineLevel="0" collapsed="false">
      <c r="A1059" s="8" t="n">
        <v>1058</v>
      </c>
      <c r="B1059" s="9" t="s">
        <v>2082</v>
      </c>
      <c r="C1059" s="8" t="n">
        <v>181</v>
      </c>
      <c r="D1059" s="9" t="str">
        <f aca="false">INDEX(Radicals!$B$2:$B$215,MATCH(C1059,Radicals!$A$2:$A$215,0))</f>
        <v>頁</v>
      </c>
      <c r="E1059" s="10" t="str">
        <f aca="false">INDEX(Radicals!$G$2:$G$215,MATCH(C1059,Radicals!$A$2:$A$215,0))</f>
        <v>page, leaf (head)</v>
      </c>
      <c r="F1059" s="8" t="n">
        <f aca="false">INDEX(Radicals!$D$2:$D$215,MATCH(C1059,Radicals!$A$2:$A$215,0))</f>
        <v>9</v>
      </c>
      <c r="G1059" s="8" t="n">
        <v>21</v>
      </c>
    </row>
    <row r="1060" customFormat="false" ht="17.35" hidden="false" customHeight="false" outlineLevel="0" collapsed="false">
      <c r="A1060" s="8" t="n">
        <v>1059</v>
      </c>
      <c r="B1060" s="9" t="s">
        <v>2083</v>
      </c>
      <c r="C1060" s="8" t="n">
        <v>57</v>
      </c>
      <c r="D1060" s="9" t="str">
        <f aca="false">INDEX(Radicals!$B$2:$B$215,MATCH(C1060,Radicals!$A$2:$A$215,0))</f>
        <v>弓</v>
      </c>
      <c r="E1060" s="10" t="str">
        <f aca="false">INDEX(Radicals!$G$2:$G$215,MATCH(C1060,Radicals!$A$2:$A$215,0))</f>
        <v>bow</v>
      </c>
      <c r="F1060" s="8" t="n">
        <f aca="false">INDEX(Radicals!$D$2:$D$215,MATCH(C1060,Radicals!$A$2:$A$215,0))</f>
        <v>3</v>
      </c>
      <c r="G1060" s="8" t="n">
        <v>5</v>
      </c>
    </row>
    <row r="1061" customFormat="false" ht="17.35" hidden="false" customHeight="false" outlineLevel="0" collapsed="false">
      <c r="A1061" s="8" t="n">
        <v>1060</v>
      </c>
      <c r="B1061" s="9" t="s">
        <v>2084</v>
      </c>
      <c r="C1061" s="8" t="n">
        <v>109</v>
      </c>
      <c r="D1061" s="9" t="str">
        <f aca="false">INDEX(Radicals!$B$2:$B$215,MATCH(C1061,Radicals!$A$2:$A$215,0))</f>
        <v>目</v>
      </c>
      <c r="E1061" s="10" t="str">
        <f aca="false">INDEX(Radicals!$G$2:$G$215,MATCH(C1061,Radicals!$A$2:$A$215,0))</f>
        <v>eye</v>
      </c>
      <c r="F1061" s="8" t="n">
        <f aca="false">INDEX(Radicals!$D$2:$D$215,MATCH(C1061,Radicals!$A$2:$A$215,0))</f>
        <v>5</v>
      </c>
      <c r="G1061" s="8" t="n">
        <v>9</v>
      </c>
    </row>
    <row r="1062" customFormat="false" ht="17.35" hidden="false" customHeight="false" outlineLevel="0" collapsed="false">
      <c r="A1062" s="8" t="n">
        <v>1061</v>
      </c>
      <c r="B1062" s="9" t="s">
        <v>2085</v>
      </c>
      <c r="C1062" s="8" t="n">
        <v>149</v>
      </c>
      <c r="D1062" s="9" t="str">
        <f aca="false">INDEX(Radicals!$B$2:$B$215,MATCH(C1062,Radicals!$A$2:$A$215,0))</f>
        <v>言</v>
      </c>
      <c r="E1062" s="10" t="str">
        <f aca="false">INDEX(Radicals!$G$2:$G$215,MATCH(C1062,Radicals!$A$2:$A$215,0))</f>
        <v>speech, say</v>
      </c>
      <c r="F1062" s="8" t="n">
        <f aca="false">INDEX(Radicals!$D$2:$D$215,MATCH(C1062,Radicals!$A$2:$A$215,0))</f>
        <v>7</v>
      </c>
      <c r="G1062" s="8" t="n">
        <v>11</v>
      </c>
    </row>
    <row r="1063" customFormat="false" ht="17.35" hidden="false" customHeight="false" outlineLevel="0" collapsed="false">
      <c r="A1063" s="8" t="n">
        <v>1062</v>
      </c>
      <c r="B1063" s="9" t="s">
        <v>2086</v>
      </c>
      <c r="C1063" s="8" t="n">
        <v>62</v>
      </c>
      <c r="D1063" s="9" t="str">
        <f aca="false">INDEX(Radicals!$B$2:$B$215,MATCH(C1063,Radicals!$A$2:$A$215,0))</f>
        <v>戈</v>
      </c>
      <c r="E1063" s="10" t="str">
        <f aca="false">INDEX(Radicals!$G$2:$G$215,MATCH(C1063,Radicals!$A$2:$A$215,0))</f>
        <v>halberd, spear</v>
      </c>
      <c r="F1063" s="8" t="n">
        <f aca="false">INDEX(Radicals!$D$2:$D$215,MATCH(C1063,Radicals!$A$2:$A$215,0))</f>
        <v>4</v>
      </c>
      <c r="G1063" s="8" t="n">
        <v>7</v>
      </c>
    </row>
    <row r="1064" customFormat="false" ht="17.35" hidden="false" customHeight="false" outlineLevel="0" collapsed="false">
      <c r="A1064" s="8" t="n">
        <v>1063</v>
      </c>
      <c r="B1064" s="9" t="s">
        <v>2087</v>
      </c>
      <c r="C1064" s="8" t="n">
        <v>113</v>
      </c>
      <c r="D1064" s="9" t="str">
        <f aca="false">INDEX(Radicals!$B$2:$B$215,MATCH(C1064,Radicals!$A$2:$A$215,0))</f>
        <v>示</v>
      </c>
      <c r="E1064" s="10" t="str">
        <f aca="false">INDEX(Radicals!$G$2:$G$215,MATCH(C1064,Radicals!$A$2:$A$215,0))</f>
        <v>spirit, altar, show</v>
      </c>
      <c r="F1064" s="8" t="n">
        <f aca="false">INDEX(Radicals!$D$2:$D$215,MATCH(C1064,Radicals!$A$2:$A$215,0))</f>
        <v>5</v>
      </c>
      <c r="G1064" s="8" t="n">
        <v>8</v>
      </c>
    </row>
    <row r="1065" customFormat="false" ht="17.35" hidden="false" customHeight="false" outlineLevel="0" collapsed="false">
      <c r="A1065" s="8" t="n">
        <v>1064</v>
      </c>
      <c r="B1065" s="9" t="s">
        <v>2088</v>
      </c>
      <c r="C1065" s="8" t="n">
        <v>149</v>
      </c>
      <c r="D1065" s="9" t="str">
        <f aca="false">INDEX(Radicals!$B$2:$B$215,MATCH(C1065,Radicals!$A$2:$A$215,0))</f>
        <v>言</v>
      </c>
      <c r="E1065" s="10" t="str">
        <f aca="false">INDEX(Radicals!$G$2:$G$215,MATCH(C1065,Radicals!$A$2:$A$215,0))</f>
        <v>speech, say</v>
      </c>
      <c r="F1065" s="8" t="n">
        <f aca="false">INDEX(Radicals!$D$2:$D$215,MATCH(C1065,Radicals!$A$2:$A$215,0))</f>
        <v>7</v>
      </c>
      <c r="G1065" s="8" t="n">
        <v>13</v>
      </c>
    </row>
    <row r="1066" customFormat="false" ht="17.35" hidden="false" customHeight="false" outlineLevel="0" collapsed="false">
      <c r="A1066" s="8" t="n">
        <v>1065</v>
      </c>
      <c r="B1066" s="9" t="s">
        <v>2089</v>
      </c>
      <c r="C1066" s="8" t="n">
        <v>76</v>
      </c>
      <c r="D1066" s="9" t="str">
        <f aca="false">INDEX(Radicals!$B$2:$B$215,MATCH(C1066,Radicals!$A$2:$A$215,0))</f>
        <v>欠</v>
      </c>
      <c r="E1066" s="10" t="str">
        <f aca="false">INDEX(Radicals!$G$2:$G$215,MATCH(C1066,Radicals!$A$2:$A$215,0))</f>
        <v>lack, yawn</v>
      </c>
      <c r="F1066" s="8" t="n">
        <f aca="false">INDEX(Radicals!$D$2:$D$215,MATCH(C1066,Radicals!$A$2:$A$215,0))</f>
        <v>4</v>
      </c>
      <c r="G1066" s="8" t="n">
        <v>15</v>
      </c>
    </row>
    <row r="1067" customFormat="false" ht="17.35" hidden="false" customHeight="false" outlineLevel="0" collapsed="false">
      <c r="A1067" s="8" t="n">
        <v>1066</v>
      </c>
      <c r="B1067" s="9" t="s">
        <v>2090</v>
      </c>
      <c r="C1067" s="8" t="n">
        <v>19</v>
      </c>
      <c r="D1067" s="9" t="str">
        <f aca="false">INDEX(Radicals!$B$2:$B$215,MATCH(C1067,Radicals!$A$2:$A$215,0))</f>
        <v>力</v>
      </c>
      <c r="E1067" s="10" t="str">
        <f aca="false">INDEX(Radicals!$G$2:$G$215,MATCH(C1067,Radicals!$A$2:$A$215,0))</f>
        <v>power, strength</v>
      </c>
      <c r="F1067" s="8" t="n">
        <f aca="false">INDEX(Radicals!$D$2:$D$215,MATCH(C1067,Radicals!$A$2:$A$215,0))</f>
        <v>2</v>
      </c>
      <c r="G1067" s="8" t="n">
        <v>10</v>
      </c>
    </row>
    <row r="1068" customFormat="false" ht="17.35" hidden="false" customHeight="false" outlineLevel="0" collapsed="false">
      <c r="A1068" s="8" t="n">
        <v>1067</v>
      </c>
      <c r="B1068" s="9" t="s">
        <v>2091</v>
      </c>
      <c r="C1068" s="8" t="n">
        <v>37</v>
      </c>
      <c r="D1068" s="9" t="str">
        <f aca="false">INDEX(Radicals!$B$2:$B$215,MATCH(C1068,Radicals!$A$2:$A$215,0))</f>
        <v>大</v>
      </c>
      <c r="E1068" s="10" t="str">
        <f aca="false">INDEX(Radicals!$G$2:$G$215,MATCH(C1068,Radicals!$A$2:$A$215,0))</f>
        <v>big</v>
      </c>
      <c r="F1068" s="8" t="n">
        <f aca="false">INDEX(Radicals!$D$2:$D$215,MATCH(C1068,Radicals!$A$2:$A$215,0))</f>
        <v>3</v>
      </c>
      <c r="G1068" s="8" t="n">
        <v>9</v>
      </c>
    </row>
    <row r="1069" customFormat="false" ht="17.35" hidden="false" customHeight="false" outlineLevel="0" collapsed="false">
      <c r="A1069" s="8" t="n">
        <v>1068</v>
      </c>
      <c r="B1069" s="9" t="s">
        <v>2092</v>
      </c>
      <c r="C1069" s="8" t="n">
        <v>19</v>
      </c>
      <c r="D1069" s="9" t="str">
        <f aca="false">INDEX(Radicals!$B$2:$B$215,MATCH(C1069,Radicals!$A$2:$A$215,0))</f>
        <v>力</v>
      </c>
      <c r="E1069" s="10" t="str">
        <f aca="false">INDEX(Radicals!$G$2:$G$215,MATCH(C1069,Radicals!$A$2:$A$215,0))</f>
        <v>power, strength</v>
      </c>
      <c r="F1069" s="8" t="n">
        <f aca="false">INDEX(Radicals!$D$2:$D$215,MATCH(C1069,Radicals!$A$2:$A$215,0))</f>
        <v>2</v>
      </c>
      <c r="G1069" s="8" t="n">
        <v>13</v>
      </c>
    </row>
    <row r="1070" customFormat="false" ht="17.35" hidden="false" customHeight="false" outlineLevel="0" collapsed="false">
      <c r="A1070" s="8" t="n">
        <v>1069</v>
      </c>
      <c r="B1070" s="9" t="s">
        <v>2093</v>
      </c>
      <c r="C1070" s="8" t="n">
        <v>187</v>
      </c>
      <c r="D1070" s="9" t="str">
        <f aca="false">INDEX(Radicals!$B$2:$B$215,MATCH(C1070,Radicals!$A$2:$A$215,0))</f>
        <v>馬</v>
      </c>
      <c r="E1070" s="10" t="str">
        <f aca="false">INDEX(Radicals!$G$2:$G$215,MATCH(C1070,Radicals!$A$2:$A$215,0))</f>
        <v>horse</v>
      </c>
      <c r="F1070" s="8" t="n">
        <f aca="false">INDEX(Radicals!$D$2:$D$215,MATCH(C1070,Radicals!$A$2:$A$215,0))</f>
        <v>10</v>
      </c>
      <c r="G1070" s="8" t="n">
        <v>18</v>
      </c>
    </row>
    <row r="1071" customFormat="false" ht="17.35" hidden="false" customHeight="false" outlineLevel="0" collapsed="false">
      <c r="A1071" s="8" t="n">
        <v>1070</v>
      </c>
      <c r="B1071" s="9" t="s">
        <v>2094</v>
      </c>
      <c r="C1071" s="8" t="n">
        <v>124</v>
      </c>
      <c r="D1071" s="9" t="str">
        <f aca="false">INDEX(Radicals!$B$2:$B$215,MATCH(C1071,Radicals!$A$2:$A$215,0))</f>
        <v>羽</v>
      </c>
      <c r="E1071" s="10" t="str">
        <f aca="false">INDEX(Radicals!$G$2:$G$215,MATCH(C1071,Radicals!$A$2:$A$215,0))</f>
        <v>feather, wing</v>
      </c>
      <c r="F1071" s="8" t="n">
        <f aca="false">INDEX(Radicals!$D$2:$D$215,MATCH(C1071,Radicals!$A$2:$A$215,0))</f>
        <v>6</v>
      </c>
      <c r="G1071" s="8" t="n">
        <v>11</v>
      </c>
    </row>
    <row r="1072" customFormat="false" ht="17.35" hidden="false" customHeight="false" outlineLevel="0" collapsed="false">
      <c r="A1072" s="8" t="n">
        <v>1071</v>
      </c>
      <c r="B1072" s="9" t="s">
        <v>2095</v>
      </c>
      <c r="C1072" s="8" t="n">
        <v>170</v>
      </c>
      <c r="D1072" s="9" t="str">
        <f aca="false">INDEX(Radicals!$B$2:$B$215,MATCH(C1072,Radicals!$A$2:$A$215,0))</f>
        <v>阜</v>
      </c>
      <c r="E1072" s="10" t="str">
        <f aca="false">INDEX(Radicals!$G$2:$G$215,MATCH(C1072,Radicals!$A$2:$A$215,0))</f>
        <v>mound, hill</v>
      </c>
      <c r="F1072" s="8" t="n">
        <f aca="false">INDEX(Radicals!$D$2:$D$215,MATCH(C1072,Radicals!$A$2:$A$215,0))</f>
        <v>8</v>
      </c>
      <c r="G1072" s="8" t="n">
        <v>12</v>
      </c>
    </row>
    <row r="1073" customFormat="false" ht="17.35" hidden="false" customHeight="false" outlineLevel="0" collapsed="false">
      <c r="A1073" s="8" t="n">
        <v>1072</v>
      </c>
      <c r="B1073" s="9" t="s">
        <v>2096</v>
      </c>
      <c r="C1073" s="8" t="n">
        <v>169</v>
      </c>
      <c r="D1073" s="9" t="str">
        <f aca="false">INDEX(Radicals!$B$2:$B$215,MATCH(C1073,Radicals!$A$2:$A$215,0))</f>
        <v>門</v>
      </c>
      <c r="E1073" s="10" t="str">
        <f aca="false">INDEX(Radicals!$G$2:$G$215,MATCH(C1073,Radicals!$A$2:$A$215,0))</f>
        <v>gate</v>
      </c>
      <c r="F1073" s="8" t="n">
        <f aca="false">INDEX(Radicals!$D$2:$D$215,MATCH(C1073,Radicals!$A$2:$A$215,0))</f>
        <v>8</v>
      </c>
      <c r="G1073" s="8" t="n">
        <v>14</v>
      </c>
    </row>
    <row r="1074" customFormat="false" ht="17.35" hidden="false" customHeight="false" outlineLevel="0" collapsed="false">
      <c r="A1074" s="8" t="n">
        <v>1073</v>
      </c>
      <c r="B1074" s="9" t="s">
        <v>2097</v>
      </c>
      <c r="C1074" s="8" t="n">
        <v>102</v>
      </c>
      <c r="D1074" s="9" t="str">
        <f aca="false">INDEX(Radicals!$B$2:$B$215,MATCH(C1074,Radicals!$A$2:$A$215,0))</f>
        <v>田</v>
      </c>
      <c r="E1074" s="10" t="str">
        <f aca="false">INDEX(Radicals!$G$2:$G$215,MATCH(C1074,Radicals!$A$2:$A$215,0))</f>
        <v>field, paddy</v>
      </c>
      <c r="F1074" s="8" t="n">
        <f aca="false">INDEX(Radicals!$D$2:$D$215,MATCH(C1074,Radicals!$A$2:$A$215,0))</f>
        <v>5</v>
      </c>
      <c r="G1074" s="8" t="n">
        <v>5</v>
      </c>
    </row>
    <row r="1075" customFormat="false" ht="17.35" hidden="false" customHeight="false" outlineLevel="0" collapsed="false">
      <c r="A1075" s="8" t="n">
        <v>1074</v>
      </c>
      <c r="B1075" s="9" t="s">
        <v>2098</v>
      </c>
      <c r="C1075" s="8" t="n">
        <v>61</v>
      </c>
      <c r="D1075" s="9" t="str">
        <f aca="false">INDEX(Radicals!$B$2:$B$215,MATCH(C1075,Radicals!$A$2:$A$215,0))</f>
        <v>心</v>
      </c>
      <c r="E1075" s="10" t="str">
        <f aca="false">INDEX(Radicals!$G$2:$G$215,MATCH(C1075,Radicals!$A$2:$A$215,0))</f>
        <v>heart, mind</v>
      </c>
      <c r="F1075" s="8" t="n">
        <f aca="false">INDEX(Radicals!$D$2:$D$215,MATCH(C1075,Radicals!$A$2:$A$215,0))</f>
        <v>4</v>
      </c>
      <c r="G1075" s="8" t="n">
        <v>7</v>
      </c>
    </row>
    <row r="1076" customFormat="false" ht="17.35" hidden="false" customHeight="false" outlineLevel="0" collapsed="false">
      <c r="A1076" s="8" t="n">
        <v>1075</v>
      </c>
      <c r="B1076" s="9" t="s">
        <v>2099</v>
      </c>
      <c r="C1076" s="8" t="n">
        <v>120</v>
      </c>
      <c r="D1076" s="9" t="str">
        <f aca="false">INDEX(Radicals!$B$2:$B$215,MATCH(C1076,Radicals!$A$2:$A$215,0))</f>
        <v>糸</v>
      </c>
      <c r="E1076" s="10" t="str">
        <f aca="false">INDEX(Radicals!$G$2:$G$215,MATCH(C1076,Radicals!$A$2:$A$215,0))</f>
        <v>thread, silk</v>
      </c>
      <c r="F1076" s="8" t="n">
        <f aca="false">INDEX(Radicals!$D$2:$D$215,MATCH(C1076,Radicals!$A$2:$A$215,0))</f>
        <v>6</v>
      </c>
      <c r="G1076" s="8" t="n">
        <v>15</v>
      </c>
    </row>
    <row r="1077" customFormat="false" ht="17.35" hidden="false" customHeight="false" outlineLevel="0" collapsed="false">
      <c r="A1077" s="8" t="n">
        <v>1076</v>
      </c>
      <c r="B1077" s="9" t="s">
        <v>486</v>
      </c>
      <c r="C1077" s="8" t="n">
        <v>91</v>
      </c>
      <c r="D1077" s="9" t="str">
        <f aca="false">INDEX(Radicals!$B$2:$B$215,MATCH(C1077,Radicals!$A$2:$A$215,0))</f>
        <v>片</v>
      </c>
      <c r="E1077" s="10" t="str">
        <f aca="false">INDEX(Radicals!$G$2:$G$215,MATCH(C1077,Radicals!$A$2:$A$215,0))</f>
        <v>slice, one side</v>
      </c>
      <c r="F1077" s="8" t="n">
        <f aca="false">INDEX(Radicals!$D$2:$D$215,MATCH(C1077,Radicals!$A$2:$A$215,0))</f>
        <v>4</v>
      </c>
      <c r="G1077" s="8" t="n">
        <v>4</v>
      </c>
    </row>
    <row r="1078" customFormat="false" ht="17.35" hidden="false" customHeight="false" outlineLevel="0" collapsed="false">
      <c r="A1078" s="8" t="n">
        <v>1077</v>
      </c>
      <c r="B1078" s="9" t="s">
        <v>2100</v>
      </c>
      <c r="C1078" s="8" t="n">
        <v>163</v>
      </c>
      <c r="D1078" s="9" t="str">
        <f aca="false">INDEX(Radicals!$B$2:$B$215,MATCH(C1078,Radicals!$A$2:$A$215,0))</f>
        <v>邑</v>
      </c>
      <c r="E1078" s="10" t="str">
        <f aca="false">INDEX(Radicals!$G$2:$G$215,MATCH(C1078,Radicals!$A$2:$A$215,0))</f>
        <v>city, village</v>
      </c>
      <c r="F1078" s="8" t="n">
        <f aca="false">INDEX(Radicals!$D$2:$D$215,MATCH(C1078,Radicals!$A$2:$A$215,0))</f>
        <v>7</v>
      </c>
      <c r="G1078" s="8" t="n">
        <v>11</v>
      </c>
    </row>
    <row r="1079" customFormat="false" ht="17.35" hidden="false" customHeight="false" outlineLevel="0" collapsed="false">
      <c r="A1079" s="8" t="n">
        <v>1078</v>
      </c>
      <c r="B1079" s="9" t="s">
        <v>2101</v>
      </c>
      <c r="C1079" s="8" t="n">
        <v>66</v>
      </c>
      <c r="D1079" s="9" t="str">
        <f aca="false">INDEX(Radicals!$B$2:$B$215,MATCH(C1079,Radicals!$A$2:$A$215,0))</f>
        <v>攴</v>
      </c>
      <c r="E1079" s="10" t="str">
        <f aca="false">INDEX(Radicals!$G$2:$G$215,MATCH(C1079,Radicals!$A$2:$A$215,0))</f>
        <v>rap, tap, strike</v>
      </c>
      <c r="F1079" s="8" t="n">
        <f aca="false">INDEX(Radicals!$D$2:$D$215,MATCH(C1079,Radicals!$A$2:$A$215,0))</f>
        <v>4</v>
      </c>
      <c r="G1079" s="8" t="n">
        <v>12</v>
      </c>
    </row>
    <row r="1080" customFormat="false" ht="17.35" hidden="false" customHeight="false" outlineLevel="0" collapsed="false">
      <c r="A1080" s="8" t="n">
        <v>1079</v>
      </c>
      <c r="B1080" s="9" t="s">
        <v>2102</v>
      </c>
      <c r="C1080" s="8" t="n">
        <v>64</v>
      </c>
      <c r="D1080" s="9" t="str">
        <f aca="false">INDEX(Radicals!$B$2:$B$215,MATCH(C1080,Radicals!$A$2:$A$215,0))</f>
        <v>手</v>
      </c>
      <c r="E1080" s="10" t="str">
        <f aca="false">INDEX(Radicals!$G$2:$G$215,MATCH(C1080,Radicals!$A$2:$A$215,0))</f>
        <v>hand</v>
      </c>
      <c r="F1080" s="8" t="n">
        <f aca="false">INDEX(Radicals!$D$2:$D$215,MATCH(C1080,Radicals!$A$2:$A$215,0))</f>
        <v>4</v>
      </c>
      <c r="G1080" s="8" t="n">
        <v>12</v>
      </c>
    </row>
    <row r="1081" customFormat="false" ht="17.35" hidden="false" customHeight="false" outlineLevel="0" collapsed="false">
      <c r="A1081" s="8" t="n">
        <v>1080</v>
      </c>
      <c r="B1081" s="9" t="s">
        <v>2103</v>
      </c>
      <c r="C1081" s="8" t="n">
        <v>10</v>
      </c>
      <c r="D1081" s="9" t="str">
        <f aca="false">INDEX(Radicals!$B$2:$B$215,MATCH(C1081,Radicals!$A$2:$A$215,0))</f>
        <v>儿</v>
      </c>
      <c r="E1081" s="10" t="str">
        <f aca="false">INDEX(Radicals!$G$2:$G$215,MATCH(C1081,Radicals!$A$2:$A$215,0))</f>
        <v>legs, walking person</v>
      </c>
      <c r="F1081" s="8" t="n">
        <f aca="false">INDEX(Radicals!$D$2:$D$215,MATCH(C1081,Radicals!$A$2:$A$215,0))</f>
        <v>2</v>
      </c>
      <c r="G1081" s="8" t="n">
        <v>8</v>
      </c>
    </row>
    <row r="1082" customFormat="false" ht="17.35" hidden="false" customHeight="false" outlineLevel="0" collapsed="false">
      <c r="A1082" s="8" t="n">
        <v>1081</v>
      </c>
      <c r="B1082" s="9" t="s">
        <v>389</v>
      </c>
      <c r="C1082" s="8" t="n">
        <v>71</v>
      </c>
      <c r="D1082" s="9" t="str">
        <f aca="false">INDEX(Radicals!$B$2:$B$215,MATCH(C1082,Radicals!$A$2:$A$215,0))</f>
        <v>无</v>
      </c>
      <c r="E1082" s="10" t="str">
        <f aca="false">INDEX(Radicals!$G$2:$G$215,MATCH(C1082,Radicals!$A$2:$A$215,0))</f>
        <v>not, nothing</v>
      </c>
      <c r="F1082" s="8" t="n">
        <f aca="false">INDEX(Radicals!$D$2:$D$215,MATCH(C1082,Radicals!$A$2:$A$215,0))</f>
        <v>4</v>
      </c>
      <c r="G1082" s="8" t="n">
        <v>10</v>
      </c>
    </row>
    <row r="1083" customFormat="false" ht="17.35" hidden="false" customHeight="false" outlineLevel="0" collapsed="false">
      <c r="A1083" s="8" t="n">
        <v>1082</v>
      </c>
      <c r="B1083" s="9" t="s">
        <v>2104</v>
      </c>
      <c r="C1083" s="8" t="n">
        <v>140</v>
      </c>
      <c r="D1083" s="9" t="str">
        <f aca="false">INDEX(Radicals!$B$2:$B$215,MATCH(C1083,Radicals!$A$2:$A$215,0))</f>
        <v>艸</v>
      </c>
      <c r="E1083" s="10" t="str">
        <f aca="false">INDEX(Radicals!$G$2:$G$215,MATCH(C1083,Radicals!$A$2:$A$215,0))</f>
        <v>grass, plant</v>
      </c>
      <c r="F1083" s="8" t="n">
        <f aca="false">INDEX(Radicals!$D$2:$D$215,MATCH(C1083,Radicals!$A$2:$A$215,0))</f>
        <v>6</v>
      </c>
      <c r="G1083" s="8" t="n">
        <v>16</v>
      </c>
    </row>
    <row r="1084" customFormat="false" ht="17.35" hidden="false" customHeight="false" outlineLevel="0" collapsed="false">
      <c r="A1084" s="8" t="n">
        <v>1083</v>
      </c>
      <c r="B1084" s="9" t="s">
        <v>2105</v>
      </c>
      <c r="C1084" s="8" t="n">
        <v>170</v>
      </c>
      <c r="D1084" s="9" t="str">
        <f aca="false">INDEX(Radicals!$B$2:$B$215,MATCH(C1084,Radicals!$A$2:$A$215,0))</f>
        <v>阜</v>
      </c>
      <c r="E1084" s="10" t="str">
        <f aca="false">INDEX(Radicals!$G$2:$G$215,MATCH(C1084,Radicals!$A$2:$A$215,0))</f>
        <v>mound, hill</v>
      </c>
      <c r="F1084" s="8" t="n">
        <f aca="false">INDEX(Radicals!$D$2:$D$215,MATCH(C1084,Radicals!$A$2:$A$215,0))</f>
        <v>8</v>
      </c>
      <c r="G1084" s="8" t="n">
        <v>16</v>
      </c>
    </row>
    <row r="1085" customFormat="false" ht="17.35" hidden="false" customHeight="false" outlineLevel="0" collapsed="false">
      <c r="A1085" s="8" t="n">
        <v>1084</v>
      </c>
      <c r="B1085" s="9" t="s">
        <v>2106</v>
      </c>
      <c r="C1085" s="8" t="n">
        <v>61</v>
      </c>
      <c r="D1085" s="9" t="str">
        <f aca="false">INDEX(Radicals!$B$2:$B$215,MATCH(C1085,Radicals!$A$2:$A$215,0))</f>
        <v>心</v>
      </c>
      <c r="E1085" s="10" t="str">
        <f aca="false">INDEX(Radicals!$G$2:$G$215,MATCH(C1085,Radicals!$A$2:$A$215,0))</f>
        <v>heart, mind</v>
      </c>
      <c r="F1085" s="8" t="n">
        <f aca="false">INDEX(Radicals!$D$2:$D$215,MATCH(C1085,Radicals!$A$2:$A$215,0))</f>
        <v>4</v>
      </c>
      <c r="G1085" s="8" t="n">
        <v>10</v>
      </c>
    </row>
    <row r="1086" customFormat="false" ht="17.35" hidden="false" customHeight="false" outlineLevel="0" collapsed="false">
      <c r="A1086" s="8" t="n">
        <v>1085</v>
      </c>
      <c r="B1086" s="9" t="s">
        <v>2107</v>
      </c>
      <c r="C1086" s="8" t="n">
        <v>140</v>
      </c>
      <c r="D1086" s="9" t="str">
        <f aca="false">INDEX(Radicals!$B$2:$B$215,MATCH(C1086,Radicals!$A$2:$A$215,0))</f>
        <v>艸</v>
      </c>
      <c r="E1086" s="10" t="str">
        <f aca="false">INDEX(Radicals!$G$2:$G$215,MATCH(C1086,Radicals!$A$2:$A$215,0))</f>
        <v>grass, plant</v>
      </c>
      <c r="F1086" s="8" t="n">
        <f aca="false">INDEX(Radicals!$D$2:$D$215,MATCH(C1086,Radicals!$A$2:$A$215,0))</f>
        <v>6</v>
      </c>
      <c r="G1086" s="8" t="n">
        <v>10</v>
      </c>
    </row>
    <row r="1087" customFormat="false" ht="17.35" hidden="false" customHeight="false" outlineLevel="0" collapsed="false">
      <c r="A1087" s="8" t="n">
        <v>1086</v>
      </c>
      <c r="B1087" s="9" t="s">
        <v>2108</v>
      </c>
      <c r="C1087" s="8" t="n">
        <v>85</v>
      </c>
      <c r="D1087" s="9" t="str">
        <f aca="false">INDEX(Radicals!$B$2:$B$215,MATCH(C1087,Radicals!$A$2:$A$215,0))</f>
        <v>水</v>
      </c>
      <c r="E1087" s="10" t="str">
        <f aca="false">INDEX(Radicals!$G$2:$G$215,MATCH(C1087,Radicals!$A$2:$A$215,0))</f>
        <v>water</v>
      </c>
      <c r="F1087" s="8" t="n">
        <f aca="false">INDEX(Radicals!$D$2:$D$215,MATCH(C1087,Radicals!$A$2:$A$215,0))</f>
        <v>4</v>
      </c>
      <c r="G1087" s="8" t="n">
        <v>9</v>
      </c>
    </row>
    <row r="1088" customFormat="false" ht="17.35" hidden="false" customHeight="false" outlineLevel="0" collapsed="false">
      <c r="A1088" s="8" t="n">
        <v>1087</v>
      </c>
      <c r="B1088" s="9" t="s">
        <v>2109</v>
      </c>
      <c r="C1088" s="8" t="n">
        <v>60</v>
      </c>
      <c r="D1088" s="9" t="str">
        <f aca="false">INDEX(Radicals!$B$2:$B$215,MATCH(C1088,Radicals!$A$2:$A$215,0))</f>
        <v>彳</v>
      </c>
      <c r="E1088" s="10" t="str">
        <f aca="false">INDEX(Radicals!$G$2:$G$215,MATCH(C1088,Radicals!$A$2:$A$215,0))</f>
        <v>step, small step</v>
      </c>
      <c r="F1088" s="8" t="n">
        <f aca="false">INDEX(Radicals!$D$2:$D$215,MATCH(C1088,Radicals!$A$2:$A$215,0))</f>
        <v>3</v>
      </c>
      <c r="G1088" s="8" t="n">
        <v>12</v>
      </c>
    </row>
    <row r="1089" customFormat="false" ht="17.35" hidden="false" customHeight="false" outlineLevel="0" collapsed="false">
      <c r="A1089" s="8" t="n">
        <v>1088</v>
      </c>
      <c r="B1089" s="9" t="s">
        <v>2110</v>
      </c>
      <c r="C1089" s="8" t="n">
        <v>118</v>
      </c>
      <c r="D1089" s="9" t="str">
        <f aca="false">INDEX(Radicals!$B$2:$B$215,MATCH(C1089,Radicals!$A$2:$A$215,0))</f>
        <v>竹</v>
      </c>
      <c r="E1089" s="10" t="str">
        <f aca="false">INDEX(Radicals!$G$2:$G$215,MATCH(C1089,Radicals!$A$2:$A$215,0))</f>
        <v>bamboo</v>
      </c>
      <c r="F1089" s="8" t="n">
        <f aca="false">INDEX(Radicals!$D$2:$D$215,MATCH(C1089,Radicals!$A$2:$A$215,0))</f>
        <v>6</v>
      </c>
      <c r="G1089" s="8" t="n">
        <v>15</v>
      </c>
    </row>
    <row r="1090" customFormat="false" ht="17.35" hidden="false" customHeight="false" outlineLevel="0" collapsed="false">
      <c r="A1090" s="8" t="n">
        <v>1089</v>
      </c>
      <c r="B1090" s="9" t="s">
        <v>2111</v>
      </c>
      <c r="C1090" s="8" t="n">
        <v>170</v>
      </c>
      <c r="D1090" s="9" t="str">
        <f aca="false">INDEX(Radicals!$B$2:$B$215,MATCH(C1090,Radicals!$A$2:$A$215,0))</f>
        <v>阜</v>
      </c>
      <c r="E1090" s="10" t="str">
        <f aca="false">INDEX(Radicals!$G$2:$G$215,MATCH(C1090,Radicals!$A$2:$A$215,0))</f>
        <v>mound, hill</v>
      </c>
      <c r="F1090" s="8" t="n">
        <f aca="false">INDEX(Radicals!$D$2:$D$215,MATCH(C1090,Radicals!$A$2:$A$215,0))</f>
        <v>8</v>
      </c>
      <c r="G1090" s="8" t="n">
        <v>14</v>
      </c>
    </row>
    <row r="1091" customFormat="false" ht="17.35" hidden="false" customHeight="false" outlineLevel="0" collapsed="false">
      <c r="A1091" s="8" t="n">
        <v>1090</v>
      </c>
      <c r="B1091" s="9" t="s">
        <v>2112</v>
      </c>
      <c r="C1091" s="8" t="n">
        <v>15</v>
      </c>
      <c r="D1091" s="9" t="str">
        <f aca="false">INDEX(Radicals!$B$2:$B$215,MATCH(C1091,Radicals!$A$2:$A$215,0))</f>
        <v>冫</v>
      </c>
      <c r="E1091" s="10" t="str">
        <f aca="false">INDEX(Radicals!$G$2:$G$215,MATCH(C1091,Radicals!$A$2:$A$215,0))</f>
        <v>ice</v>
      </c>
      <c r="F1091" s="8" t="n">
        <f aca="false">INDEX(Radicals!$D$2:$D$215,MATCH(C1091,Radicals!$A$2:$A$215,0))</f>
        <v>2</v>
      </c>
      <c r="G1091" s="8" t="n">
        <v>5</v>
      </c>
    </row>
    <row r="1092" customFormat="false" ht="17.35" hidden="false" customHeight="false" outlineLevel="0" collapsed="false">
      <c r="A1092" s="8" t="n">
        <v>1091</v>
      </c>
      <c r="B1092" s="9" t="s">
        <v>2113</v>
      </c>
      <c r="C1092" s="8" t="n">
        <v>60</v>
      </c>
      <c r="D1092" s="9" t="str">
        <f aca="false">INDEX(Radicals!$B$2:$B$215,MATCH(C1092,Radicals!$A$2:$A$215,0))</f>
        <v>彳</v>
      </c>
      <c r="E1092" s="10" t="str">
        <f aca="false">INDEX(Radicals!$G$2:$G$215,MATCH(C1092,Radicals!$A$2:$A$215,0))</f>
        <v>step, small step</v>
      </c>
      <c r="F1092" s="8" t="n">
        <f aca="false">INDEX(Radicals!$D$2:$D$215,MATCH(C1092,Radicals!$A$2:$A$215,0))</f>
        <v>3</v>
      </c>
      <c r="G1092" s="8" t="n">
        <v>14</v>
      </c>
    </row>
    <row r="1093" customFormat="false" ht="17.35" hidden="false" customHeight="false" outlineLevel="0" collapsed="false">
      <c r="A1093" s="8" t="n">
        <v>1092</v>
      </c>
      <c r="B1093" s="9" t="s">
        <v>569</v>
      </c>
      <c r="C1093" s="8" t="n">
        <v>107</v>
      </c>
      <c r="D1093" s="9" t="str">
        <f aca="false">INDEX(Radicals!$B$2:$B$215,MATCH(C1093,Radicals!$A$2:$A$215,0))</f>
        <v>皮</v>
      </c>
      <c r="E1093" s="10" t="str">
        <f aca="false">INDEX(Radicals!$G$2:$G$215,MATCH(C1093,Radicals!$A$2:$A$215,0))</f>
        <v>skin, leather</v>
      </c>
      <c r="F1093" s="8" t="n">
        <f aca="false">INDEX(Radicals!$D$2:$D$215,MATCH(C1093,Radicals!$A$2:$A$215,0))</f>
        <v>5</v>
      </c>
      <c r="G1093" s="8" t="n">
        <v>5</v>
      </c>
    </row>
    <row r="1094" customFormat="false" ht="17.35" hidden="false" customHeight="false" outlineLevel="0" collapsed="false">
      <c r="A1094" s="8" t="n">
        <v>1093</v>
      </c>
      <c r="B1094" s="9" t="s">
        <v>2114</v>
      </c>
      <c r="C1094" s="8" t="n">
        <v>30</v>
      </c>
      <c r="D1094" s="9" t="str">
        <f aca="false">INDEX(Radicals!$B$2:$B$215,MATCH(C1094,Radicals!$A$2:$A$215,0))</f>
        <v>口</v>
      </c>
      <c r="E1094" s="10" t="str">
        <f aca="false">INDEX(Radicals!$G$2:$G$215,MATCH(C1094,Radicals!$A$2:$A$215,0))</f>
        <v>mouth</v>
      </c>
      <c r="F1094" s="8" t="n">
        <f aca="false">INDEX(Radicals!$D$2:$D$215,MATCH(C1094,Radicals!$A$2:$A$215,0))</f>
        <v>3</v>
      </c>
      <c r="G1094" s="8" t="n">
        <v>10</v>
      </c>
    </row>
    <row r="1095" customFormat="false" ht="17.35" hidden="false" customHeight="false" outlineLevel="0" collapsed="false">
      <c r="A1095" s="8" t="n">
        <v>1094</v>
      </c>
      <c r="B1095" s="9" t="s">
        <v>2115</v>
      </c>
      <c r="C1095" s="8" t="n">
        <v>85</v>
      </c>
      <c r="D1095" s="9" t="str">
        <f aca="false">INDEX(Radicals!$B$2:$B$215,MATCH(C1095,Radicals!$A$2:$A$215,0))</f>
        <v>水</v>
      </c>
      <c r="E1095" s="10" t="str">
        <f aca="false">INDEX(Radicals!$G$2:$G$215,MATCH(C1095,Radicals!$A$2:$A$215,0))</f>
        <v>water</v>
      </c>
      <c r="F1095" s="8" t="n">
        <f aca="false">INDEX(Radicals!$D$2:$D$215,MATCH(C1095,Radicals!$A$2:$A$215,0))</f>
        <v>4</v>
      </c>
      <c r="G1095" s="8" t="n">
        <v>14</v>
      </c>
    </row>
    <row r="1096" customFormat="false" ht="17.35" hidden="false" customHeight="false" outlineLevel="0" collapsed="false">
      <c r="A1096" s="8" t="n">
        <v>1095</v>
      </c>
      <c r="B1096" s="9" t="s">
        <v>2116</v>
      </c>
      <c r="C1096" s="8" t="n">
        <v>75</v>
      </c>
      <c r="D1096" s="9" t="str">
        <f aca="false">INDEX(Radicals!$B$2:$B$215,MATCH(C1096,Radicals!$A$2:$A$215,0))</f>
        <v>木</v>
      </c>
      <c r="E1096" s="10" t="str">
        <f aca="false">INDEX(Radicals!$G$2:$G$215,MATCH(C1096,Radicals!$A$2:$A$215,0))</f>
        <v>tree, wood</v>
      </c>
      <c r="F1096" s="8" t="n">
        <f aca="false">INDEX(Radicals!$D$2:$D$215,MATCH(C1096,Radicals!$A$2:$A$215,0))</f>
        <v>4</v>
      </c>
      <c r="G1096" s="8" t="n">
        <v>7</v>
      </c>
    </row>
    <row r="1097" customFormat="false" ht="17.35" hidden="false" customHeight="false" outlineLevel="0" collapsed="false">
      <c r="A1097" s="8" t="n">
        <v>1096</v>
      </c>
      <c r="B1097" s="9" t="s">
        <v>872</v>
      </c>
      <c r="C1097" s="8" t="n">
        <v>166</v>
      </c>
      <c r="D1097" s="9" t="str">
        <f aca="false">INDEX(Radicals!$B$2:$B$215,MATCH(C1097,Radicals!$A$2:$A$215,0))</f>
        <v>里</v>
      </c>
      <c r="E1097" s="10" t="str">
        <f aca="false">INDEX(Radicals!$G$2:$G$215,MATCH(C1097,Radicals!$A$2:$A$215,0))</f>
        <v>village, ri (distance)</v>
      </c>
      <c r="F1097" s="8" t="n">
        <f aca="false">INDEX(Radicals!$D$2:$D$215,MATCH(C1097,Radicals!$A$2:$A$215,0))</f>
        <v>7</v>
      </c>
      <c r="G1097" s="8" t="n">
        <v>7</v>
      </c>
    </row>
    <row r="1098" customFormat="false" ht="17.35" hidden="false" customHeight="false" outlineLevel="0" collapsed="false">
      <c r="A1098" s="8" t="n">
        <v>1097</v>
      </c>
      <c r="B1098" s="9" t="s">
        <v>871</v>
      </c>
      <c r="C1098" s="8" t="n">
        <v>165</v>
      </c>
      <c r="D1098" s="9" t="str">
        <f aca="false">INDEX(Radicals!$B$2:$B$215,MATCH(C1098,Radicals!$A$2:$A$215,0))</f>
        <v>釆</v>
      </c>
      <c r="E1098" s="10" t="str">
        <f aca="false">INDEX(Radicals!$G$2:$G$215,MATCH(C1098,Radicals!$A$2:$A$215,0))</f>
        <v>distinguish, harvest</v>
      </c>
      <c r="F1098" s="8" t="n">
        <f aca="false">INDEX(Radicals!$D$2:$D$215,MATCH(C1098,Radicals!$A$2:$A$215,0))</f>
        <v>7</v>
      </c>
      <c r="G1098" s="8" t="n">
        <v>11</v>
      </c>
    </row>
    <row r="1099" customFormat="false" ht="17.35" hidden="false" customHeight="false" outlineLevel="0" collapsed="false">
      <c r="A1099" s="8" t="n">
        <v>1098</v>
      </c>
      <c r="B1099" s="9" t="s">
        <v>269</v>
      </c>
      <c r="C1099" s="8" t="n">
        <v>49</v>
      </c>
      <c r="D1099" s="9" t="str">
        <f aca="false">INDEX(Radicals!$B$2:$B$215,MATCH(C1099,Radicals!$A$2:$A$215,0))</f>
        <v>己</v>
      </c>
      <c r="E1099" s="10" t="str">
        <f aca="false">INDEX(Radicals!$G$2:$G$215,MATCH(C1099,Radicals!$A$2:$A$215,0))</f>
        <v>oneself</v>
      </c>
      <c r="F1099" s="8" t="n">
        <f aca="false">INDEX(Radicals!$D$2:$D$215,MATCH(C1099,Radicals!$A$2:$A$215,0))</f>
        <v>3</v>
      </c>
      <c r="G1099" s="8" t="n">
        <v>3</v>
      </c>
    </row>
    <row r="1100" customFormat="false" ht="17.35" hidden="false" customHeight="false" outlineLevel="0" collapsed="false">
      <c r="A1100" s="8" t="n">
        <v>1099</v>
      </c>
      <c r="B1100" s="9" t="s">
        <v>2117</v>
      </c>
      <c r="C1100" s="8" t="n">
        <v>140</v>
      </c>
      <c r="D1100" s="9" t="str">
        <f aca="false">INDEX(Radicals!$B$2:$B$215,MATCH(C1100,Radicals!$A$2:$A$215,0))</f>
        <v>艸</v>
      </c>
      <c r="E1100" s="10" t="str">
        <f aca="false">INDEX(Radicals!$G$2:$G$215,MATCH(C1100,Radicals!$A$2:$A$215,0))</f>
        <v>grass, plant</v>
      </c>
      <c r="F1100" s="8" t="n">
        <f aca="false">INDEX(Radicals!$D$2:$D$215,MATCH(C1100,Radicals!$A$2:$A$215,0))</f>
        <v>6</v>
      </c>
      <c r="G1100" s="8" t="n">
        <v>9</v>
      </c>
    </row>
    <row r="1101" customFormat="false" ht="17.35" hidden="false" customHeight="false" outlineLevel="0" collapsed="false">
      <c r="A1101" s="8" t="n">
        <v>1100</v>
      </c>
      <c r="B1101" s="9" t="s">
        <v>2118</v>
      </c>
      <c r="C1101" s="8" t="n">
        <v>154</v>
      </c>
      <c r="D1101" s="9" t="str">
        <f aca="false">INDEX(Radicals!$B$2:$B$215,MATCH(C1101,Radicals!$A$2:$A$215,0))</f>
        <v>貝</v>
      </c>
      <c r="E1101" s="10" t="str">
        <f aca="false">INDEX(Radicals!$G$2:$G$215,MATCH(C1101,Radicals!$A$2:$A$215,0))</f>
        <v>shell, money</v>
      </c>
      <c r="F1101" s="8" t="n">
        <f aca="false">INDEX(Radicals!$D$2:$D$215,MATCH(C1101,Radicals!$A$2:$A$215,0))</f>
        <v>7</v>
      </c>
      <c r="G1101" s="8" t="n">
        <v>12</v>
      </c>
    </row>
    <row r="1102" customFormat="false" ht="17.35" hidden="false" customHeight="false" outlineLevel="0" collapsed="false">
      <c r="A1102" s="8" t="n">
        <v>1101</v>
      </c>
      <c r="B1102" s="9" t="s">
        <v>2119</v>
      </c>
      <c r="C1102" s="8" t="n">
        <v>112</v>
      </c>
      <c r="D1102" s="9" t="str">
        <f aca="false">INDEX(Radicals!$B$2:$B$215,MATCH(C1102,Radicals!$A$2:$A$215,0))</f>
        <v>石</v>
      </c>
      <c r="E1102" s="10" t="str">
        <f aca="false">INDEX(Radicals!$G$2:$G$215,MATCH(C1102,Radicals!$A$2:$A$215,0))</f>
        <v>stone</v>
      </c>
      <c r="F1102" s="8" t="n">
        <f aca="false">INDEX(Radicals!$D$2:$D$215,MATCH(C1102,Radicals!$A$2:$A$215,0))</f>
        <v>5</v>
      </c>
      <c r="G1102" s="8" t="n">
        <v>12</v>
      </c>
    </row>
    <row r="1103" customFormat="false" ht="17.35" hidden="false" customHeight="false" outlineLevel="0" collapsed="false">
      <c r="A1103" s="8" t="n">
        <v>1102</v>
      </c>
      <c r="B1103" s="9" t="s">
        <v>2120</v>
      </c>
      <c r="C1103" s="8" t="n">
        <v>38</v>
      </c>
      <c r="D1103" s="9" t="str">
        <f aca="false">INDEX(Radicals!$B$2:$B$215,MATCH(C1103,Radicals!$A$2:$A$215,0))</f>
        <v>女</v>
      </c>
      <c r="E1103" s="10" t="str">
        <f aca="false">INDEX(Radicals!$G$2:$G$215,MATCH(C1103,Radicals!$A$2:$A$215,0))</f>
        <v>woman</v>
      </c>
      <c r="F1103" s="8" t="n">
        <f aca="false">INDEX(Radicals!$D$2:$D$215,MATCH(C1103,Radicals!$A$2:$A$215,0))</f>
        <v>3</v>
      </c>
      <c r="G1103" s="8" t="n">
        <v>7</v>
      </c>
    </row>
    <row r="1104" customFormat="false" ht="17.35" hidden="false" customHeight="false" outlineLevel="0" collapsed="false">
      <c r="A1104" s="8" t="n">
        <v>1103</v>
      </c>
      <c r="B1104" s="9" t="s">
        <v>2121</v>
      </c>
      <c r="C1104" s="8" t="n">
        <v>38</v>
      </c>
      <c r="D1104" s="9" t="str">
        <f aca="false">INDEX(Radicals!$B$2:$B$215,MATCH(C1104,Radicals!$A$2:$A$215,0))</f>
        <v>女</v>
      </c>
      <c r="E1104" s="10" t="str">
        <f aca="false">INDEX(Radicals!$G$2:$G$215,MATCH(C1104,Radicals!$A$2:$A$215,0))</f>
        <v>woman</v>
      </c>
      <c r="F1104" s="8" t="n">
        <f aca="false">INDEX(Radicals!$D$2:$D$215,MATCH(C1104,Radicals!$A$2:$A$215,0))</f>
        <v>3</v>
      </c>
      <c r="G1104" s="8" t="n">
        <v>9</v>
      </c>
    </row>
    <row r="1105" customFormat="false" ht="17.35" hidden="false" customHeight="false" outlineLevel="0" collapsed="false">
      <c r="A1105" s="8" t="n">
        <v>1104</v>
      </c>
      <c r="B1105" s="9" t="s">
        <v>2122</v>
      </c>
      <c r="C1105" s="8" t="n">
        <v>152</v>
      </c>
      <c r="D1105" s="9" t="str">
        <f aca="false">INDEX(Radicals!$B$2:$B$215,MATCH(C1105,Radicals!$A$2:$A$215,0))</f>
        <v>豕</v>
      </c>
      <c r="E1105" s="10" t="str">
        <f aca="false">INDEX(Radicals!$G$2:$G$215,MATCH(C1105,Radicals!$A$2:$A$215,0))</f>
        <v>pig</v>
      </c>
      <c r="F1105" s="8" t="n">
        <f aca="false">INDEX(Radicals!$D$2:$D$215,MATCH(C1105,Radicals!$A$2:$A$215,0))</f>
        <v>7</v>
      </c>
      <c r="G1105" s="8" t="n">
        <v>14</v>
      </c>
    </row>
    <row r="1106" customFormat="false" ht="17.35" hidden="false" customHeight="false" outlineLevel="0" collapsed="false">
      <c r="A1106" s="8" t="n">
        <v>1105</v>
      </c>
      <c r="B1106" s="9" t="s">
        <v>2123</v>
      </c>
      <c r="C1106" s="8" t="n">
        <v>86</v>
      </c>
      <c r="D1106" s="9" t="str">
        <f aca="false">INDEX(Radicals!$B$2:$B$215,MATCH(C1106,Radicals!$A$2:$A$215,0))</f>
        <v>火</v>
      </c>
      <c r="E1106" s="10" t="str">
        <f aca="false">INDEX(Radicals!$G$2:$G$215,MATCH(C1106,Radicals!$A$2:$A$215,0))</f>
        <v>fire</v>
      </c>
      <c r="F1106" s="8" t="n">
        <f aca="false">INDEX(Radicals!$D$2:$D$215,MATCH(C1106,Radicals!$A$2:$A$215,0))</f>
        <v>4</v>
      </c>
      <c r="G1106" s="8" t="n">
        <v>14</v>
      </c>
    </row>
    <row r="1107" customFormat="false" ht="17.35" hidden="false" customHeight="false" outlineLevel="0" collapsed="false">
      <c r="A1107" s="8" t="n">
        <v>1106</v>
      </c>
      <c r="B1107" s="9" t="s">
        <v>1088</v>
      </c>
      <c r="C1107" s="8" t="n">
        <v>77</v>
      </c>
      <c r="D1107" s="9" t="str">
        <f aca="false">INDEX(Radicals!$B$2:$B$215,MATCH(C1107,Radicals!$A$2:$A$215,0))</f>
        <v>止</v>
      </c>
      <c r="E1107" s="10" t="str">
        <f aca="false">INDEX(Radicals!$G$2:$G$215,MATCH(C1107,Radicals!$A$2:$A$215,0))</f>
        <v>stop</v>
      </c>
      <c r="F1107" s="8" t="n">
        <f aca="false">INDEX(Radicals!$D$2:$D$215,MATCH(C1107,Radicals!$A$2:$A$215,0))</f>
        <v>4</v>
      </c>
      <c r="G1107" s="8" t="n">
        <v>12</v>
      </c>
    </row>
    <row r="1108" customFormat="false" ht="17.35" hidden="false" customHeight="false" outlineLevel="0" collapsed="false">
      <c r="A1108" s="8" t="n">
        <v>1107</v>
      </c>
      <c r="B1108" s="9" t="s">
        <v>2124</v>
      </c>
      <c r="C1108" s="8" t="n">
        <v>85</v>
      </c>
      <c r="D1108" s="9" t="str">
        <f aca="false">INDEX(Radicals!$B$2:$B$215,MATCH(C1108,Radicals!$A$2:$A$215,0))</f>
        <v>水</v>
      </c>
      <c r="E1108" s="10" t="str">
        <f aca="false">INDEX(Radicals!$G$2:$G$215,MATCH(C1108,Radicals!$A$2:$A$215,0))</f>
        <v>water</v>
      </c>
      <c r="F1108" s="8" t="n">
        <f aca="false">INDEX(Radicals!$D$2:$D$215,MATCH(C1108,Radicals!$A$2:$A$215,0))</f>
        <v>4</v>
      </c>
      <c r="G1108" s="8" t="n">
        <v>13</v>
      </c>
    </row>
    <row r="1109" customFormat="false" ht="17.35" hidden="false" customHeight="false" outlineLevel="0" collapsed="false">
      <c r="A1109" s="8" t="n">
        <v>1108</v>
      </c>
      <c r="B1109" s="9" t="s">
        <v>2125</v>
      </c>
      <c r="C1109" s="8" t="n">
        <v>60</v>
      </c>
      <c r="D1109" s="9" t="str">
        <f aca="false">INDEX(Radicals!$B$2:$B$215,MATCH(C1109,Radicals!$A$2:$A$215,0))</f>
        <v>彳</v>
      </c>
      <c r="E1109" s="10" t="str">
        <f aca="false">INDEX(Radicals!$G$2:$G$215,MATCH(C1109,Radicals!$A$2:$A$215,0))</f>
        <v>step, small step</v>
      </c>
      <c r="F1109" s="8" t="n">
        <f aca="false">INDEX(Radicals!$D$2:$D$215,MATCH(C1109,Radicals!$A$2:$A$215,0))</f>
        <v>3</v>
      </c>
      <c r="G1109" s="8" t="n">
        <v>13</v>
      </c>
    </row>
    <row r="1110" customFormat="false" ht="17.35" hidden="false" customHeight="false" outlineLevel="0" collapsed="false">
      <c r="A1110" s="8" t="n">
        <v>1109</v>
      </c>
      <c r="B1110" s="9" t="s">
        <v>2126</v>
      </c>
      <c r="C1110" s="8" t="n">
        <v>170</v>
      </c>
      <c r="D1110" s="9" t="str">
        <f aca="false">INDEX(Radicals!$B$2:$B$215,MATCH(C1110,Radicals!$A$2:$A$215,0))</f>
        <v>阜</v>
      </c>
      <c r="E1110" s="10" t="str">
        <f aca="false">INDEX(Radicals!$G$2:$G$215,MATCH(C1110,Radicals!$A$2:$A$215,0))</f>
        <v>mound, hill</v>
      </c>
      <c r="F1110" s="8" t="n">
        <f aca="false">INDEX(Radicals!$D$2:$D$215,MATCH(C1110,Radicals!$A$2:$A$215,0))</f>
        <v>8</v>
      </c>
      <c r="G1110" s="8" t="n">
        <v>11</v>
      </c>
    </row>
    <row r="1111" customFormat="false" ht="17.35" hidden="false" customHeight="false" outlineLevel="0" collapsed="false">
      <c r="A1111" s="8" t="n">
        <v>1110</v>
      </c>
      <c r="B1111" s="9" t="s">
        <v>2127</v>
      </c>
      <c r="C1111" s="8" t="n">
        <v>32</v>
      </c>
      <c r="D1111" s="9" t="str">
        <f aca="false">INDEX(Radicals!$B$2:$B$215,MATCH(C1111,Radicals!$A$2:$A$215,0))</f>
        <v>土</v>
      </c>
      <c r="E1111" s="10" t="str">
        <f aca="false">INDEX(Radicals!$G$2:$G$215,MATCH(C1111,Radicals!$A$2:$A$215,0))</f>
        <v>earth, soil</v>
      </c>
      <c r="F1111" s="8" t="n">
        <f aca="false">INDEX(Radicals!$D$2:$D$215,MATCH(C1111,Radicals!$A$2:$A$215,0))</f>
        <v>3</v>
      </c>
      <c r="G1111" s="8" t="n">
        <v>10</v>
      </c>
    </row>
    <row r="1112" customFormat="false" ht="17.35" hidden="false" customHeight="false" outlineLevel="0" collapsed="false">
      <c r="A1112" s="8" t="n">
        <v>1111</v>
      </c>
      <c r="B1112" s="9" t="s">
        <v>2128</v>
      </c>
      <c r="C1112" s="8" t="n">
        <v>104</v>
      </c>
      <c r="D1112" s="9" t="str">
        <f aca="false">INDEX(Radicals!$B$2:$B$215,MATCH(C1112,Radicals!$A$2:$A$215,0))</f>
        <v>疒</v>
      </c>
      <c r="E1112" s="10" t="str">
        <f aca="false">INDEX(Radicals!$G$2:$G$215,MATCH(C1112,Radicals!$A$2:$A$215,0))</f>
        <v>sickness</v>
      </c>
      <c r="F1112" s="8" t="n">
        <f aca="false">INDEX(Radicals!$D$2:$D$215,MATCH(C1112,Radicals!$A$2:$A$215,0))</f>
        <v>5</v>
      </c>
      <c r="G1112" s="8" t="n">
        <v>10</v>
      </c>
    </row>
    <row r="1113" customFormat="false" ht="17.35" hidden="false" customHeight="false" outlineLevel="0" collapsed="false">
      <c r="A1113" s="8" t="n">
        <v>1112</v>
      </c>
      <c r="B1113" s="9" t="s">
        <v>2129</v>
      </c>
      <c r="C1113" s="8" t="n">
        <v>72</v>
      </c>
      <c r="D1113" s="9" t="str">
        <f aca="false">INDEX(Radicals!$B$2:$B$215,MATCH(C1113,Radicals!$A$2:$A$215,0))</f>
        <v>日</v>
      </c>
      <c r="E1113" s="10" t="str">
        <f aca="false">INDEX(Radicals!$G$2:$G$215,MATCH(C1113,Radicals!$A$2:$A$215,0))</f>
        <v>sun, day</v>
      </c>
      <c r="F1113" s="8" t="n">
        <f aca="false">INDEX(Radicals!$D$2:$D$215,MATCH(C1113,Radicals!$A$2:$A$215,0))</f>
        <v>4</v>
      </c>
      <c r="G1113" s="8" t="n">
        <v>15</v>
      </c>
    </row>
    <row r="1114" customFormat="false" ht="17.35" hidden="false" customHeight="false" outlineLevel="0" collapsed="false">
      <c r="A1114" s="8" t="n">
        <v>1113</v>
      </c>
      <c r="B1114" s="9" t="s">
        <v>2130</v>
      </c>
      <c r="C1114" s="8" t="n">
        <v>61</v>
      </c>
      <c r="D1114" s="9" t="str">
        <f aca="false">INDEX(Radicals!$B$2:$B$215,MATCH(C1114,Radicals!$A$2:$A$215,0))</f>
        <v>心</v>
      </c>
      <c r="E1114" s="10" t="str">
        <f aca="false">INDEX(Radicals!$G$2:$G$215,MATCH(C1114,Radicals!$A$2:$A$215,0))</f>
        <v>heart, mind</v>
      </c>
      <c r="F1114" s="8" t="n">
        <f aca="false">INDEX(Radicals!$D$2:$D$215,MATCH(C1114,Radicals!$A$2:$A$215,0))</f>
        <v>4</v>
      </c>
      <c r="G1114" s="8" t="n">
        <v>8</v>
      </c>
    </row>
    <row r="1115" customFormat="false" ht="17.35" hidden="false" customHeight="false" outlineLevel="0" collapsed="false">
      <c r="A1115" s="8" t="n">
        <v>1114</v>
      </c>
      <c r="B1115" s="9" t="s">
        <v>2131</v>
      </c>
      <c r="C1115" s="8" t="n">
        <v>9</v>
      </c>
      <c r="D1115" s="9" t="str">
        <f aca="false">INDEX(Radicals!$B$2:$B$215,MATCH(C1115,Radicals!$A$2:$A$215,0))</f>
        <v>人</v>
      </c>
      <c r="E1115" s="10" t="str">
        <f aca="false">INDEX(Radicals!$G$2:$G$215,MATCH(C1115,Radicals!$A$2:$A$215,0))</f>
        <v>person</v>
      </c>
      <c r="F1115" s="8" t="n">
        <f aca="false">INDEX(Radicals!$D$2:$D$215,MATCH(C1115,Radicals!$A$2:$A$215,0))</f>
        <v>2</v>
      </c>
      <c r="G1115" s="8" t="n">
        <v>10</v>
      </c>
    </row>
    <row r="1116" customFormat="false" ht="17.35" hidden="false" customHeight="false" outlineLevel="0" collapsed="false">
      <c r="A1116" s="8" t="n">
        <v>1115</v>
      </c>
      <c r="B1116" s="9" t="s">
        <v>2132</v>
      </c>
      <c r="C1116" s="8" t="n">
        <v>72</v>
      </c>
      <c r="D1116" s="9" t="str">
        <f aca="false">INDEX(Radicals!$B$2:$B$215,MATCH(C1116,Radicals!$A$2:$A$215,0))</f>
        <v>日</v>
      </c>
      <c r="E1116" s="10" t="str">
        <f aca="false">INDEX(Radicals!$G$2:$G$215,MATCH(C1116,Radicals!$A$2:$A$215,0))</f>
        <v>sun, day</v>
      </c>
      <c r="F1116" s="8" t="n">
        <f aca="false">INDEX(Radicals!$D$2:$D$215,MATCH(C1116,Radicals!$A$2:$A$215,0))</f>
        <v>4</v>
      </c>
      <c r="G1116" s="8" t="n">
        <v>9</v>
      </c>
    </row>
    <row r="1117" customFormat="false" ht="17.35" hidden="false" customHeight="false" outlineLevel="0" collapsed="false">
      <c r="A1117" s="8" t="n">
        <v>1116</v>
      </c>
      <c r="B1117" s="9" t="s">
        <v>2133</v>
      </c>
      <c r="C1117" s="8" t="n">
        <v>140</v>
      </c>
      <c r="D1117" s="9" t="str">
        <f aca="false">INDEX(Radicals!$B$2:$B$215,MATCH(C1117,Radicals!$A$2:$A$215,0))</f>
        <v>艸</v>
      </c>
      <c r="E1117" s="10" t="str">
        <f aca="false">INDEX(Radicals!$G$2:$G$215,MATCH(C1117,Radicals!$A$2:$A$215,0))</f>
        <v>grass, plant</v>
      </c>
      <c r="F1117" s="8" t="n">
        <f aca="false">INDEX(Radicals!$D$2:$D$215,MATCH(C1117,Radicals!$A$2:$A$215,0))</f>
        <v>6</v>
      </c>
      <c r="G1117" s="8" t="n">
        <v>9</v>
      </c>
    </row>
    <row r="1118" customFormat="false" ht="17.35" hidden="false" customHeight="false" outlineLevel="0" collapsed="false">
      <c r="A1118" s="8" t="n">
        <v>1117</v>
      </c>
      <c r="B1118" s="9" t="s">
        <v>2134</v>
      </c>
      <c r="C1118" s="8" t="n">
        <v>59</v>
      </c>
      <c r="D1118" s="9" t="str">
        <f aca="false">INDEX(Radicals!$B$2:$B$215,MATCH(C1118,Radicals!$A$2:$A$215,0))</f>
        <v>彡</v>
      </c>
      <c r="E1118" s="10" t="str">
        <f aca="false">INDEX(Radicals!$G$2:$G$215,MATCH(C1118,Radicals!$A$2:$A$215,0))</f>
        <v>bristle, hair, shadow</v>
      </c>
      <c r="F1118" s="8" t="n">
        <f aca="false">INDEX(Radicals!$D$2:$D$215,MATCH(C1118,Radicals!$A$2:$A$215,0))</f>
        <v>3</v>
      </c>
      <c r="G1118" s="8" t="n">
        <v>9</v>
      </c>
    </row>
    <row r="1119" customFormat="false" ht="17.35" hidden="false" customHeight="false" outlineLevel="0" collapsed="false">
      <c r="A1119" s="8" t="n">
        <v>1118</v>
      </c>
      <c r="B1119" s="9" t="s">
        <v>2135</v>
      </c>
      <c r="C1119" s="8" t="n">
        <v>130</v>
      </c>
      <c r="D1119" s="9" t="str">
        <f aca="false">INDEX(Radicals!$B$2:$B$215,MATCH(C1119,Radicals!$A$2:$A$215,0))</f>
        <v>肉</v>
      </c>
      <c r="E1119" s="10" t="str">
        <f aca="false">INDEX(Radicals!$G$2:$G$215,MATCH(C1119,Radicals!$A$2:$A$215,0))</f>
        <v>meat, flesh</v>
      </c>
      <c r="F1119" s="8" t="n">
        <f aca="false">INDEX(Radicals!$D$2:$D$215,MATCH(C1119,Radicals!$A$2:$A$215,0))</f>
        <v>6</v>
      </c>
      <c r="G1119" s="8" t="n">
        <v>7</v>
      </c>
    </row>
    <row r="1120" customFormat="false" ht="17.35" hidden="false" customHeight="false" outlineLevel="0" collapsed="false">
      <c r="A1120" s="8" t="n">
        <v>1119</v>
      </c>
      <c r="B1120" s="9" t="s">
        <v>2136</v>
      </c>
      <c r="C1120" s="8" t="n">
        <v>75</v>
      </c>
      <c r="D1120" s="9" t="str">
        <f aca="false">INDEX(Radicals!$B$2:$B$215,MATCH(C1120,Radicals!$A$2:$A$215,0))</f>
        <v>木</v>
      </c>
      <c r="E1120" s="10" t="str">
        <f aca="false">INDEX(Radicals!$G$2:$G$215,MATCH(C1120,Radicals!$A$2:$A$215,0))</f>
        <v>tree, wood</v>
      </c>
      <c r="F1120" s="8" t="n">
        <f aca="false">INDEX(Radicals!$D$2:$D$215,MATCH(C1120,Radicals!$A$2:$A$215,0))</f>
        <v>4</v>
      </c>
      <c r="G1120" s="8" t="n">
        <v>9</v>
      </c>
    </row>
    <row r="1121" customFormat="false" ht="17.35" hidden="false" customHeight="false" outlineLevel="0" collapsed="false">
      <c r="A1121" s="8" t="n">
        <v>1120</v>
      </c>
      <c r="B1121" s="9" t="s">
        <v>2137</v>
      </c>
      <c r="C1121" s="8" t="n">
        <v>30</v>
      </c>
      <c r="D1121" s="9" t="str">
        <f aca="false">INDEX(Radicals!$B$2:$B$215,MATCH(C1121,Radicals!$A$2:$A$215,0))</f>
        <v>口</v>
      </c>
      <c r="E1121" s="10" t="str">
        <f aca="false">INDEX(Radicals!$G$2:$G$215,MATCH(C1121,Radicals!$A$2:$A$215,0))</f>
        <v>mouth</v>
      </c>
      <c r="F1121" s="8" t="n">
        <f aca="false">INDEX(Radicals!$D$2:$D$215,MATCH(C1121,Radicals!$A$2:$A$215,0))</f>
        <v>3</v>
      </c>
      <c r="G1121" s="8" t="n">
        <v>12</v>
      </c>
    </row>
    <row r="1122" customFormat="false" ht="17.35" hidden="false" customHeight="false" outlineLevel="0" collapsed="false">
      <c r="A1122" s="8" t="n">
        <v>1121</v>
      </c>
      <c r="B1122" s="9" t="s">
        <v>2138</v>
      </c>
      <c r="C1122" s="8" t="n">
        <v>85</v>
      </c>
      <c r="D1122" s="9" t="str">
        <f aca="false">INDEX(Radicals!$B$2:$B$215,MATCH(C1122,Radicals!$A$2:$A$215,0))</f>
        <v>水</v>
      </c>
      <c r="E1122" s="10" t="str">
        <f aca="false">INDEX(Radicals!$G$2:$G$215,MATCH(C1122,Radicals!$A$2:$A$215,0))</f>
        <v>water</v>
      </c>
      <c r="F1122" s="8" t="n">
        <f aca="false">INDEX(Radicals!$D$2:$D$215,MATCH(C1122,Radicals!$A$2:$A$215,0))</f>
        <v>4</v>
      </c>
      <c r="G1122" s="8" t="n">
        <v>8</v>
      </c>
    </row>
    <row r="1123" customFormat="false" ht="17.35" hidden="false" customHeight="false" outlineLevel="0" collapsed="false">
      <c r="A1123" s="8" t="n">
        <v>1122</v>
      </c>
      <c r="B1123" s="9" t="s">
        <v>2139</v>
      </c>
      <c r="C1123" s="8" t="n">
        <v>38</v>
      </c>
      <c r="D1123" s="9" t="str">
        <f aca="false">INDEX(Radicals!$B$2:$B$215,MATCH(C1123,Radicals!$A$2:$A$215,0))</f>
        <v>女</v>
      </c>
      <c r="E1123" s="10" t="str">
        <f aca="false">INDEX(Radicals!$G$2:$G$215,MATCH(C1123,Radicals!$A$2:$A$215,0))</f>
        <v>woman</v>
      </c>
      <c r="F1123" s="8" t="n">
        <f aca="false">INDEX(Radicals!$D$2:$D$215,MATCH(C1123,Radicals!$A$2:$A$215,0))</f>
        <v>3</v>
      </c>
      <c r="G1123" s="8" t="n">
        <v>7</v>
      </c>
    </row>
    <row r="1124" customFormat="false" ht="17.35" hidden="false" customHeight="false" outlineLevel="0" collapsed="false">
      <c r="A1124" s="8" t="n">
        <v>1123</v>
      </c>
      <c r="B1124" s="9" t="s">
        <v>2140</v>
      </c>
      <c r="C1124" s="8" t="n">
        <v>30</v>
      </c>
      <c r="D1124" s="9" t="str">
        <f aca="false">INDEX(Radicals!$B$2:$B$215,MATCH(C1124,Radicals!$A$2:$A$215,0))</f>
        <v>口</v>
      </c>
      <c r="E1124" s="10" t="str">
        <f aca="false">INDEX(Radicals!$G$2:$G$215,MATCH(C1124,Radicals!$A$2:$A$215,0))</f>
        <v>mouth</v>
      </c>
      <c r="F1124" s="8" t="n">
        <f aca="false">INDEX(Radicals!$D$2:$D$215,MATCH(C1124,Radicals!$A$2:$A$215,0))</f>
        <v>3</v>
      </c>
      <c r="G1124" s="8" t="n">
        <v>11</v>
      </c>
    </row>
    <row r="1125" customFormat="false" ht="17.35" hidden="false" customHeight="false" outlineLevel="0" collapsed="false">
      <c r="A1125" s="8" t="n">
        <v>1124</v>
      </c>
      <c r="B1125" s="9" t="s">
        <v>2141</v>
      </c>
      <c r="C1125" s="8" t="n">
        <v>113</v>
      </c>
      <c r="D1125" s="9" t="str">
        <f aca="false">INDEX(Radicals!$B$2:$B$215,MATCH(C1125,Radicals!$A$2:$A$215,0))</f>
        <v>示</v>
      </c>
      <c r="E1125" s="10" t="str">
        <f aca="false">INDEX(Radicals!$G$2:$G$215,MATCH(C1125,Radicals!$A$2:$A$215,0))</f>
        <v>spirit, altar, show</v>
      </c>
      <c r="F1125" s="8" t="n">
        <f aca="false">INDEX(Radicals!$D$2:$D$215,MATCH(C1125,Radicals!$A$2:$A$215,0))</f>
        <v>5</v>
      </c>
      <c r="G1125" s="8" t="n">
        <v>11</v>
      </c>
    </row>
    <row r="1126" customFormat="false" ht="17.35" hidden="false" customHeight="false" outlineLevel="0" collapsed="false">
      <c r="A1126" s="8" t="n">
        <v>1125</v>
      </c>
      <c r="B1126" s="9" t="s">
        <v>2142</v>
      </c>
      <c r="C1126" s="8" t="n">
        <v>145</v>
      </c>
      <c r="D1126" s="9" t="str">
        <f aca="false">INDEX(Radicals!$B$2:$B$215,MATCH(C1126,Radicals!$A$2:$A$215,0))</f>
        <v>衣</v>
      </c>
      <c r="E1126" s="10" t="str">
        <f aca="false">INDEX(Radicals!$G$2:$G$215,MATCH(C1126,Radicals!$A$2:$A$215,0))</f>
        <v>clothes</v>
      </c>
      <c r="F1126" s="8" t="n">
        <f aca="false">INDEX(Radicals!$D$2:$D$215,MATCH(C1126,Radicals!$A$2:$A$215,0))</f>
        <v>6</v>
      </c>
      <c r="G1126" s="8" t="n">
        <v>11</v>
      </c>
    </row>
    <row r="1127" customFormat="false" ht="17.35" hidden="false" customHeight="false" outlineLevel="0" collapsed="false">
      <c r="A1127" s="8" t="n">
        <v>1126</v>
      </c>
      <c r="B1127" s="9" t="s">
        <v>2143</v>
      </c>
      <c r="C1127" s="8" t="n">
        <v>170</v>
      </c>
      <c r="D1127" s="9" t="str">
        <f aca="false">INDEX(Radicals!$B$2:$B$215,MATCH(C1127,Radicals!$A$2:$A$215,0))</f>
        <v>阜</v>
      </c>
      <c r="E1127" s="10" t="str">
        <f aca="false">INDEX(Radicals!$G$2:$G$215,MATCH(C1127,Radicals!$A$2:$A$215,0))</f>
        <v>mound, hill</v>
      </c>
      <c r="F1127" s="8" t="n">
        <f aca="false">INDEX(Radicals!$D$2:$D$215,MATCH(C1127,Radicals!$A$2:$A$215,0))</f>
        <v>8</v>
      </c>
      <c r="G1127" s="8" t="n">
        <v>8</v>
      </c>
    </row>
    <row r="1128" customFormat="false" ht="17.35" hidden="false" customHeight="false" outlineLevel="0" collapsed="false">
      <c r="A1128" s="8" t="n">
        <v>1127</v>
      </c>
      <c r="B1128" s="9" t="s">
        <v>2144</v>
      </c>
      <c r="C1128" s="8" t="n">
        <v>120</v>
      </c>
      <c r="D1128" s="9" t="str">
        <f aca="false">INDEX(Radicals!$B$2:$B$215,MATCH(C1128,Radicals!$A$2:$A$215,0))</f>
        <v>糸</v>
      </c>
      <c r="E1128" s="10" t="str">
        <f aca="false">INDEX(Radicals!$G$2:$G$215,MATCH(C1128,Radicals!$A$2:$A$215,0))</f>
        <v>thread, silk</v>
      </c>
      <c r="F1128" s="8" t="n">
        <f aca="false">INDEX(Radicals!$D$2:$D$215,MATCH(C1128,Radicals!$A$2:$A$215,0))</f>
        <v>6</v>
      </c>
      <c r="G1128" s="8" t="n">
        <v>10</v>
      </c>
    </row>
    <row r="1129" customFormat="false" ht="17.35" hidden="false" customHeight="false" outlineLevel="0" collapsed="false">
      <c r="A1129" s="8" t="n">
        <v>1128</v>
      </c>
      <c r="B1129" s="9" t="s">
        <v>2145</v>
      </c>
      <c r="C1129" s="8" t="n">
        <v>149</v>
      </c>
      <c r="D1129" s="9" t="str">
        <f aca="false">INDEX(Radicals!$B$2:$B$215,MATCH(C1129,Radicals!$A$2:$A$215,0))</f>
        <v>言</v>
      </c>
      <c r="E1129" s="10" t="str">
        <f aca="false">INDEX(Radicals!$G$2:$G$215,MATCH(C1129,Radicals!$A$2:$A$215,0))</f>
        <v>speech, say</v>
      </c>
      <c r="F1129" s="8" t="n">
        <f aca="false">INDEX(Radicals!$D$2:$D$215,MATCH(C1129,Radicals!$A$2:$A$215,0))</f>
        <v>7</v>
      </c>
      <c r="G1129" s="8" t="n">
        <v>13</v>
      </c>
    </row>
    <row r="1130" customFormat="false" ht="17.35" hidden="false" customHeight="false" outlineLevel="0" collapsed="false">
      <c r="A1130" s="8" t="n">
        <v>1129</v>
      </c>
      <c r="B1130" s="9" t="s">
        <v>2146</v>
      </c>
      <c r="C1130" s="8" t="n">
        <v>61</v>
      </c>
      <c r="D1130" s="9" t="str">
        <f aca="false">INDEX(Radicals!$B$2:$B$215,MATCH(C1130,Radicals!$A$2:$A$215,0))</f>
        <v>心</v>
      </c>
      <c r="E1130" s="10" t="str">
        <f aca="false">INDEX(Radicals!$G$2:$G$215,MATCH(C1130,Radicals!$A$2:$A$215,0))</f>
        <v>heart, mind</v>
      </c>
      <c r="F1130" s="8" t="n">
        <f aca="false">INDEX(Radicals!$D$2:$D$215,MATCH(C1130,Radicals!$A$2:$A$215,0))</f>
        <v>4</v>
      </c>
      <c r="G1130" s="8" t="n">
        <v>7</v>
      </c>
    </row>
    <row r="1131" customFormat="false" ht="17.35" hidden="false" customHeight="false" outlineLevel="0" collapsed="false">
      <c r="A1131" s="8" t="n">
        <v>1130</v>
      </c>
      <c r="B1131" s="9" t="s">
        <v>2147</v>
      </c>
      <c r="C1131" s="8" t="n">
        <v>145</v>
      </c>
      <c r="D1131" s="9" t="str">
        <f aca="false">INDEX(Radicals!$B$2:$B$215,MATCH(C1131,Radicals!$A$2:$A$215,0))</f>
        <v>衣</v>
      </c>
      <c r="E1131" s="10" t="str">
        <f aca="false">INDEX(Radicals!$G$2:$G$215,MATCH(C1131,Radicals!$A$2:$A$215,0))</f>
        <v>clothes</v>
      </c>
      <c r="F1131" s="8" t="n">
        <f aca="false">INDEX(Radicals!$D$2:$D$215,MATCH(C1131,Radicals!$A$2:$A$215,0))</f>
        <v>6</v>
      </c>
      <c r="G1131" s="8" t="n">
        <v>22</v>
      </c>
    </row>
    <row r="1132" customFormat="false" ht="17.35" hidden="false" customHeight="false" outlineLevel="0" collapsed="false">
      <c r="A1132" s="8" t="n">
        <v>1131</v>
      </c>
      <c r="B1132" s="9" t="s">
        <v>2148</v>
      </c>
      <c r="C1132" s="8" t="n">
        <v>173</v>
      </c>
      <c r="D1132" s="9" t="str">
        <f aca="false">INDEX(Radicals!$B$2:$B$215,MATCH(C1132,Radicals!$A$2:$A$215,0))</f>
        <v>雨</v>
      </c>
      <c r="E1132" s="10" t="str">
        <f aca="false">INDEX(Radicals!$G$2:$G$215,MATCH(C1132,Radicals!$A$2:$A$215,0))</f>
        <v>rain</v>
      </c>
      <c r="F1132" s="8" t="n">
        <f aca="false">INDEX(Radicals!$D$2:$D$215,MATCH(C1132,Radicals!$A$2:$A$215,0))</f>
        <v>8</v>
      </c>
      <c r="G1132" s="8" t="n">
        <v>11</v>
      </c>
    </row>
    <row r="1133" customFormat="false" ht="17.35" hidden="false" customHeight="false" outlineLevel="0" collapsed="false">
      <c r="A1133" s="8" t="n">
        <v>1132</v>
      </c>
      <c r="B1133" s="9" t="s">
        <v>2149</v>
      </c>
      <c r="C1133" s="8" t="n">
        <v>118</v>
      </c>
      <c r="D1133" s="9" t="str">
        <f aca="false">INDEX(Radicals!$B$2:$B$215,MATCH(C1133,Radicals!$A$2:$A$215,0))</f>
        <v>竹</v>
      </c>
      <c r="E1133" s="10" t="str">
        <f aca="false">INDEX(Radicals!$G$2:$G$215,MATCH(C1133,Radicals!$A$2:$A$215,0))</f>
        <v>bamboo</v>
      </c>
      <c r="F1133" s="8" t="n">
        <f aca="false">INDEX(Radicals!$D$2:$D$215,MATCH(C1133,Radicals!$A$2:$A$215,0))</f>
        <v>6</v>
      </c>
      <c r="G1133" s="8" t="n">
        <v>12</v>
      </c>
    </row>
    <row r="1134" customFormat="false" ht="17.35" hidden="false" customHeight="false" outlineLevel="0" collapsed="false">
      <c r="A1134" s="8" t="n">
        <v>1133</v>
      </c>
      <c r="B1134" s="9" t="s">
        <v>2150</v>
      </c>
      <c r="C1134" s="8" t="n">
        <v>30</v>
      </c>
      <c r="D1134" s="9" t="str">
        <f aca="false">INDEX(Radicals!$B$2:$B$215,MATCH(C1134,Radicals!$A$2:$A$215,0))</f>
        <v>口</v>
      </c>
      <c r="E1134" s="10" t="str">
        <f aca="false">INDEX(Radicals!$G$2:$G$215,MATCH(C1134,Radicals!$A$2:$A$215,0))</f>
        <v>mouth</v>
      </c>
      <c r="F1134" s="8" t="n">
        <f aca="false">INDEX(Radicals!$D$2:$D$215,MATCH(C1134,Radicals!$A$2:$A$215,0))</f>
        <v>3</v>
      </c>
      <c r="G1134" s="8" t="n">
        <v>7</v>
      </c>
    </row>
    <row r="1135" customFormat="false" ht="17.35" hidden="false" customHeight="false" outlineLevel="0" collapsed="false">
      <c r="A1135" s="8" t="n">
        <v>1134</v>
      </c>
      <c r="B1135" s="9" t="s">
        <v>2151</v>
      </c>
      <c r="C1135" s="8" t="n">
        <v>149</v>
      </c>
      <c r="D1135" s="9" t="str">
        <f aca="false">INDEX(Radicals!$B$2:$B$215,MATCH(C1135,Radicals!$A$2:$A$215,0))</f>
        <v>言</v>
      </c>
      <c r="E1135" s="10" t="str">
        <f aca="false">INDEX(Radicals!$G$2:$G$215,MATCH(C1135,Radicals!$A$2:$A$215,0))</f>
        <v>speech, say</v>
      </c>
      <c r="F1135" s="8" t="n">
        <f aca="false">INDEX(Radicals!$D$2:$D$215,MATCH(C1135,Radicals!$A$2:$A$215,0))</f>
        <v>7</v>
      </c>
      <c r="G1135" s="8" t="n">
        <v>10</v>
      </c>
    </row>
    <row r="1136" customFormat="false" ht="17.35" hidden="false" customHeight="false" outlineLevel="0" collapsed="false">
      <c r="A1136" s="8" t="n">
        <v>1135</v>
      </c>
      <c r="B1136" s="9" t="s">
        <v>2152</v>
      </c>
      <c r="C1136" s="8" t="n">
        <v>61</v>
      </c>
      <c r="D1136" s="9" t="str">
        <f aca="false">INDEX(Radicals!$B$2:$B$215,MATCH(C1136,Radicals!$A$2:$A$215,0))</f>
        <v>心</v>
      </c>
      <c r="E1136" s="10" t="str">
        <f aca="false">INDEX(Radicals!$G$2:$G$215,MATCH(C1136,Radicals!$A$2:$A$215,0))</f>
        <v>heart, mind</v>
      </c>
      <c r="F1136" s="8" t="n">
        <f aca="false">INDEX(Radicals!$D$2:$D$215,MATCH(C1136,Radicals!$A$2:$A$215,0))</f>
        <v>4</v>
      </c>
      <c r="G1136" s="8" t="n">
        <v>17</v>
      </c>
    </row>
    <row r="1137" customFormat="false" ht="17.35" hidden="false" customHeight="false" outlineLevel="0" collapsed="false">
      <c r="A1137" s="8" t="n">
        <v>1136</v>
      </c>
      <c r="B1137" s="9" t="s">
        <v>2153</v>
      </c>
      <c r="C1137" s="8" t="n">
        <v>85</v>
      </c>
      <c r="D1137" s="9" t="str">
        <f aca="false">INDEX(Radicals!$B$2:$B$215,MATCH(C1137,Radicals!$A$2:$A$215,0))</f>
        <v>水</v>
      </c>
      <c r="E1137" s="10" t="str">
        <f aca="false">INDEX(Radicals!$G$2:$G$215,MATCH(C1137,Radicals!$A$2:$A$215,0))</f>
        <v>water</v>
      </c>
      <c r="F1137" s="8" t="n">
        <f aca="false">INDEX(Radicals!$D$2:$D$215,MATCH(C1137,Radicals!$A$2:$A$215,0))</f>
        <v>4</v>
      </c>
      <c r="G1137" s="8" t="n">
        <v>10</v>
      </c>
    </row>
    <row r="1138" customFormat="false" ht="17.35" hidden="false" customHeight="false" outlineLevel="0" collapsed="false">
      <c r="A1138" s="8" t="n">
        <v>1137</v>
      </c>
      <c r="B1138" s="9" t="s">
        <v>2154</v>
      </c>
      <c r="C1138" s="8" t="n">
        <v>9</v>
      </c>
      <c r="D1138" s="9" t="str">
        <f aca="false">INDEX(Radicals!$B$2:$B$215,MATCH(C1138,Radicals!$A$2:$A$215,0))</f>
        <v>人</v>
      </c>
      <c r="E1138" s="10" t="str">
        <f aca="false">INDEX(Radicals!$G$2:$G$215,MATCH(C1138,Radicals!$A$2:$A$215,0))</f>
        <v>person</v>
      </c>
      <c r="F1138" s="8" t="n">
        <f aca="false">INDEX(Radicals!$D$2:$D$215,MATCH(C1138,Radicals!$A$2:$A$215,0))</f>
        <v>2</v>
      </c>
      <c r="G1138" s="8" t="n">
        <v>10</v>
      </c>
    </row>
    <row r="1139" customFormat="false" ht="17.35" hidden="false" customHeight="false" outlineLevel="0" collapsed="false">
      <c r="A1139" s="8" t="n">
        <v>1138</v>
      </c>
      <c r="B1139" s="9" t="s">
        <v>2155</v>
      </c>
      <c r="C1139" s="8" t="n">
        <v>117</v>
      </c>
      <c r="D1139" s="9" t="str">
        <f aca="false">INDEX(Radicals!$B$2:$B$215,MATCH(C1139,Radicals!$A$2:$A$215,0))</f>
        <v>立</v>
      </c>
      <c r="E1139" s="10" t="str">
        <f aca="false">INDEX(Radicals!$G$2:$G$215,MATCH(C1139,Radicals!$A$2:$A$215,0))</f>
        <v>stand</v>
      </c>
      <c r="F1139" s="8" t="n">
        <f aca="false">INDEX(Radicals!$D$2:$D$215,MATCH(C1139,Radicals!$A$2:$A$215,0))</f>
        <v>5</v>
      </c>
      <c r="G1139" s="8" t="n">
        <v>12</v>
      </c>
    </row>
    <row r="1140" customFormat="false" ht="17.35" hidden="false" customHeight="false" outlineLevel="0" collapsed="false">
      <c r="A1140" s="8" t="n">
        <v>1139</v>
      </c>
      <c r="B1140" s="9" t="s">
        <v>2156</v>
      </c>
      <c r="C1140" s="8" t="n">
        <v>40</v>
      </c>
      <c r="D1140" s="9" t="str">
        <f aca="false">INDEX(Radicals!$B$2:$B$215,MATCH(C1140,Radicals!$A$2:$A$215,0))</f>
        <v>宀</v>
      </c>
      <c r="E1140" s="10" t="str">
        <f aca="false">INDEX(Radicals!$G$2:$G$215,MATCH(C1140,Radicals!$A$2:$A$215,0))</f>
        <v>roof</v>
      </c>
      <c r="F1140" s="8" t="n">
        <f aca="false">INDEX(Radicals!$D$2:$D$215,MATCH(C1140,Radicals!$A$2:$A$215,0))</f>
        <v>3</v>
      </c>
      <c r="G1140" s="8" t="n">
        <v>8</v>
      </c>
    </row>
    <row r="1141" customFormat="false" ht="17.35" hidden="false" customHeight="false" outlineLevel="0" collapsed="false">
      <c r="A1141" s="8" t="n">
        <v>1140</v>
      </c>
      <c r="B1141" s="9" t="s">
        <v>2157</v>
      </c>
      <c r="C1141" s="8" t="n">
        <v>75</v>
      </c>
      <c r="D1141" s="9" t="str">
        <f aca="false">INDEX(Radicals!$B$2:$B$215,MATCH(C1141,Radicals!$A$2:$A$215,0))</f>
        <v>木</v>
      </c>
      <c r="E1141" s="10" t="str">
        <f aca="false">INDEX(Radicals!$G$2:$G$215,MATCH(C1141,Radicals!$A$2:$A$215,0))</f>
        <v>tree, wood</v>
      </c>
      <c r="F1141" s="8" t="n">
        <f aca="false">INDEX(Radicals!$D$2:$D$215,MATCH(C1141,Radicals!$A$2:$A$215,0))</f>
        <v>4</v>
      </c>
      <c r="G1141" s="8" t="n">
        <v>9</v>
      </c>
    </row>
    <row r="1142" customFormat="false" ht="17.35" hidden="false" customHeight="false" outlineLevel="0" collapsed="false">
      <c r="A1142" s="8" t="n">
        <v>1141</v>
      </c>
      <c r="B1142" s="9" t="s">
        <v>2158</v>
      </c>
      <c r="C1142" s="8" t="n">
        <v>187</v>
      </c>
      <c r="D1142" s="9" t="str">
        <f aca="false">INDEX(Radicals!$B$2:$B$215,MATCH(C1142,Radicals!$A$2:$A$215,0))</f>
        <v>馬</v>
      </c>
      <c r="E1142" s="10" t="str">
        <f aca="false">INDEX(Radicals!$G$2:$G$215,MATCH(C1142,Radicals!$A$2:$A$215,0))</f>
        <v>horse</v>
      </c>
      <c r="F1142" s="8" t="n">
        <f aca="false">INDEX(Radicals!$D$2:$D$215,MATCH(C1142,Radicals!$A$2:$A$215,0))</f>
        <v>10</v>
      </c>
      <c r="G1142" s="8" t="n">
        <v>22</v>
      </c>
    </row>
    <row r="1143" customFormat="false" ht="17.35" hidden="false" customHeight="false" outlineLevel="0" collapsed="false">
      <c r="A1143" s="8" t="n">
        <v>1142</v>
      </c>
      <c r="B1143" s="9" t="s">
        <v>1038</v>
      </c>
      <c r="C1143" s="8" t="n">
        <v>200</v>
      </c>
      <c r="D1143" s="9" t="str">
        <f aca="false">INDEX(Radicals!$B$2:$B$215,MATCH(C1143,Radicals!$A$2:$A$215,0))</f>
        <v>麻</v>
      </c>
      <c r="E1143" s="10" t="str">
        <f aca="false">INDEX(Radicals!$G$2:$G$215,MATCH(C1143,Radicals!$A$2:$A$215,0))</f>
        <v>hemp</v>
      </c>
      <c r="F1143" s="8" t="n">
        <f aca="false">INDEX(Radicals!$D$2:$D$215,MATCH(C1143,Radicals!$A$2:$A$215,0))</f>
        <v>11</v>
      </c>
      <c r="G1143" s="8" t="n">
        <v>11</v>
      </c>
    </row>
    <row r="1144" customFormat="false" ht="17.35" hidden="false" customHeight="false" outlineLevel="0" collapsed="false">
      <c r="A1144" s="8" t="n">
        <v>1143</v>
      </c>
      <c r="B1144" s="9" t="s">
        <v>2159</v>
      </c>
      <c r="C1144" s="8" t="n">
        <v>41</v>
      </c>
      <c r="D1144" s="9" t="str">
        <f aca="false">INDEX(Radicals!$B$2:$B$215,MATCH(C1144,Radicals!$A$2:$A$215,0))</f>
        <v>寸</v>
      </c>
      <c r="E1144" s="10" t="str">
        <f aca="false">INDEX(Radicals!$G$2:$G$215,MATCH(C1144,Radicals!$A$2:$A$215,0))</f>
        <v>inch</v>
      </c>
      <c r="F1144" s="8" t="n">
        <f aca="false">INDEX(Radicals!$D$2:$D$215,MATCH(C1144,Radicals!$A$2:$A$215,0))</f>
        <v>3</v>
      </c>
      <c r="G1144" s="8" t="n">
        <v>9</v>
      </c>
    </row>
    <row r="1145" customFormat="false" ht="17.35" hidden="false" customHeight="false" outlineLevel="0" collapsed="false">
      <c r="A1145" s="8" t="n">
        <v>1144</v>
      </c>
      <c r="B1145" s="9" t="s">
        <v>2160</v>
      </c>
      <c r="C1145" s="8" t="n">
        <v>130</v>
      </c>
      <c r="D1145" s="9" t="str">
        <f aca="false">INDEX(Radicals!$B$2:$B$215,MATCH(C1145,Radicals!$A$2:$A$215,0))</f>
        <v>肉</v>
      </c>
      <c r="E1145" s="10" t="str">
        <f aca="false">INDEX(Radicals!$G$2:$G$215,MATCH(C1145,Radicals!$A$2:$A$215,0))</f>
        <v>meat, flesh</v>
      </c>
      <c r="F1145" s="8" t="n">
        <f aca="false">INDEX(Radicals!$D$2:$D$215,MATCH(C1145,Radicals!$A$2:$A$215,0))</f>
        <v>6</v>
      </c>
      <c r="G1145" s="8" t="n">
        <v>10</v>
      </c>
    </row>
    <row r="1146" customFormat="false" ht="17.35" hidden="false" customHeight="false" outlineLevel="0" collapsed="false">
      <c r="A1146" s="8" t="n">
        <v>1145</v>
      </c>
      <c r="B1146" s="9" t="s">
        <v>2161</v>
      </c>
      <c r="C1146" s="8" t="n">
        <v>38</v>
      </c>
      <c r="D1146" s="9" t="str">
        <f aca="false">INDEX(Radicals!$B$2:$B$215,MATCH(C1146,Radicals!$A$2:$A$215,0))</f>
        <v>女</v>
      </c>
      <c r="E1146" s="10" t="str">
        <f aca="false">INDEX(Radicals!$G$2:$G$215,MATCH(C1146,Radicals!$A$2:$A$215,0))</f>
        <v>woman</v>
      </c>
      <c r="F1146" s="8" t="n">
        <f aca="false">INDEX(Radicals!$D$2:$D$215,MATCH(C1146,Radicals!$A$2:$A$215,0))</f>
        <v>3</v>
      </c>
      <c r="G1146" s="8" t="n">
        <v>10</v>
      </c>
    </row>
    <row r="1147" customFormat="false" ht="17.35" hidden="false" customHeight="false" outlineLevel="0" collapsed="false">
      <c r="A1147" s="8" t="n">
        <v>1146</v>
      </c>
      <c r="B1147" s="9" t="s">
        <v>2162</v>
      </c>
      <c r="C1147" s="8" t="n">
        <v>112</v>
      </c>
      <c r="D1147" s="9" t="str">
        <f aca="false">INDEX(Radicals!$B$2:$B$215,MATCH(C1147,Radicals!$A$2:$A$215,0))</f>
        <v>石</v>
      </c>
      <c r="E1147" s="10" t="str">
        <f aca="false">INDEX(Radicals!$G$2:$G$215,MATCH(C1147,Radicals!$A$2:$A$215,0))</f>
        <v>stone</v>
      </c>
      <c r="F1147" s="8" t="n">
        <f aca="false">INDEX(Radicals!$D$2:$D$215,MATCH(C1147,Radicals!$A$2:$A$215,0))</f>
        <v>5</v>
      </c>
      <c r="G1147" s="8" t="n">
        <v>9</v>
      </c>
    </row>
    <row r="1148" customFormat="false" ht="17.35" hidden="false" customHeight="false" outlineLevel="0" collapsed="false">
      <c r="A1148" s="8" t="n">
        <v>1147</v>
      </c>
      <c r="B1148" s="9" t="s">
        <v>2163</v>
      </c>
      <c r="C1148" s="8" t="n">
        <v>75</v>
      </c>
      <c r="D1148" s="9" t="str">
        <f aca="false">INDEX(Radicals!$B$2:$B$215,MATCH(C1148,Radicals!$A$2:$A$215,0))</f>
        <v>木</v>
      </c>
      <c r="E1148" s="10" t="str">
        <f aca="false">INDEX(Radicals!$G$2:$G$215,MATCH(C1148,Radicals!$A$2:$A$215,0))</f>
        <v>tree, wood</v>
      </c>
      <c r="F1148" s="8" t="n">
        <f aca="false">INDEX(Radicals!$D$2:$D$215,MATCH(C1148,Radicals!$A$2:$A$215,0))</f>
        <v>4</v>
      </c>
      <c r="G1148" s="8" t="n">
        <v>7</v>
      </c>
    </row>
    <row r="1149" customFormat="false" ht="17.35" hidden="false" customHeight="false" outlineLevel="0" collapsed="false">
      <c r="A1149" s="8" t="n">
        <v>1148</v>
      </c>
      <c r="B1149" s="9" t="s">
        <v>2164</v>
      </c>
      <c r="C1149" s="8" t="n">
        <v>32</v>
      </c>
      <c r="D1149" s="9" t="str">
        <f aca="false">INDEX(Radicals!$B$2:$B$215,MATCH(C1149,Radicals!$A$2:$A$215,0))</f>
        <v>土</v>
      </c>
      <c r="E1149" s="10" t="str">
        <f aca="false">INDEX(Radicals!$G$2:$G$215,MATCH(C1149,Radicals!$A$2:$A$215,0))</f>
        <v>earth, soil</v>
      </c>
      <c r="F1149" s="8" t="n">
        <f aca="false">INDEX(Radicals!$D$2:$D$215,MATCH(C1149,Radicals!$A$2:$A$215,0))</f>
        <v>3</v>
      </c>
      <c r="G1149" s="8" t="n">
        <v>13</v>
      </c>
    </row>
    <row r="1150" customFormat="false" ht="17.35" hidden="false" customHeight="false" outlineLevel="0" collapsed="false">
      <c r="A1150" s="8" t="n">
        <v>1149</v>
      </c>
      <c r="B1150" s="9" t="s">
        <v>2165</v>
      </c>
      <c r="C1150" s="8" t="n">
        <v>85</v>
      </c>
      <c r="D1150" s="9" t="str">
        <f aca="false">INDEX(Radicals!$B$2:$B$215,MATCH(C1150,Radicals!$A$2:$A$215,0))</f>
        <v>水</v>
      </c>
      <c r="E1150" s="10" t="str">
        <f aca="false">INDEX(Radicals!$G$2:$G$215,MATCH(C1150,Radicals!$A$2:$A$215,0))</f>
        <v>water</v>
      </c>
      <c r="F1150" s="8" t="n">
        <f aca="false">INDEX(Radicals!$D$2:$D$215,MATCH(C1150,Radicals!$A$2:$A$215,0))</f>
        <v>4</v>
      </c>
      <c r="G1150" s="8" t="n">
        <v>10</v>
      </c>
    </row>
    <row r="1151" customFormat="false" ht="17.35" hidden="false" customHeight="false" outlineLevel="0" collapsed="false">
      <c r="A1151" s="8" t="n">
        <v>1150</v>
      </c>
      <c r="B1151" s="9" t="s">
        <v>2166</v>
      </c>
      <c r="C1151" s="8" t="n">
        <v>149</v>
      </c>
      <c r="D1151" s="9" t="str">
        <f aca="false">INDEX(Radicals!$B$2:$B$215,MATCH(C1151,Radicals!$A$2:$A$215,0))</f>
        <v>言</v>
      </c>
      <c r="E1151" s="10" t="str">
        <f aca="false">INDEX(Radicals!$G$2:$G$215,MATCH(C1151,Radicals!$A$2:$A$215,0))</f>
        <v>speech, say</v>
      </c>
      <c r="F1151" s="8" t="n">
        <f aca="false">INDEX(Radicals!$D$2:$D$215,MATCH(C1151,Radicals!$A$2:$A$215,0))</f>
        <v>7</v>
      </c>
      <c r="G1151" s="8" t="n">
        <v>14</v>
      </c>
    </row>
    <row r="1152" customFormat="false" ht="17.35" hidden="false" customHeight="false" outlineLevel="0" collapsed="false">
      <c r="A1152" s="8" t="n">
        <v>1151</v>
      </c>
      <c r="B1152" s="9" t="s">
        <v>2167</v>
      </c>
      <c r="C1152" s="8" t="n">
        <v>18</v>
      </c>
      <c r="D1152" s="9" t="str">
        <f aca="false">INDEX(Radicals!$B$2:$B$215,MATCH(C1152,Radicals!$A$2:$A$215,0))</f>
        <v>刀</v>
      </c>
      <c r="E1152" s="10" t="str">
        <f aca="false">INDEX(Radicals!$G$2:$G$215,MATCH(C1152,Radicals!$A$2:$A$215,0))</f>
        <v>knife, sword</v>
      </c>
      <c r="F1152" s="8" t="n">
        <f aca="false">INDEX(Radicals!$D$2:$D$215,MATCH(C1152,Radicals!$A$2:$A$215,0))</f>
        <v>2</v>
      </c>
      <c r="G1152" s="8" t="n">
        <v>10</v>
      </c>
    </row>
    <row r="1153" customFormat="false" ht="17.35" hidden="false" customHeight="false" outlineLevel="0" collapsed="false">
      <c r="A1153" s="8" t="n">
        <v>1152</v>
      </c>
      <c r="B1153" s="9" t="s">
        <v>2168</v>
      </c>
      <c r="C1153" s="8" t="n">
        <v>85</v>
      </c>
      <c r="D1153" s="9" t="str">
        <f aca="false">INDEX(Radicals!$B$2:$B$215,MATCH(C1153,Radicals!$A$2:$A$215,0))</f>
        <v>水</v>
      </c>
      <c r="E1153" s="10" t="str">
        <f aca="false">INDEX(Radicals!$G$2:$G$215,MATCH(C1153,Radicals!$A$2:$A$215,0))</f>
        <v>water</v>
      </c>
      <c r="F1153" s="8" t="n">
        <f aca="false">INDEX(Radicals!$D$2:$D$215,MATCH(C1153,Radicals!$A$2:$A$215,0))</f>
        <v>4</v>
      </c>
      <c r="G1153" s="8" t="n">
        <v>19</v>
      </c>
    </row>
    <row r="1154" customFormat="false" ht="17.35" hidden="false" customHeight="false" outlineLevel="0" collapsed="false">
      <c r="A1154" s="8" t="n">
        <v>1153</v>
      </c>
      <c r="B1154" s="9" t="s">
        <v>2169</v>
      </c>
      <c r="C1154" s="8" t="n">
        <v>156</v>
      </c>
      <c r="D1154" s="9" t="str">
        <f aca="false">INDEX(Radicals!$B$2:$B$215,MATCH(C1154,Radicals!$A$2:$A$215,0))</f>
        <v>走</v>
      </c>
      <c r="E1154" s="10" t="str">
        <f aca="false">INDEX(Radicals!$G$2:$G$215,MATCH(C1154,Radicals!$A$2:$A$215,0))</f>
        <v>run</v>
      </c>
      <c r="F1154" s="8" t="n">
        <f aca="false">INDEX(Radicals!$D$2:$D$215,MATCH(C1154,Radicals!$A$2:$A$215,0))</f>
        <v>7</v>
      </c>
      <c r="G1154" s="8" t="n">
        <v>15</v>
      </c>
    </row>
    <row r="1155" customFormat="false" ht="17.35" hidden="false" customHeight="false" outlineLevel="0" collapsed="false">
      <c r="A1155" s="8" t="n">
        <v>1154</v>
      </c>
      <c r="B1155" s="9" t="s">
        <v>2170</v>
      </c>
      <c r="C1155" s="8" t="n">
        <v>170</v>
      </c>
      <c r="D1155" s="9" t="str">
        <f aca="false">INDEX(Radicals!$B$2:$B$215,MATCH(C1155,Radicals!$A$2:$A$215,0))</f>
        <v>阜</v>
      </c>
      <c r="E1155" s="10" t="str">
        <f aca="false">INDEX(Radicals!$G$2:$G$215,MATCH(C1155,Radicals!$A$2:$A$215,0))</f>
        <v>mound, hill</v>
      </c>
      <c r="F1155" s="8" t="n">
        <f aca="false">INDEX(Radicals!$D$2:$D$215,MATCH(C1155,Radicals!$A$2:$A$215,0))</f>
        <v>8</v>
      </c>
      <c r="G1155" s="8" t="n">
        <v>10</v>
      </c>
    </row>
    <row r="1156" customFormat="false" ht="17.35" hidden="false" customHeight="false" outlineLevel="0" collapsed="false">
      <c r="A1156" s="8" t="n">
        <v>1155</v>
      </c>
      <c r="B1156" s="9" t="s">
        <v>2171</v>
      </c>
      <c r="C1156" s="8" t="n">
        <v>67</v>
      </c>
      <c r="D1156" s="9" t="str">
        <f aca="false">INDEX(Radicals!$B$2:$B$215,MATCH(C1156,Radicals!$A$2:$A$215,0))</f>
        <v>文</v>
      </c>
      <c r="E1156" s="10" t="str">
        <f aca="false">INDEX(Radicals!$G$2:$G$215,MATCH(C1156,Radicals!$A$2:$A$215,0))</f>
        <v>script, literature</v>
      </c>
      <c r="F1156" s="8" t="n">
        <f aca="false">INDEX(Radicals!$D$2:$D$215,MATCH(C1156,Radicals!$A$2:$A$215,0))</f>
        <v>4</v>
      </c>
      <c r="G1156" s="8" t="n">
        <v>11</v>
      </c>
    </row>
    <row r="1157" customFormat="false" ht="17.35" hidden="false" customHeight="false" outlineLevel="0" collapsed="false">
      <c r="A1157" s="8" t="n">
        <v>1156</v>
      </c>
      <c r="B1157" s="9" t="s">
        <v>2172</v>
      </c>
      <c r="C1157" s="8" t="n">
        <v>154</v>
      </c>
      <c r="D1157" s="9" t="str">
        <f aca="false">INDEX(Radicals!$B$2:$B$215,MATCH(C1157,Radicals!$A$2:$A$215,0))</f>
        <v>貝</v>
      </c>
      <c r="E1157" s="10" t="str">
        <f aca="false">INDEX(Radicals!$G$2:$G$215,MATCH(C1157,Radicals!$A$2:$A$215,0))</f>
        <v>shell, money</v>
      </c>
      <c r="F1157" s="8" t="n">
        <f aca="false">INDEX(Radicals!$D$2:$D$215,MATCH(C1157,Radicals!$A$2:$A$215,0))</f>
        <v>7</v>
      </c>
      <c r="G1157" s="8" t="n">
        <v>11</v>
      </c>
    </row>
    <row r="1158" customFormat="false" ht="17.35" hidden="false" customHeight="false" outlineLevel="0" collapsed="false">
      <c r="A1158" s="8" t="n">
        <v>1157</v>
      </c>
      <c r="B1158" s="9" t="s">
        <v>2173</v>
      </c>
      <c r="C1158" s="8" t="n">
        <v>9</v>
      </c>
      <c r="D1158" s="9" t="str">
        <f aca="false">INDEX(Radicals!$B$2:$B$215,MATCH(C1158,Radicals!$A$2:$A$215,0))</f>
        <v>人</v>
      </c>
      <c r="E1158" s="10" t="str">
        <f aca="false">INDEX(Radicals!$G$2:$G$215,MATCH(C1158,Radicals!$A$2:$A$215,0))</f>
        <v>person</v>
      </c>
      <c r="F1158" s="8" t="n">
        <f aca="false">INDEX(Radicals!$D$2:$D$215,MATCH(C1158,Radicals!$A$2:$A$215,0))</f>
        <v>2</v>
      </c>
      <c r="G1158" s="8" t="n">
        <v>5</v>
      </c>
    </row>
    <row r="1159" customFormat="false" ht="17.35" hidden="false" customHeight="false" outlineLevel="0" collapsed="false">
      <c r="A1159" s="8" t="n">
        <v>1158</v>
      </c>
      <c r="B1159" s="9" t="s">
        <v>2174</v>
      </c>
      <c r="C1159" s="8" t="n">
        <v>61</v>
      </c>
      <c r="D1159" s="9" t="str">
        <f aca="false">INDEX(Radicals!$B$2:$B$215,MATCH(C1159,Radicals!$A$2:$A$215,0))</f>
        <v>心</v>
      </c>
      <c r="E1159" s="10" t="str">
        <f aca="false">INDEX(Radicals!$G$2:$G$215,MATCH(C1159,Radicals!$A$2:$A$215,0))</f>
        <v>heart, mind</v>
      </c>
      <c r="F1159" s="8" t="n">
        <f aca="false">INDEX(Radicals!$D$2:$D$215,MATCH(C1159,Radicals!$A$2:$A$215,0))</f>
        <v>4</v>
      </c>
      <c r="G1159" s="8" t="n">
        <v>15</v>
      </c>
    </row>
    <row r="1160" customFormat="false" ht="17.35" hidden="false" customHeight="false" outlineLevel="0" collapsed="false">
      <c r="A1160" s="8" t="n">
        <v>1159</v>
      </c>
      <c r="B1160" s="9" t="s">
        <v>2175</v>
      </c>
      <c r="C1160" s="8" t="n">
        <v>154</v>
      </c>
      <c r="D1160" s="9" t="str">
        <f aca="false">INDEX(Radicals!$B$2:$B$215,MATCH(C1160,Radicals!$A$2:$A$215,0))</f>
        <v>貝</v>
      </c>
      <c r="E1160" s="10" t="str">
        <f aca="false">INDEX(Radicals!$G$2:$G$215,MATCH(C1160,Radicals!$A$2:$A$215,0))</f>
        <v>shell, money</v>
      </c>
      <c r="F1160" s="8" t="n">
        <f aca="false">INDEX(Radicals!$D$2:$D$215,MATCH(C1160,Radicals!$A$2:$A$215,0))</f>
        <v>7</v>
      </c>
      <c r="G1160" s="8" t="n">
        <v>16</v>
      </c>
    </row>
    <row r="1161" customFormat="false" ht="17.35" hidden="false" customHeight="false" outlineLevel="0" collapsed="false">
      <c r="A1161" s="8" t="n">
        <v>1160</v>
      </c>
      <c r="B1161" s="9" t="s">
        <v>2176</v>
      </c>
      <c r="C1161" s="8" t="n">
        <v>53</v>
      </c>
      <c r="D1161" s="9" t="str">
        <f aca="false">INDEX(Radicals!$B$2:$B$215,MATCH(C1161,Radicals!$A$2:$A$215,0))</f>
        <v>广</v>
      </c>
      <c r="E1161" s="10" t="str">
        <f aca="false">INDEX(Radicals!$G$2:$G$215,MATCH(C1161,Radicals!$A$2:$A$215,0))</f>
        <v>dotted cliff, building</v>
      </c>
      <c r="F1161" s="8" t="n">
        <f aca="false">INDEX(Radicals!$D$2:$D$215,MATCH(C1161,Radicals!$A$2:$A$215,0))</f>
        <v>3</v>
      </c>
      <c r="G1161" s="8" t="n">
        <v>7</v>
      </c>
    </row>
    <row r="1162" customFormat="false" ht="17.35" hidden="false" customHeight="false" outlineLevel="0" collapsed="false">
      <c r="A1162" s="8" t="n">
        <v>1161</v>
      </c>
      <c r="B1162" s="9" t="s">
        <v>2177</v>
      </c>
      <c r="C1162" s="8" t="n">
        <v>57</v>
      </c>
      <c r="D1162" s="9" t="str">
        <f aca="false">INDEX(Radicals!$B$2:$B$215,MATCH(C1162,Radicals!$A$2:$A$215,0))</f>
        <v>弓</v>
      </c>
      <c r="E1162" s="10" t="str">
        <f aca="false">INDEX(Radicals!$G$2:$G$215,MATCH(C1162,Radicals!$A$2:$A$215,0))</f>
        <v>bow</v>
      </c>
      <c r="F1162" s="8" t="n">
        <f aca="false">INDEX(Radicals!$D$2:$D$215,MATCH(C1162,Radicals!$A$2:$A$215,0))</f>
        <v>3</v>
      </c>
      <c r="G1162" s="8" t="n">
        <v>7</v>
      </c>
    </row>
    <row r="1163" customFormat="false" ht="17.35" hidden="false" customHeight="false" outlineLevel="0" collapsed="false">
      <c r="A1163" s="8" t="n">
        <v>1162</v>
      </c>
      <c r="B1163" s="9" t="s">
        <v>2178</v>
      </c>
      <c r="C1163" s="8" t="n">
        <v>72</v>
      </c>
      <c r="D1163" s="9" t="str">
        <f aca="false">INDEX(Radicals!$B$2:$B$215,MATCH(C1163,Radicals!$A$2:$A$215,0))</f>
        <v>日</v>
      </c>
      <c r="E1163" s="10" t="str">
        <f aca="false">INDEX(Radicals!$G$2:$G$215,MATCH(C1163,Radicals!$A$2:$A$215,0))</f>
        <v>sun, day</v>
      </c>
      <c r="F1163" s="8" t="n">
        <f aca="false">INDEX(Radicals!$D$2:$D$215,MATCH(C1163,Radicals!$A$2:$A$215,0))</f>
        <v>4</v>
      </c>
      <c r="G1163" s="8" t="n">
        <v>6</v>
      </c>
    </row>
    <row r="1164" customFormat="false" ht="17.35" hidden="false" customHeight="false" outlineLevel="0" collapsed="false">
      <c r="A1164" s="8" t="n">
        <v>1163</v>
      </c>
      <c r="B1164" s="9" t="s">
        <v>2179</v>
      </c>
      <c r="C1164" s="8" t="n">
        <v>130</v>
      </c>
      <c r="D1164" s="9" t="str">
        <f aca="false">INDEX(Radicals!$B$2:$B$215,MATCH(C1164,Radicals!$A$2:$A$215,0))</f>
        <v>肉</v>
      </c>
      <c r="E1164" s="10" t="str">
        <f aca="false">INDEX(Radicals!$G$2:$G$215,MATCH(C1164,Radicals!$A$2:$A$215,0))</f>
        <v>meat, flesh</v>
      </c>
      <c r="F1164" s="8" t="n">
        <f aca="false">INDEX(Radicals!$D$2:$D$215,MATCH(C1164,Radicals!$A$2:$A$215,0))</f>
        <v>6</v>
      </c>
      <c r="G1164" s="8" t="n">
        <v>12</v>
      </c>
    </row>
    <row r="1165" customFormat="false" ht="17.35" hidden="false" customHeight="false" outlineLevel="0" collapsed="false">
      <c r="A1165" s="8" t="n">
        <v>1164</v>
      </c>
      <c r="B1165" s="9" t="s">
        <v>2180</v>
      </c>
      <c r="C1165" s="8" t="n">
        <v>12</v>
      </c>
      <c r="D1165" s="9" t="str">
        <f aca="false">INDEX(Radicals!$B$2:$B$215,MATCH(C1165,Radicals!$A$2:$A$215,0))</f>
        <v>八</v>
      </c>
      <c r="E1165" s="10" t="str">
        <f aca="false">INDEX(Radicals!$G$2:$G$215,MATCH(C1165,Radicals!$A$2:$A$215,0))</f>
        <v>eight</v>
      </c>
      <c r="F1165" s="8" t="n">
        <f aca="false">INDEX(Radicals!$D$2:$D$215,MATCH(C1165,Radicals!$A$2:$A$215,0))</f>
        <v>2</v>
      </c>
      <c r="G1165" s="8" t="n">
        <v>10</v>
      </c>
    </row>
    <row r="1166" customFormat="false" ht="17.35" hidden="false" customHeight="false" outlineLevel="0" collapsed="false">
      <c r="A1166" s="8" t="n">
        <v>1165</v>
      </c>
      <c r="B1166" s="9" t="s">
        <v>2181</v>
      </c>
      <c r="C1166" s="8" t="n">
        <v>128</v>
      </c>
      <c r="D1166" s="9" t="str">
        <f aca="false">INDEX(Radicals!$B$2:$B$215,MATCH(C1166,Radicals!$A$2:$A$215,0))</f>
        <v>耳</v>
      </c>
      <c r="E1166" s="10" t="str">
        <f aca="false">INDEX(Radicals!$G$2:$G$215,MATCH(C1166,Radicals!$A$2:$A$215,0))</f>
        <v>ear</v>
      </c>
      <c r="F1166" s="8" t="n">
        <f aca="false">INDEX(Radicals!$D$2:$D$215,MATCH(C1166,Radicals!$A$2:$A$215,0))</f>
        <v>6</v>
      </c>
      <c r="G1166" s="8" t="n">
        <v>13</v>
      </c>
    </row>
    <row r="1167" customFormat="false" ht="17.35" hidden="false" customHeight="false" outlineLevel="0" collapsed="false">
      <c r="A1167" s="8" t="n">
        <v>1166</v>
      </c>
      <c r="B1167" s="9" t="s">
        <v>2182</v>
      </c>
      <c r="C1167" s="8" t="n">
        <v>72</v>
      </c>
      <c r="D1167" s="9" t="str">
        <f aca="false">INDEX(Radicals!$B$2:$B$215,MATCH(C1167,Radicals!$A$2:$A$215,0))</f>
        <v>日</v>
      </c>
      <c r="E1167" s="10" t="str">
        <f aca="false">INDEX(Radicals!$G$2:$G$215,MATCH(C1167,Radicals!$A$2:$A$215,0))</f>
        <v>sun, day</v>
      </c>
      <c r="F1167" s="8" t="n">
        <f aca="false">INDEX(Radicals!$D$2:$D$215,MATCH(C1167,Radicals!$A$2:$A$215,0))</f>
        <v>4</v>
      </c>
      <c r="G1167" s="8" t="n">
        <v>6</v>
      </c>
    </row>
    <row r="1168" customFormat="false" ht="17.35" hidden="false" customHeight="false" outlineLevel="0" collapsed="false">
      <c r="A1168" s="8" t="n">
        <v>1167</v>
      </c>
      <c r="B1168" s="9" t="s">
        <v>2183</v>
      </c>
      <c r="C1168" s="8" t="n">
        <v>26</v>
      </c>
      <c r="D1168" s="9" t="str">
        <f aca="false">INDEX(Radicals!$B$2:$B$215,MATCH(C1168,Radicals!$A$2:$A$215,0))</f>
        <v>卩</v>
      </c>
      <c r="E1168" s="10" t="str">
        <f aca="false">INDEX(Radicals!$G$2:$G$215,MATCH(C1168,Radicals!$A$2:$A$215,0))</f>
        <v>seal, kneeling person</v>
      </c>
      <c r="F1168" s="8" t="n">
        <f aca="false">INDEX(Radicals!$D$2:$D$215,MATCH(C1168,Radicals!$A$2:$A$215,0))</f>
        <v>2</v>
      </c>
      <c r="G1168" s="8" t="n">
        <v>7</v>
      </c>
    </row>
    <row r="1169" customFormat="false" ht="17.35" hidden="false" customHeight="false" outlineLevel="0" collapsed="false">
      <c r="A1169" s="8" t="n">
        <v>1168</v>
      </c>
      <c r="B1169" s="9" t="s">
        <v>2184</v>
      </c>
      <c r="C1169" s="8" t="n">
        <v>85</v>
      </c>
      <c r="D1169" s="9" t="str">
        <f aca="false">INDEX(Radicals!$B$2:$B$215,MATCH(C1169,Radicals!$A$2:$A$215,0))</f>
        <v>水</v>
      </c>
      <c r="E1169" s="10" t="str">
        <f aca="false">INDEX(Radicals!$G$2:$G$215,MATCH(C1169,Radicals!$A$2:$A$215,0))</f>
        <v>water</v>
      </c>
      <c r="F1169" s="8" t="n">
        <f aca="false">INDEX(Radicals!$D$2:$D$215,MATCH(C1169,Radicals!$A$2:$A$215,0))</f>
        <v>4</v>
      </c>
      <c r="G1169" s="8" t="n">
        <v>9</v>
      </c>
    </row>
    <row r="1170" customFormat="false" ht="17.35" hidden="false" customHeight="false" outlineLevel="0" collapsed="false">
      <c r="A1170" s="8" t="n">
        <v>1169</v>
      </c>
      <c r="B1170" s="9" t="s">
        <v>2185</v>
      </c>
      <c r="C1170" s="8" t="n">
        <v>75</v>
      </c>
      <c r="D1170" s="9" t="str">
        <f aca="false">INDEX(Radicals!$B$2:$B$215,MATCH(C1170,Radicals!$A$2:$A$215,0))</f>
        <v>木</v>
      </c>
      <c r="E1170" s="10" t="str">
        <f aca="false">INDEX(Radicals!$G$2:$G$215,MATCH(C1170,Radicals!$A$2:$A$215,0))</f>
        <v>tree, wood</v>
      </c>
      <c r="F1170" s="8" t="n">
        <f aca="false">INDEX(Radicals!$D$2:$D$215,MATCH(C1170,Radicals!$A$2:$A$215,0))</f>
        <v>4</v>
      </c>
      <c r="G1170" s="8" t="n">
        <v>9</v>
      </c>
    </row>
    <row r="1171" customFormat="false" ht="17.35" hidden="false" customHeight="false" outlineLevel="0" collapsed="false">
      <c r="A1171" s="8" t="n">
        <v>1170</v>
      </c>
      <c r="B1171" s="9" t="s">
        <v>2186</v>
      </c>
      <c r="C1171" s="8" t="n">
        <v>9</v>
      </c>
      <c r="D1171" s="9" t="str">
        <f aca="false">INDEX(Radicals!$B$2:$B$215,MATCH(C1171,Radicals!$A$2:$A$215,0))</f>
        <v>人</v>
      </c>
      <c r="E1171" s="10" t="str">
        <f aca="false">INDEX(Radicals!$G$2:$G$215,MATCH(C1171,Radicals!$A$2:$A$215,0))</f>
        <v>person</v>
      </c>
      <c r="F1171" s="8" t="n">
        <f aca="false">INDEX(Radicals!$D$2:$D$215,MATCH(C1171,Radicals!$A$2:$A$215,0))</f>
        <v>2</v>
      </c>
      <c r="G1171" s="8" t="n">
        <v>8</v>
      </c>
    </row>
    <row r="1172" customFormat="false" ht="17.35" hidden="false" customHeight="false" outlineLevel="0" collapsed="false">
      <c r="A1172" s="8" t="n">
        <v>1171</v>
      </c>
      <c r="B1172" s="9" t="s">
        <v>2187</v>
      </c>
      <c r="C1172" s="8" t="n">
        <v>9</v>
      </c>
      <c r="D1172" s="9" t="str">
        <f aca="false">INDEX(Radicals!$B$2:$B$215,MATCH(C1172,Radicals!$A$2:$A$215,0))</f>
        <v>人</v>
      </c>
      <c r="E1172" s="10" t="str">
        <f aca="false">INDEX(Radicals!$G$2:$G$215,MATCH(C1172,Radicals!$A$2:$A$215,0))</f>
        <v>person</v>
      </c>
      <c r="F1172" s="8" t="n">
        <f aca="false">INDEX(Radicals!$D$2:$D$215,MATCH(C1172,Radicals!$A$2:$A$215,0))</f>
        <v>2</v>
      </c>
      <c r="G1172" s="8" t="n">
        <v>11</v>
      </c>
    </row>
    <row r="1173" customFormat="false" ht="17.35" hidden="false" customHeight="false" outlineLevel="0" collapsed="false">
      <c r="A1173" s="8" t="n">
        <v>1172</v>
      </c>
      <c r="B1173" s="9" t="s">
        <v>2188</v>
      </c>
      <c r="C1173" s="8" t="n">
        <v>159</v>
      </c>
      <c r="D1173" s="9" t="str">
        <f aca="false">INDEX(Radicals!$B$2:$B$215,MATCH(C1173,Radicals!$A$2:$A$215,0))</f>
        <v>車</v>
      </c>
      <c r="E1173" s="10" t="str">
        <f aca="false">INDEX(Radicals!$G$2:$G$215,MATCH(C1173,Radicals!$A$2:$A$215,0))</f>
        <v>cart, vehicle</v>
      </c>
      <c r="F1173" s="8" t="n">
        <f aca="false">INDEX(Radicals!$D$2:$D$215,MATCH(C1173,Radicals!$A$2:$A$215,0))</f>
        <v>7</v>
      </c>
      <c r="G1173" s="8" t="n">
        <v>13</v>
      </c>
    </row>
    <row r="1174" customFormat="false" ht="17.35" hidden="false" customHeight="false" outlineLevel="0" collapsed="false">
      <c r="A1174" s="8" t="n">
        <v>1173</v>
      </c>
      <c r="B1174" s="9" t="s">
        <v>2189</v>
      </c>
      <c r="C1174" s="8" t="n">
        <v>146</v>
      </c>
      <c r="D1174" s="9" t="str">
        <f aca="false">INDEX(Radicals!$B$2:$B$215,MATCH(C1174,Radicals!$A$2:$A$215,0))</f>
        <v>襾</v>
      </c>
      <c r="E1174" s="10" t="str">
        <f aca="false">INDEX(Radicals!$G$2:$G$215,MATCH(C1174,Radicals!$A$2:$A$215,0))</f>
        <v>west, cover</v>
      </c>
      <c r="F1174" s="8" t="n">
        <f aca="false">INDEX(Radicals!$D$2:$D$215,MATCH(C1174,Radicals!$A$2:$A$215,0))</f>
        <v>6</v>
      </c>
      <c r="G1174" s="8" t="n">
        <v>19</v>
      </c>
    </row>
    <row r="1175" customFormat="false" ht="17.35" hidden="false" customHeight="false" outlineLevel="0" collapsed="false">
      <c r="A1175" s="8" t="n">
        <v>1174</v>
      </c>
      <c r="B1175" s="9" t="s">
        <v>2190</v>
      </c>
      <c r="C1175" s="8" t="n">
        <v>10</v>
      </c>
      <c r="D1175" s="9" t="str">
        <f aca="false">INDEX(Radicals!$B$2:$B$215,MATCH(C1175,Radicals!$A$2:$A$215,0))</f>
        <v>儿</v>
      </c>
      <c r="E1175" s="10" t="str">
        <f aca="false">INDEX(Radicals!$G$2:$G$215,MATCH(C1175,Radicals!$A$2:$A$215,0))</f>
        <v>legs, walking person</v>
      </c>
      <c r="F1175" s="8" t="n">
        <f aca="false">INDEX(Radicals!$D$2:$D$215,MATCH(C1175,Radicals!$A$2:$A$215,0))</f>
        <v>2</v>
      </c>
      <c r="G1175" s="8" t="n">
        <v>6</v>
      </c>
    </row>
    <row r="1176" customFormat="false" ht="17.35" hidden="false" customHeight="false" outlineLevel="0" collapsed="false">
      <c r="A1176" s="8" t="n">
        <v>1175</v>
      </c>
      <c r="B1176" s="9" t="s">
        <v>2191</v>
      </c>
      <c r="C1176" s="8" t="n">
        <v>53</v>
      </c>
      <c r="D1176" s="9" t="str">
        <f aca="false">INDEX(Radicals!$B$2:$B$215,MATCH(C1176,Radicals!$A$2:$A$215,0))</f>
        <v>广</v>
      </c>
      <c r="E1176" s="10" t="str">
        <f aca="false">INDEX(Radicals!$G$2:$G$215,MATCH(C1176,Radicals!$A$2:$A$215,0))</f>
        <v>dotted cliff, building</v>
      </c>
      <c r="F1176" s="8" t="n">
        <f aca="false">INDEX(Radicals!$D$2:$D$215,MATCH(C1176,Radicals!$A$2:$A$215,0))</f>
        <v>3</v>
      </c>
      <c r="G1176" s="8" t="n">
        <v>7</v>
      </c>
    </row>
    <row r="1177" customFormat="false" ht="17.35" hidden="false" customHeight="false" outlineLevel="0" collapsed="false">
      <c r="A1177" s="8" t="n">
        <v>1176</v>
      </c>
      <c r="B1177" s="9" t="s">
        <v>2192</v>
      </c>
      <c r="C1177" s="8" t="n">
        <v>102</v>
      </c>
      <c r="D1177" s="9" t="str">
        <f aca="false">INDEX(Radicals!$B$2:$B$215,MATCH(C1177,Radicals!$A$2:$A$215,0))</f>
        <v>田</v>
      </c>
      <c r="E1177" s="10" t="str">
        <f aca="false">INDEX(Radicals!$G$2:$G$215,MATCH(C1177,Radicals!$A$2:$A$215,0))</f>
        <v>field, paddy</v>
      </c>
      <c r="F1177" s="8" t="n">
        <f aca="false">INDEX(Radicals!$D$2:$D$215,MATCH(C1177,Radicals!$A$2:$A$215,0))</f>
        <v>5</v>
      </c>
      <c r="G1177" s="8" t="n">
        <v>9</v>
      </c>
    </row>
    <row r="1178" customFormat="false" ht="17.35" hidden="false" customHeight="false" outlineLevel="0" collapsed="false">
      <c r="A1178" s="8" t="n">
        <v>1177</v>
      </c>
      <c r="B1178" s="9" t="s">
        <v>2193</v>
      </c>
      <c r="C1178" s="8" t="n">
        <v>61</v>
      </c>
      <c r="D1178" s="9" t="str">
        <f aca="false">INDEX(Radicals!$B$2:$B$215,MATCH(C1178,Radicals!$A$2:$A$215,0))</f>
        <v>心</v>
      </c>
      <c r="E1178" s="10" t="str">
        <f aca="false">INDEX(Radicals!$G$2:$G$215,MATCH(C1178,Radicals!$A$2:$A$215,0))</f>
        <v>heart, mind</v>
      </c>
      <c r="F1178" s="8" t="n">
        <f aca="false">INDEX(Radicals!$D$2:$D$215,MATCH(C1178,Radicals!$A$2:$A$215,0))</f>
        <v>4</v>
      </c>
      <c r="G1178" s="8" t="n">
        <v>14</v>
      </c>
    </row>
    <row r="1179" customFormat="false" ht="17.35" hidden="false" customHeight="false" outlineLevel="0" collapsed="false">
      <c r="A1179" s="8" t="n">
        <v>1178</v>
      </c>
      <c r="B1179" s="9" t="s">
        <v>2194</v>
      </c>
      <c r="C1179" s="8" t="n">
        <v>149</v>
      </c>
      <c r="D1179" s="9" t="str">
        <f aca="false">INDEX(Radicals!$B$2:$B$215,MATCH(C1179,Radicals!$A$2:$A$215,0))</f>
        <v>言</v>
      </c>
      <c r="E1179" s="10" t="str">
        <f aca="false">INDEX(Radicals!$G$2:$G$215,MATCH(C1179,Radicals!$A$2:$A$215,0))</f>
        <v>speech, say</v>
      </c>
      <c r="F1179" s="8" t="n">
        <f aca="false">INDEX(Radicals!$D$2:$D$215,MATCH(C1179,Radicals!$A$2:$A$215,0))</f>
        <v>7</v>
      </c>
      <c r="G1179" s="8" t="n">
        <v>13</v>
      </c>
    </row>
    <row r="1180" customFormat="false" ht="17.35" hidden="false" customHeight="false" outlineLevel="0" collapsed="false">
      <c r="A1180" s="8" t="n">
        <v>1179</v>
      </c>
      <c r="B1180" s="9" t="s">
        <v>440</v>
      </c>
      <c r="C1180" s="8" t="n">
        <v>82</v>
      </c>
      <c r="D1180" s="9" t="str">
        <f aca="false">INDEX(Radicals!$B$2:$B$215,MATCH(C1180,Radicals!$A$2:$A$215,0))</f>
        <v>毛</v>
      </c>
      <c r="E1180" s="10" t="str">
        <f aca="false">INDEX(Radicals!$G$2:$G$215,MATCH(C1180,Radicals!$A$2:$A$215,0))</f>
        <v>fur, hair</v>
      </c>
      <c r="F1180" s="8" t="n">
        <f aca="false">INDEX(Radicals!$D$2:$D$215,MATCH(C1180,Radicals!$A$2:$A$215,0))</f>
        <v>4</v>
      </c>
      <c r="G1180" s="8" t="n">
        <v>4</v>
      </c>
    </row>
    <row r="1181" customFormat="false" ht="17.35" hidden="false" customHeight="false" outlineLevel="0" collapsed="false">
      <c r="A1181" s="8" t="n">
        <v>1180</v>
      </c>
      <c r="B1181" s="9" t="s">
        <v>2195</v>
      </c>
      <c r="C1181" s="8" t="n">
        <v>120</v>
      </c>
      <c r="D1181" s="9" t="str">
        <f aca="false">INDEX(Radicals!$B$2:$B$215,MATCH(C1181,Radicals!$A$2:$A$215,0))</f>
        <v>糸</v>
      </c>
      <c r="E1181" s="10" t="str">
        <f aca="false">INDEX(Radicals!$G$2:$G$215,MATCH(C1181,Radicals!$A$2:$A$215,0))</f>
        <v>thread, silk</v>
      </c>
      <c r="F1181" s="8" t="n">
        <f aca="false">INDEX(Radicals!$D$2:$D$215,MATCH(C1181,Radicals!$A$2:$A$215,0))</f>
        <v>6</v>
      </c>
      <c r="G1181" s="8" t="n">
        <v>14</v>
      </c>
    </row>
    <row r="1182" customFormat="false" ht="17.35" hidden="false" customHeight="false" outlineLevel="0" collapsed="false">
      <c r="A1182" s="8" t="n">
        <v>1181</v>
      </c>
      <c r="B1182" s="9" t="s">
        <v>2196</v>
      </c>
      <c r="C1182" s="8" t="n">
        <v>41</v>
      </c>
      <c r="D1182" s="9" t="str">
        <f aca="false">INDEX(Radicals!$B$2:$B$215,MATCH(C1182,Radicals!$A$2:$A$215,0))</f>
        <v>寸</v>
      </c>
      <c r="E1182" s="10" t="str">
        <f aca="false">INDEX(Radicals!$G$2:$G$215,MATCH(C1182,Radicals!$A$2:$A$215,0))</f>
        <v>inch</v>
      </c>
      <c r="F1182" s="8" t="n">
        <f aca="false">INDEX(Radicals!$D$2:$D$215,MATCH(C1182,Radicals!$A$2:$A$215,0))</f>
        <v>3</v>
      </c>
      <c r="G1182" s="8" t="n">
        <v>12</v>
      </c>
    </row>
    <row r="1183" customFormat="false" ht="17.35" hidden="false" customHeight="false" outlineLevel="0" collapsed="false">
      <c r="A1183" s="8" t="n">
        <v>1182</v>
      </c>
      <c r="B1183" s="9" t="s">
        <v>2197</v>
      </c>
      <c r="C1183" s="8" t="n">
        <v>64</v>
      </c>
      <c r="D1183" s="9" t="str">
        <f aca="false">INDEX(Radicals!$B$2:$B$215,MATCH(C1183,Radicals!$A$2:$A$215,0))</f>
        <v>手</v>
      </c>
      <c r="E1183" s="10" t="str">
        <f aca="false">INDEX(Radicals!$G$2:$G$215,MATCH(C1183,Radicals!$A$2:$A$215,0))</f>
        <v>hand</v>
      </c>
      <c r="F1183" s="8" t="n">
        <f aca="false">INDEX(Radicals!$D$2:$D$215,MATCH(C1183,Radicals!$A$2:$A$215,0))</f>
        <v>4</v>
      </c>
      <c r="G1183" s="8" t="n">
        <v>8</v>
      </c>
    </row>
    <row r="1184" customFormat="false" ht="17.35" hidden="false" customHeight="false" outlineLevel="0" collapsed="false">
      <c r="A1184" s="8" t="n">
        <v>1183</v>
      </c>
      <c r="B1184" s="9" t="s">
        <v>2198</v>
      </c>
      <c r="C1184" s="8" t="n">
        <v>130</v>
      </c>
      <c r="D1184" s="9" t="str">
        <f aca="false">INDEX(Radicals!$B$2:$B$215,MATCH(C1184,Radicals!$A$2:$A$215,0))</f>
        <v>肉</v>
      </c>
      <c r="E1184" s="10" t="str">
        <f aca="false">INDEX(Radicals!$G$2:$G$215,MATCH(C1184,Radicals!$A$2:$A$215,0))</f>
        <v>meat, flesh</v>
      </c>
      <c r="F1184" s="8" t="n">
        <f aca="false">INDEX(Radicals!$D$2:$D$215,MATCH(C1184,Radicals!$A$2:$A$215,0))</f>
        <v>6</v>
      </c>
      <c r="G1184" s="8" t="n">
        <v>10</v>
      </c>
    </row>
    <row r="1185" customFormat="false" ht="17.35" hidden="false" customHeight="false" outlineLevel="0" collapsed="false">
      <c r="A1185" s="8" t="n">
        <v>1184</v>
      </c>
      <c r="B1185" s="9" t="s">
        <v>2199</v>
      </c>
      <c r="C1185" s="8" t="n">
        <v>113</v>
      </c>
      <c r="D1185" s="9" t="str">
        <f aca="false">INDEX(Radicals!$B$2:$B$215,MATCH(C1185,Radicals!$A$2:$A$215,0))</f>
        <v>示</v>
      </c>
      <c r="E1185" s="10" t="str">
        <f aca="false">INDEX(Radicals!$G$2:$G$215,MATCH(C1185,Radicals!$A$2:$A$215,0))</f>
        <v>spirit, altar, show</v>
      </c>
      <c r="F1185" s="8" t="n">
        <f aca="false">INDEX(Radicals!$D$2:$D$215,MATCH(C1185,Radicals!$A$2:$A$215,0))</f>
        <v>5</v>
      </c>
      <c r="G1185" s="8" t="n">
        <v>9</v>
      </c>
    </row>
    <row r="1186" customFormat="false" ht="17.35" hidden="false" customHeight="false" outlineLevel="0" collapsed="false">
      <c r="A1186" s="8" t="n">
        <v>1185</v>
      </c>
      <c r="B1186" s="9" t="s">
        <v>2200</v>
      </c>
      <c r="C1186" s="8" t="n">
        <v>113</v>
      </c>
      <c r="D1186" s="9" t="str">
        <f aca="false">INDEX(Radicals!$B$2:$B$215,MATCH(C1186,Radicals!$A$2:$A$215,0))</f>
        <v>示</v>
      </c>
      <c r="E1186" s="10" t="str">
        <f aca="false">INDEX(Radicals!$G$2:$G$215,MATCH(C1186,Radicals!$A$2:$A$215,0))</f>
        <v>spirit, altar, show</v>
      </c>
      <c r="F1186" s="8" t="n">
        <f aca="false">INDEX(Radicals!$D$2:$D$215,MATCH(C1186,Radicals!$A$2:$A$215,0))</f>
        <v>5</v>
      </c>
      <c r="G1186" s="8" t="n">
        <v>5</v>
      </c>
    </row>
    <row r="1187" customFormat="false" ht="17.35" hidden="false" customHeight="false" outlineLevel="0" collapsed="false">
      <c r="A1187" s="8" t="n">
        <v>1186</v>
      </c>
      <c r="B1187" s="9" t="s">
        <v>2201</v>
      </c>
      <c r="C1187" s="8" t="n">
        <v>116</v>
      </c>
      <c r="D1187" s="9" t="str">
        <f aca="false">INDEX(Radicals!$B$2:$B$215,MATCH(C1187,Radicals!$A$2:$A$215,0))</f>
        <v>穴</v>
      </c>
      <c r="E1187" s="10" t="str">
        <f aca="false">INDEX(Radicals!$G$2:$G$215,MATCH(C1187,Radicals!$A$2:$A$215,0))</f>
        <v>cave, hole</v>
      </c>
      <c r="F1187" s="8" t="n">
        <f aca="false">INDEX(Radicals!$D$2:$D$215,MATCH(C1187,Radicals!$A$2:$A$215,0))</f>
        <v>5</v>
      </c>
      <c r="G1187" s="8" t="n">
        <v>11</v>
      </c>
    </row>
    <row r="1188" customFormat="false" ht="17.35" hidden="false" customHeight="false" outlineLevel="0" collapsed="false">
      <c r="A1188" s="8" t="n">
        <v>1187</v>
      </c>
      <c r="B1188" s="9" t="s">
        <v>2202</v>
      </c>
      <c r="C1188" s="8" t="n">
        <v>75</v>
      </c>
      <c r="D1188" s="9" t="str">
        <f aca="false">INDEX(Radicals!$B$2:$B$215,MATCH(C1188,Radicals!$A$2:$A$215,0))</f>
        <v>木</v>
      </c>
      <c r="E1188" s="10" t="str">
        <f aca="false">INDEX(Radicals!$G$2:$G$215,MATCH(C1188,Radicals!$A$2:$A$215,0))</f>
        <v>tree, wood</v>
      </c>
      <c r="F1188" s="8" t="n">
        <f aca="false">INDEX(Radicals!$D$2:$D$215,MATCH(C1188,Radicals!$A$2:$A$215,0))</f>
        <v>4</v>
      </c>
      <c r="G1188" s="8" t="n">
        <v>9</v>
      </c>
    </row>
    <row r="1189" customFormat="false" ht="17.35" hidden="false" customHeight="false" outlineLevel="0" collapsed="false">
      <c r="A1189" s="8" t="n">
        <v>1188</v>
      </c>
      <c r="B1189" s="9" t="s">
        <v>2203</v>
      </c>
      <c r="C1189" s="8" t="n">
        <v>140</v>
      </c>
      <c r="D1189" s="9" t="str">
        <f aca="false">INDEX(Radicals!$B$2:$B$215,MATCH(C1189,Radicals!$A$2:$A$215,0))</f>
        <v>艸</v>
      </c>
      <c r="E1189" s="10" t="str">
        <f aca="false">INDEX(Radicals!$G$2:$G$215,MATCH(C1189,Radicals!$A$2:$A$215,0))</f>
        <v>grass, plant</v>
      </c>
      <c r="F1189" s="8" t="n">
        <f aca="false">INDEX(Radicals!$D$2:$D$215,MATCH(C1189,Radicals!$A$2:$A$215,0))</f>
        <v>6</v>
      </c>
      <c r="G1189" s="8" t="n">
        <v>8</v>
      </c>
    </row>
    <row r="1190" customFormat="false" ht="17.35" hidden="false" customHeight="false" outlineLevel="0" collapsed="false">
      <c r="A1190" s="8" t="n">
        <v>1189</v>
      </c>
      <c r="B1190" s="9" t="s">
        <v>2204</v>
      </c>
      <c r="C1190" s="8" t="n">
        <v>93</v>
      </c>
      <c r="D1190" s="9" t="str">
        <f aca="false">INDEX(Radicals!$B$2:$B$215,MATCH(C1190,Radicals!$A$2:$A$215,0))</f>
        <v>牛</v>
      </c>
      <c r="E1190" s="10" t="str">
        <f aca="false">INDEX(Radicals!$G$2:$G$215,MATCH(C1190,Radicals!$A$2:$A$215,0))</f>
        <v>cow, ox</v>
      </c>
      <c r="F1190" s="8" t="n">
        <f aca="false">INDEX(Radicals!$D$2:$D$215,MATCH(C1190,Radicals!$A$2:$A$215,0))</f>
        <v>4</v>
      </c>
      <c r="G1190" s="8" t="n">
        <v>17</v>
      </c>
    </row>
    <row r="1191" customFormat="false" ht="17.35" hidden="false" customHeight="false" outlineLevel="0" collapsed="false">
      <c r="A1191" s="8" t="n">
        <v>1190</v>
      </c>
      <c r="B1191" s="9" t="s">
        <v>2205</v>
      </c>
      <c r="C1191" s="8" t="n">
        <v>70</v>
      </c>
      <c r="D1191" s="9" t="str">
        <f aca="false">INDEX(Radicals!$B$2:$B$215,MATCH(C1191,Radicals!$A$2:$A$215,0))</f>
        <v>方</v>
      </c>
      <c r="E1191" s="10" t="str">
        <f aca="false">INDEX(Radicals!$G$2:$G$215,MATCH(C1191,Radicals!$A$2:$A$215,0))</f>
        <v>square, direction</v>
      </c>
      <c r="F1191" s="8" t="n">
        <f aca="false">INDEX(Radicals!$D$2:$D$215,MATCH(C1191,Radicals!$A$2:$A$215,0))</f>
        <v>4</v>
      </c>
      <c r="G1191" s="8" t="n">
        <v>14</v>
      </c>
    </row>
    <row r="1192" customFormat="false" ht="17.35" hidden="false" customHeight="false" outlineLevel="0" collapsed="false">
      <c r="A1192" s="8" t="n">
        <v>1191</v>
      </c>
      <c r="B1192" s="9" t="s">
        <v>2206</v>
      </c>
      <c r="C1192" s="8" t="n">
        <v>157</v>
      </c>
      <c r="D1192" s="9" t="str">
        <f aca="false">INDEX(Radicals!$B$2:$B$215,MATCH(C1192,Radicals!$A$2:$A$215,0))</f>
        <v>足</v>
      </c>
      <c r="E1192" s="10" t="str">
        <f aca="false">INDEX(Radicals!$G$2:$G$215,MATCH(C1192,Radicals!$A$2:$A$215,0))</f>
        <v>foot, leg</v>
      </c>
      <c r="F1192" s="8" t="n">
        <f aca="false">INDEX(Radicals!$D$2:$D$215,MATCH(C1192,Radicals!$A$2:$A$215,0))</f>
        <v>7</v>
      </c>
      <c r="G1192" s="8" t="n">
        <v>12</v>
      </c>
    </row>
    <row r="1193" customFormat="false" ht="17.35" hidden="false" customHeight="false" outlineLevel="0" collapsed="false">
      <c r="A1193" s="8" t="n">
        <v>1192</v>
      </c>
      <c r="B1193" s="9" t="s">
        <v>2207</v>
      </c>
      <c r="C1193" s="8" t="n">
        <v>172</v>
      </c>
      <c r="D1193" s="9" t="str">
        <f aca="false">INDEX(Radicals!$B$2:$B$215,MATCH(C1193,Radicals!$A$2:$A$215,0))</f>
        <v>隹</v>
      </c>
      <c r="E1193" s="10" t="str">
        <f aca="false">INDEX(Radicals!$G$2:$G$215,MATCH(C1193,Radicals!$A$2:$A$215,0))</f>
        <v>short-tailed bird</v>
      </c>
      <c r="F1193" s="8" t="n">
        <f aca="false">INDEX(Radicals!$D$2:$D$215,MATCH(C1193,Radicals!$A$2:$A$215,0))</f>
        <v>8</v>
      </c>
      <c r="G1193" s="8" t="n">
        <v>13</v>
      </c>
    </row>
    <row r="1194" customFormat="false" ht="17.35" hidden="false" customHeight="false" outlineLevel="0" collapsed="false">
      <c r="A1194" s="8" t="n">
        <v>1193</v>
      </c>
      <c r="B1194" s="9" t="s">
        <v>2208</v>
      </c>
      <c r="C1194" s="8" t="n">
        <v>184</v>
      </c>
      <c r="D1194" s="9" t="str">
        <f aca="false">INDEX(Radicals!$B$2:$B$215,MATCH(C1194,Radicals!$A$2:$A$215,0))</f>
        <v>食</v>
      </c>
      <c r="E1194" s="10" t="str">
        <f aca="false">INDEX(Radicals!$G$2:$G$215,MATCH(C1194,Radicals!$A$2:$A$215,0))</f>
        <v>eat, food</v>
      </c>
      <c r="F1194" s="8" t="n">
        <f aca="false">INDEX(Radicals!$D$2:$D$215,MATCH(C1194,Radicals!$A$2:$A$215,0))</f>
        <v>9</v>
      </c>
      <c r="G1194" s="8" t="n">
        <v>13</v>
      </c>
    </row>
    <row r="1195" customFormat="false" ht="17.35" hidden="false" customHeight="false" outlineLevel="0" collapsed="false">
      <c r="A1195" s="8" t="n">
        <v>1194</v>
      </c>
      <c r="B1195" s="9" t="s">
        <v>2209</v>
      </c>
      <c r="C1195" s="8" t="n">
        <v>120</v>
      </c>
      <c r="D1195" s="9" t="str">
        <f aca="false">INDEX(Radicals!$B$2:$B$215,MATCH(C1195,Radicals!$A$2:$A$215,0))</f>
        <v>糸</v>
      </c>
      <c r="E1195" s="10" t="str">
        <f aca="false">INDEX(Radicals!$G$2:$G$215,MATCH(C1195,Radicals!$A$2:$A$215,0))</f>
        <v>thread, silk</v>
      </c>
      <c r="F1195" s="8" t="n">
        <f aca="false">INDEX(Radicals!$D$2:$D$215,MATCH(C1195,Radicals!$A$2:$A$215,0))</f>
        <v>6</v>
      </c>
      <c r="G1195" s="8" t="n">
        <v>14</v>
      </c>
    </row>
    <row r="1196" customFormat="false" ht="17.35" hidden="false" customHeight="false" outlineLevel="0" collapsed="false">
      <c r="A1196" s="8" t="n">
        <v>1195</v>
      </c>
      <c r="B1196" s="9" t="s">
        <v>1094</v>
      </c>
      <c r="C1196" s="8" t="n">
        <v>117</v>
      </c>
      <c r="D1196" s="9" t="str">
        <f aca="false">INDEX(Radicals!$B$2:$B$215,MATCH(C1196,Radicals!$A$2:$A$215,0))</f>
        <v>立</v>
      </c>
      <c r="E1196" s="10" t="str">
        <f aca="false">INDEX(Radicals!$G$2:$G$215,MATCH(C1196,Radicals!$A$2:$A$215,0))</f>
        <v>stand</v>
      </c>
      <c r="F1196" s="8" t="n">
        <f aca="false">INDEX(Radicals!$D$2:$D$215,MATCH(C1196,Radicals!$A$2:$A$215,0))</f>
        <v>5</v>
      </c>
      <c r="G1196" s="8" t="n">
        <v>10</v>
      </c>
    </row>
    <row r="1197" customFormat="false" ht="17.35" hidden="false" customHeight="false" outlineLevel="0" collapsed="false">
      <c r="A1197" s="8" t="n">
        <v>1196</v>
      </c>
      <c r="B1197" s="9" t="s">
        <v>2210</v>
      </c>
      <c r="C1197" s="8" t="n">
        <v>149</v>
      </c>
      <c r="D1197" s="9" t="str">
        <f aca="false">INDEX(Radicals!$B$2:$B$215,MATCH(C1197,Radicals!$A$2:$A$215,0))</f>
        <v>言</v>
      </c>
      <c r="E1197" s="10" t="str">
        <f aca="false">INDEX(Radicals!$G$2:$G$215,MATCH(C1197,Radicals!$A$2:$A$215,0))</f>
        <v>speech, say</v>
      </c>
      <c r="F1197" s="8" t="n">
        <f aca="false">INDEX(Radicals!$D$2:$D$215,MATCH(C1197,Radicals!$A$2:$A$215,0))</f>
        <v>7</v>
      </c>
      <c r="G1197" s="8" t="n">
        <v>13</v>
      </c>
    </row>
    <row r="1198" customFormat="false" ht="17.35" hidden="false" customHeight="false" outlineLevel="0" collapsed="false">
      <c r="A1198" s="8" t="n">
        <v>1197</v>
      </c>
      <c r="B1198" s="9" t="s">
        <v>2211</v>
      </c>
      <c r="C1198" s="8" t="n">
        <v>72</v>
      </c>
      <c r="D1198" s="9" t="str">
        <f aca="false">INDEX(Radicals!$B$2:$B$215,MATCH(C1198,Radicals!$A$2:$A$215,0))</f>
        <v>日</v>
      </c>
      <c r="E1198" s="10" t="str">
        <f aca="false">INDEX(Radicals!$G$2:$G$215,MATCH(C1198,Radicals!$A$2:$A$215,0))</f>
        <v>sun, day</v>
      </c>
      <c r="F1198" s="8" t="n">
        <f aca="false">INDEX(Radicals!$D$2:$D$215,MATCH(C1198,Radicals!$A$2:$A$215,0))</f>
        <v>4</v>
      </c>
      <c r="G1198" s="8" t="n">
        <v>8</v>
      </c>
    </row>
    <row r="1199" customFormat="false" ht="17.35" hidden="false" customHeight="false" outlineLevel="0" collapsed="false">
      <c r="A1199" s="8" t="n">
        <v>1198</v>
      </c>
      <c r="B1199" s="9" t="s">
        <v>2212</v>
      </c>
      <c r="C1199" s="8" t="n">
        <v>120</v>
      </c>
      <c r="D1199" s="9" t="str">
        <f aca="false">INDEX(Radicals!$B$2:$B$215,MATCH(C1199,Radicals!$A$2:$A$215,0))</f>
        <v>糸</v>
      </c>
      <c r="E1199" s="10" t="str">
        <f aca="false">INDEX(Radicals!$G$2:$G$215,MATCH(C1199,Radicals!$A$2:$A$215,0))</f>
        <v>thread, silk</v>
      </c>
      <c r="F1199" s="8" t="n">
        <f aca="false">INDEX(Radicals!$D$2:$D$215,MATCH(C1199,Radicals!$A$2:$A$215,0))</f>
        <v>6</v>
      </c>
      <c r="G1199" s="8" t="n">
        <v>16</v>
      </c>
    </row>
    <row r="1200" customFormat="false" ht="17.35" hidden="false" customHeight="false" outlineLevel="0" collapsed="false">
      <c r="A1200" s="8" t="n">
        <v>1199</v>
      </c>
      <c r="B1200" s="9" t="s">
        <v>2213</v>
      </c>
      <c r="C1200" s="8" t="n">
        <v>79</v>
      </c>
      <c r="D1200" s="9" t="str">
        <f aca="false">INDEX(Radicals!$B$2:$B$215,MATCH(C1200,Radicals!$A$2:$A$215,0))</f>
        <v>殳</v>
      </c>
      <c r="E1200" s="10" t="str">
        <f aca="false">INDEX(Radicals!$G$2:$G$215,MATCH(C1200,Radicals!$A$2:$A$215,0))</f>
        <v>weapon, to strike</v>
      </c>
      <c r="F1200" s="8" t="n">
        <f aca="false">INDEX(Radicals!$D$2:$D$215,MATCH(C1200,Radicals!$A$2:$A$215,0))</f>
        <v>4</v>
      </c>
      <c r="G1200" s="8" t="n">
        <v>13</v>
      </c>
    </row>
    <row r="1201" customFormat="false" ht="17.35" hidden="false" customHeight="false" outlineLevel="0" collapsed="false">
      <c r="A1201" s="8" t="n">
        <v>1200</v>
      </c>
      <c r="B1201" s="9" t="s">
        <v>2214</v>
      </c>
      <c r="C1201" s="8" t="n">
        <v>85</v>
      </c>
      <c r="D1201" s="9" t="str">
        <f aca="false">INDEX(Radicals!$B$2:$B$215,MATCH(C1201,Radicals!$A$2:$A$215,0))</f>
        <v>水</v>
      </c>
      <c r="E1201" s="10" t="str">
        <f aca="false">INDEX(Radicals!$G$2:$G$215,MATCH(C1201,Radicals!$A$2:$A$215,0))</f>
        <v>water</v>
      </c>
      <c r="F1201" s="8" t="n">
        <f aca="false">INDEX(Radicals!$D$2:$D$215,MATCH(C1201,Radicals!$A$2:$A$215,0))</f>
        <v>4</v>
      </c>
      <c r="G1201" s="8" t="n">
        <v>16</v>
      </c>
    </row>
    <row r="1202" customFormat="false" ht="17.35" hidden="false" customHeight="false" outlineLevel="0" collapsed="false">
      <c r="A1202" s="8" t="n">
        <v>1201</v>
      </c>
      <c r="B1202" s="9" t="s">
        <v>2215</v>
      </c>
      <c r="C1202" s="8" t="n">
        <v>124</v>
      </c>
      <c r="D1202" s="9" t="str">
        <f aca="false">INDEX(Radicals!$B$2:$B$215,MATCH(C1202,Radicals!$A$2:$A$215,0))</f>
        <v>羽</v>
      </c>
      <c r="E1202" s="10" t="str">
        <f aca="false">INDEX(Radicals!$G$2:$G$215,MATCH(C1202,Radicals!$A$2:$A$215,0))</f>
        <v>feather, wing</v>
      </c>
      <c r="F1202" s="8" t="n">
        <f aca="false">INDEX(Radicals!$D$2:$D$215,MATCH(C1202,Radicals!$A$2:$A$215,0))</f>
        <v>6</v>
      </c>
      <c r="G1202" s="8" t="n">
        <v>17</v>
      </c>
    </row>
    <row r="1203" customFormat="false" ht="17.35" hidden="false" customHeight="false" outlineLevel="0" collapsed="false">
      <c r="A1203" s="8" t="n">
        <v>1202</v>
      </c>
      <c r="B1203" s="9" t="s">
        <v>496</v>
      </c>
      <c r="C1203" s="8" t="n">
        <v>93</v>
      </c>
      <c r="D1203" s="9" t="str">
        <f aca="false">INDEX(Radicals!$B$2:$B$215,MATCH(C1203,Radicals!$A$2:$A$215,0))</f>
        <v>牛</v>
      </c>
      <c r="E1203" s="10" t="str">
        <f aca="false">INDEX(Radicals!$G$2:$G$215,MATCH(C1203,Radicals!$A$2:$A$215,0))</f>
        <v>cow, ox</v>
      </c>
      <c r="F1203" s="8" t="n">
        <f aca="false">INDEX(Radicals!$D$2:$D$215,MATCH(C1203,Radicals!$A$2:$A$215,0))</f>
        <v>4</v>
      </c>
      <c r="G1203" s="8" t="n">
        <v>4</v>
      </c>
    </row>
    <row r="1204" customFormat="false" ht="17.35" hidden="false" customHeight="false" outlineLevel="0" collapsed="false">
      <c r="A1204" s="8" t="n">
        <v>1203</v>
      </c>
      <c r="B1204" s="9" t="s">
        <v>2216</v>
      </c>
      <c r="C1204" s="8" t="n">
        <v>140</v>
      </c>
      <c r="D1204" s="9" t="str">
        <f aca="false">INDEX(Radicals!$B$2:$B$215,MATCH(C1204,Radicals!$A$2:$A$215,0))</f>
        <v>艸</v>
      </c>
      <c r="E1204" s="10" t="str">
        <f aca="false">INDEX(Radicals!$G$2:$G$215,MATCH(C1204,Radicals!$A$2:$A$215,0))</f>
        <v>grass, plant</v>
      </c>
      <c r="F1204" s="8" t="n">
        <f aca="false">INDEX(Radicals!$D$2:$D$215,MATCH(C1204,Radicals!$A$2:$A$215,0))</f>
        <v>6</v>
      </c>
      <c r="G1204" s="8" t="n">
        <v>9</v>
      </c>
    </row>
    <row r="1205" customFormat="false" ht="17.35" hidden="false" customHeight="false" outlineLevel="0" collapsed="false">
      <c r="A1205" s="8" t="n">
        <v>1204</v>
      </c>
      <c r="B1205" s="9" t="s">
        <v>2217</v>
      </c>
      <c r="C1205" s="8" t="n">
        <v>85</v>
      </c>
      <c r="D1205" s="9" t="str">
        <f aca="false">INDEX(Radicals!$B$2:$B$215,MATCH(C1205,Radicals!$A$2:$A$215,0))</f>
        <v>水</v>
      </c>
      <c r="E1205" s="10" t="str">
        <f aca="false">INDEX(Radicals!$G$2:$G$215,MATCH(C1205,Radicals!$A$2:$A$215,0))</f>
        <v>water</v>
      </c>
      <c r="F1205" s="8" t="n">
        <f aca="false">INDEX(Radicals!$D$2:$D$215,MATCH(C1205,Radicals!$A$2:$A$215,0))</f>
        <v>4</v>
      </c>
      <c r="G1205" s="8" t="n">
        <v>15</v>
      </c>
    </row>
    <row r="1206" customFormat="false" ht="17.35" hidden="false" customHeight="false" outlineLevel="0" collapsed="false">
      <c r="A1206" s="8" t="n">
        <v>1205</v>
      </c>
      <c r="B1206" s="9" t="s">
        <v>2218</v>
      </c>
      <c r="C1206" s="8" t="n">
        <v>66</v>
      </c>
      <c r="D1206" s="9" t="str">
        <f aca="false">INDEX(Radicals!$B$2:$B$215,MATCH(C1206,Radicals!$A$2:$A$215,0))</f>
        <v>攴</v>
      </c>
      <c r="E1206" s="10" t="str">
        <f aca="false">INDEX(Radicals!$G$2:$G$215,MATCH(C1206,Radicals!$A$2:$A$215,0))</f>
        <v>rap, tap, strike</v>
      </c>
      <c r="F1206" s="8" t="n">
        <f aca="false">INDEX(Radicals!$D$2:$D$215,MATCH(C1206,Radicals!$A$2:$A$215,0))</f>
        <v>4</v>
      </c>
      <c r="G1206" s="8" t="n">
        <v>15</v>
      </c>
    </row>
    <row r="1207" customFormat="false" ht="17.35" hidden="false" customHeight="false" outlineLevel="0" collapsed="false">
      <c r="A1207" s="8" t="n">
        <v>1206</v>
      </c>
      <c r="B1207" s="9" t="s">
        <v>2219</v>
      </c>
      <c r="C1207" s="8" t="n">
        <v>194</v>
      </c>
      <c r="D1207" s="9" t="str">
        <f aca="false">INDEX(Radicals!$B$2:$B$215,MATCH(C1207,Radicals!$A$2:$A$215,0))</f>
        <v>鬼</v>
      </c>
      <c r="E1207" s="10" t="str">
        <f aca="false">INDEX(Radicals!$G$2:$G$215,MATCH(C1207,Radicals!$A$2:$A$215,0))</f>
        <v>ghost, demon</v>
      </c>
      <c r="F1207" s="8" t="n">
        <f aca="false">INDEX(Radicals!$D$2:$D$215,MATCH(C1207,Radicals!$A$2:$A$215,0))</f>
        <v>10</v>
      </c>
      <c r="G1207" s="8" t="n">
        <v>15</v>
      </c>
    </row>
    <row r="1208" customFormat="false" ht="17.35" hidden="false" customHeight="false" outlineLevel="0" collapsed="false">
      <c r="A1208" s="8" t="n">
        <v>1207</v>
      </c>
      <c r="B1208" s="9" t="s">
        <v>2220</v>
      </c>
      <c r="C1208" s="8" t="n">
        <v>38</v>
      </c>
      <c r="D1208" s="9" t="str">
        <f aca="false">INDEX(Radicals!$B$2:$B$215,MATCH(C1208,Radicals!$A$2:$A$215,0))</f>
        <v>女</v>
      </c>
      <c r="E1208" s="10" t="str">
        <f aca="false">INDEX(Radicals!$G$2:$G$215,MATCH(C1208,Radicals!$A$2:$A$215,0))</f>
        <v>woman</v>
      </c>
      <c r="F1208" s="8" t="n">
        <f aca="false">INDEX(Radicals!$D$2:$D$215,MATCH(C1208,Radicals!$A$2:$A$215,0))</f>
        <v>3</v>
      </c>
      <c r="G1208" s="8" t="n">
        <v>13</v>
      </c>
    </row>
    <row r="1209" customFormat="false" ht="17.35" hidden="false" customHeight="false" outlineLevel="0" collapsed="false">
      <c r="A1209" s="8" t="n">
        <v>1208</v>
      </c>
      <c r="B1209" s="9" t="s">
        <v>1013</v>
      </c>
      <c r="C1209" s="8" t="n">
        <v>195</v>
      </c>
      <c r="D1209" s="9" t="str">
        <f aca="false">INDEX(Radicals!$B$2:$B$215,MATCH(C1209,Radicals!$A$2:$A$215,0))</f>
        <v>魚</v>
      </c>
      <c r="E1209" s="10" t="str">
        <f aca="false">INDEX(Radicals!$G$2:$G$215,MATCH(C1209,Radicals!$A$2:$A$215,0))</f>
        <v>fish</v>
      </c>
      <c r="F1209" s="8" t="n">
        <f aca="false">INDEX(Radicals!$D$2:$D$215,MATCH(C1209,Radicals!$A$2:$A$215,0))</f>
        <v>11</v>
      </c>
      <c r="G1209" s="8" t="n">
        <v>11</v>
      </c>
    </row>
    <row r="1210" customFormat="false" ht="17.35" hidden="false" customHeight="false" outlineLevel="0" collapsed="false">
      <c r="A1210" s="8" t="n">
        <v>1209</v>
      </c>
      <c r="B1210" s="9" t="s">
        <v>1083</v>
      </c>
      <c r="C1210" s="8" t="n">
        <v>67</v>
      </c>
      <c r="D1210" s="9" t="str">
        <f aca="false">INDEX(Radicals!$B$2:$B$215,MATCH(C1210,Radicals!$A$2:$A$215,0))</f>
        <v>文</v>
      </c>
      <c r="E1210" s="10" t="str">
        <f aca="false">INDEX(Radicals!$G$2:$G$215,MATCH(C1210,Radicals!$A$2:$A$215,0))</f>
        <v>script, literature</v>
      </c>
      <c r="F1210" s="8" t="n">
        <f aca="false">INDEX(Radicals!$D$2:$D$215,MATCH(C1210,Radicals!$A$2:$A$215,0))</f>
        <v>4</v>
      </c>
      <c r="G1210" s="8" t="n">
        <v>8</v>
      </c>
    </row>
    <row r="1211" customFormat="false" ht="17.35" hidden="false" customHeight="false" outlineLevel="0" collapsed="false">
      <c r="A1211" s="8" t="n">
        <v>1210</v>
      </c>
      <c r="B1211" s="9" t="s">
        <v>2221</v>
      </c>
      <c r="C1211" s="8" t="n">
        <v>85</v>
      </c>
      <c r="D1211" s="9" t="str">
        <f aca="false">INDEX(Radicals!$B$2:$B$215,MATCH(C1211,Radicals!$A$2:$A$215,0))</f>
        <v>水</v>
      </c>
      <c r="E1211" s="10" t="str">
        <f aca="false">INDEX(Radicals!$G$2:$G$215,MATCH(C1211,Radicals!$A$2:$A$215,0))</f>
        <v>water</v>
      </c>
      <c r="F1211" s="8" t="n">
        <f aca="false">INDEX(Radicals!$D$2:$D$215,MATCH(C1211,Radicals!$A$2:$A$215,0))</f>
        <v>4</v>
      </c>
      <c r="G1211" s="8" t="n">
        <v>11</v>
      </c>
    </row>
    <row r="1212" customFormat="false" ht="17.35" hidden="false" customHeight="false" outlineLevel="0" collapsed="false">
      <c r="A1212" s="8" t="n">
        <v>1211</v>
      </c>
      <c r="B1212" s="9" t="s">
        <v>2222</v>
      </c>
      <c r="C1212" s="8" t="n">
        <v>154</v>
      </c>
      <c r="D1212" s="9" t="str">
        <f aca="false">INDEX(Radicals!$B$2:$B$215,MATCH(C1212,Radicals!$A$2:$A$215,0))</f>
        <v>貝</v>
      </c>
      <c r="E1212" s="10" t="str">
        <f aca="false">INDEX(Radicals!$G$2:$G$215,MATCH(C1212,Radicals!$A$2:$A$215,0))</f>
        <v>shell, money</v>
      </c>
      <c r="F1212" s="8" t="n">
        <f aca="false">INDEX(Radicals!$D$2:$D$215,MATCH(C1212,Radicals!$A$2:$A$215,0))</f>
        <v>7</v>
      </c>
      <c r="G1212" s="8" t="n">
        <v>11</v>
      </c>
    </row>
    <row r="1213" customFormat="false" ht="17.35" hidden="false" customHeight="false" outlineLevel="0" collapsed="false">
      <c r="A1213" s="8" t="n">
        <v>1212</v>
      </c>
      <c r="B1213" s="9" t="s">
        <v>2223</v>
      </c>
      <c r="C1213" s="8" t="n">
        <v>66</v>
      </c>
      <c r="D1213" s="9" t="str">
        <f aca="false">INDEX(Radicals!$B$2:$B$215,MATCH(C1213,Radicals!$A$2:$A$215,0))</f>
        <v>攴</v>
      </c>
      <c r="E1213" s="10" t="str">
        <f aca="false">INDEX(Radicals!$G$2:$G$215,MATCH(C1213,Radicals!$A$2:$A$215,0))</f>
        <v>rap, tap, strike</v>
      </c>
      <c r="F1213" s="8" t="n">
        <f aca="false">INDEX(Radicals!$D$2:$D$215,MATCH(C1213,Radicals!$A$2:$A$215,0))</f>
        <v>4</v>
      </c>
      <c r="G1213" s="8" t="n">
        <v>15</v>
      </c>
    </row>
    <row r="1214" customFormat="false" ht="17.35" hidden="false" customHeight="false" outlineLevel="0" collapsed="false">
      <c r="A1214" s="8" t="n">
        <v>1213</v>
      </c>
      <c r="B1214" s="9" t="s">
        <v>2224</v>
      </c>
      <c r="C1214" s="8" t="n">
        <v>64</v>
      </c>
      <c r="D1214" s="9" t="str">
        <f aca="false">INDEX(Radicals!$B$2:$B$215,MATCH(C1214,Radicals!$A$2:$A$215,0))</f>
        <v>手</v>
      </c>
      <c r="E1214" s="10" t="str">
        <f aca="false">INDEX(Radicals!$G$2:$G$215,MATCH(C1214,Radicals!$A$2:$A$215,0))</f>
        <v>hand</v>
      </c>
      <c r="F1214" s="8" t="n">
        <f aca="false">INDEX(Radicals!$D$2:$D$215,MATCH(C1214,Radicals!$A$2:$A$215,0))</f>
        <v>4</v>
      </c>
      <c r="G1214" s="8" t="n">
        <v>16</v>
      </c>
    </row>
    <row r="1215" customFormat="false" ht="17.35" hidden="false" customHeight="false" outlineLevel="0" collapsed="false">
      <c r="A1215" s="8" t="n">
        <v>1214</v>
      </c>
      <c r="B1215" s="9" t="s">
        <v>764</v>
      </c>
      <c r="C1215" s="8" t="n">
        <v>145</v>
      </c>
      <c r="D1215" s="9" t="str">
        <f aca="false">INDEX(Radicals!$B$2:$B$215,MATCH(C1215,Radicals!$A$2:$A$215,0))</f>
        <v>衣</v>
      </c>
      <c r="E1215" s="10" t="str">
        <f aca="false">INDEX(Radicals!$G$2:$G$215,MATCH(C1215,Radicals!$A$2:$A$215,0))</f>
        <v>clothes</v>
      </c>
      <c r="F1215" s="8" t="n">
        <f aca="false">INDEX(Radicals!$D$2:$D$215,MATCH(C1215,Radicals!$A$2:$A$215,0))</f>
        <v>6</v>
      </c>
      <c r="G1215" s="8" t="n">
        <v>6</v>
      </c>
    </row>
    <row r="1216" customFormat="false" ht="17.35" hidden="false" customHeight="false" outlineLevel="0" collapsed="false">
      <c r="A1216" s="8" t="n">
        <v>1215</v>
      </c>
      <c r="B1216" s="9" t="s">
        <v>2225</v>
      </c>
      <c r="C1216" s="8" t="n">
        <v>130</v>
      </c>
      <c r="D1216" s="9" t="str">
        <f aca="false">INDEX(Radicals!$B$2:$B$215,MATCH(C1216,Radicals!$A$2:$A$215,0))</f>
        <v>肉</v>
      </c>
      <c r="E1216" s="10" t="str">
        <f aca="false">INDEX(Radicals!$G$2:$G$215,MATCH(C1216,Radicals!$A$2:$A$215,0))</f>
        <v>meat, flesh</v>
      </c>
      <c r="F1216" s="8" t="n">
        <f aca="false">INDEX(Radicals!$D$2:$D$215,MATCH(C1216,Radicals!$A$2:$A$215,0))</f>
        <v>6</v>
      </c>
      <c r="G1216" s="8" t="n">
        <v>8</v>
      </c>
    </row>
    <row r="1217" customFormat="false" ht="17.35" hidden="false" customHeight="false" outlineLevel="0" collapsed="false">
      <c r="A1217" s="8" t="n">
        <v>1216</v>
      </c>
      <c r="B1217" s="9" t="s">
        <v>2226</v>
      </c>
      <c r="C1217" s="8" t="n">
        <v>31</v>
      </c>
      <c r="D1217" s="9" t="str">
        <f aca="false">INDEX(Radicals!$B$2:$B$215,MATCH(C1217,Radicals!$A$2:$A$215,0))</f>
        <v>囗</v>
      </c>
      <c r="E1217" s="10" t="str">
        <f aca="false">INDEX(Radicals!$G$2:$G$215,MATCH(C1217,Radicals!$A$2:$A$215,0))</f>
        <v>enclosure</v>
      </c>
      <c r="F1217" s="8" t="n">
        <f aca="false">INDEX(Radicals!$D$2:$D$215,MATCH(C1217,Radicals!$A$2:$A$215,0))</f>
        <v>3</v>
      </c>
      <c r="G1217" s="8" t="n">
        <v>12</v>
      </c>
    </row>
    <row r="1218" customFormat="false" ht="17.35" hidden="false" customHeight="false" outlineLevel="0" collapsed="false">
      <c r="A1218" s="8" t="n">
        <v>1217</v>
      </c>
      <c r="B1218" s="9" t="s">
        <v>2227</v>
      </c>
      <c r="C1218" s="8" t="n">
        <v>173</v>
      </c>
      <c r="D1218" s="9" t="str">
        <f aca="false">INDEX(Radicals!$B$2:$B$215,MATCH(C1218,Radicals!$A$2:$A$215,0))</f>
        <v>雨</v>
      </c>
      <c r="E1218" s="10" t="str">
        <f aca="false">INDEX(Radicals!$G$2:$G$215,MATCH(C1218,Radicals!$A$2:$A$215,0))</f>
        <v>rain</v>
      </c>
      <c r="F1218" s="8" t="n">
        <f aca="false">INDEX(Radicals!$D$2:$D$215,MATCH(C1218,Radicals!$A$2:$A$215,0))</f>
        <v>8</v>
      </c>
      <c r="G1218" s="8" t="n">
        <v>13</v>
      </c>
    </row>
    <row r="1219" customFormat="false" ht="17.35" hidden="false" customHeight="false" outlineLevel="0" collapsed="false">
      <c r="A1219" s="8" t="n">
        <v>1218</v>
      </c>
      <c r="B1219" s="9" t="s">
        <v>2228</v>
      </c>
      <c r="C1219" s="8" t="n">
        <v>164</v>
      </c>
      <c r="D1219" s="9" t="str">
        <f aca="false">INDEX(Radicals!$B$2:$B$215,MATCH(C1219,Radicals!$A$2:$A$215,0))</f>
        <v>酉</v>
      </c>
      <c r="E1219" s="10" t="str">
        <f aca="false">INDEX(Radicals!$G$2:$G$215,MATCH(C1219,Radicals!$A$2:$A$215,0))</f>
        <v>wine, 10th zodiac sign (rooster)</v>
      </c>
      <c r="F1219" s="8" t="n">
        <f aca="false">INDEX(Radicals!$D$2:$D$215,MATCH(C1219,Radicals!$A$2:$A$215,0))</f>
        <v>7</v>
      </c>
      <c r="G1219" s="8" t="n">
        <v>14</v>
      </c>
    </row>
    <row r="1220" customFormat="false" ht="17.35" hidden="false" customHeight="false" outlineLevel="0" collapsed="false">
      <c r="A1220" s="8" t="n">
        <v>1219</v>
      </c>
      <c r="B1220" s="9" t="s">
        <v>2229</v>
      </c>
      <c r="C1220" s="8" t="n">
        <v>10</v>
      </c>
      <c r="D1220" s="9" t="str">
        <f aca="false">INDEX(Radicals!$B$2:$B$215,MATCH(C1220,Radicals!$A$2:$A$215,0))</f>
        <v>儿</v>
      </c>
      <c r="E1220" s="10" t="str">
        <f aca="false">INDEX(Radicals!$G$2:$G$215,MATCH(C1220,Radicals!$A$2:$A$215,0))</f>
        <v>legs, walking person</v>
      </c>
      <c r="F1220" s="8" t="n">
        <f aca="false">INDEX(Radicals!$D$2:$D$215,MATCH(C1220,Radicals!$A$2:$A$215,0))</f>
        <v>2</v>
      </c>
      <c r="G1220" s="8" t="n">
        <v>5</v>
      </c>
    </row>
    <row r="1221" customFormat="false" ht="17.35" hidden="false" customHeight="false" outlineLevel="0" collapsed="false">
      <c r="A1221" s="8" t="n">
        <v>1220</v>
      </c>
      <c r="B1221" s="9" t="s">
        <v>2230</v>
      </c>
      <c r="C1221" s="8" t="n">
        <v>122</v>
      </c>
      <c r="D1221" s="9" t="str">
        <f aca="false">INDEX(Radicals!$B$2:$B$215,MATCH(C1221,Radicals!$A$2:$A$215,0))</f>
        <v>网</v>
      </c>
      <c r="E1221" s="10" t="str">
        <f aca="false">INDEX(Radicals!$G$2:$G$215,MATCH(C1221,Radicals!$A$2:$A$215,0))</f>
        <v>net</v>
      </c>
      <c r="F1221" s="8" t="n">
        <f aca="false">INDEX(Radicals!$D$2:$D$215,MATCH(C1221,Radicals!$A$2:$A$215,0))</f>
        <v>6</v>
      </c>
      <c r="G1221" s="8" t="n">
        <v>14</v>
      </c>
    </row>
    <row r="1222" customFormat="false" ht="17.35" hidden="false" customHeight="false" outlineLevel="0" collapsed="false">
      <c r="A1222" s="8" t="n">
        <v>1221</v>
      </c>
      <c r="B1222" s="9" t="s">
        <v>2231</v>
      </c>
      <c r="C1222" s="8" t="n">
        <v>61</v>
      </c>
      <c r="D1222" s="9" t="str">
        <f aca="false">INDEX(Radicals!$B$2:$B$215,MATCH(C1222,Radicals!$A$2:$A$215,0))</f>
        <v>心</v>
      </c>
      <c r="E1222" s="10" t="str">
        <f aca="false">INDEX(Radicals!$G$2:$G$215,MATCH(C1222,Radicals!$A$2:$A$215,0))</f>
        <v>heart, mind</v>
      </c>
      <c r="F1222" s="8" t="n">
        <f aca="false">INDEX(Radicals!$D$2:$D$215,MATCH(C1222,Radicals!$A$2:$A$215,0))</f>
        <v>4</v>
      </c>
      <c r="G1222" s="8" t="n">
        <v>9</v>
      </c>
    </row>
    <row r="1223" customFormat="false" ht="17.35" hidden="false" customHeight="false" outlineLevel="0" collapsed="false">
      <c r="A1223" s="8" t="n">
        <v>1222</v>
      </c>
      <c r="B1223" s="9" t="s">
        <v>2232</v>
      </c>
      <c r="C1223" s="8" t="n">
        <v>85</v>
      </c>
      <c r="D1223" s="9" t="str">
        <f aca="false">INDEX(Radicals!$B$2:$B$215,MATCH(C1223,Radicals!$A$2:$A$215,0))</f>
        <v>水</v>
      </c>
      <c r="E1223" s="10" t="str">
        <f aca="false">INDEX(Radicals!$G$2:$G$215,MATCH(C1223,Radicals!$A$2:$A$215,0))</f>
        <v>water</v>
      </c>
      <c r="F1223" s="8" t="n">
        <f aca="false">INDEX(Radicals!$D$2:$D$215,MATCH(C1223,Radicals!$A$2:$A$215,0))</f>
        <v>4</v>
      </c>
      <c r="G1223" s="8" t="n">
        <v>13</v>
      </c>
    </row>
    <row r="1224" customFormat="false" ht="17.35" hidden="false" customHeight="false" outlineLevel="0" collapsed="false">
      <c r="A1224" s="8" t="n">
        <v>1223</v>
      </c>
      <c r="B1224" s="9" t="s">
        <v>2233</v>
      </c>
      <c r="C1224" s="8" t="n">
        <v>85</v>
      </c>
      <c r="D1224" s="9" t="str">
        <f aca="false">INDEX(Radicals!$B$2:$B$215,MATCH(C1224,Radicals!$A$2:$A$215,0))</f>
        <v>水</v>
      </c>
      <c r="E1224" s="10" t="str">
        <f aca="false">INDEX(Radicals!$G$2:$G$215,MATCH(C1224,Radicals!$A$2:$A$215,0))</f>
        <v>water</v>
      </c>
      <c r="F1224" s="8" t="n">
        <f aca="false">INDEX(Radicals!$D$2:$D$215,MATCH(C1224,Radicals!$A$2:$A$215,0))</f>
        <v>4</v>
      </c>
      <c r="G1224" s="8" t="n">
        <v>8</v>
      </c>
    </row>
    <row r="1225" customFormat="false" ht="17.35" hidden="false" customHeight="false" outlineLevel="0" collapsed="false">
      <c r="A1225" s="8" t="n">
        <v>1224</v>
      </c>
      <c r="B1225" s="9" t="s">
        <v>2234</v>
      </c>
      <c r="C1225" s="8" t="n">
        <v>112</v>
      </c>
      <c r="D1225" s="9" t="str">
        <f aca="false">INDEX(Radicals!$B$2:$B$215,MATCH(C1225,Radicals!$A$2:$A$215,0))</f>
        <v>石</v>
      </c>
      <c r="E1225" s="10" t="str">
        <f aca="false">INDEX(Radicals!$G$2:$G$215,MATCH(C1225,Radicals!$A$2:$A$215,0))</f>
        <v>stone</v>
      </c>
      <c r="F1225" s="8" t="n">
        <f aca="false">INDEX(Radicals!$D$2:$D$215,MATCH(C1225,Radicals!$A$2:$A$215,0))</f>
        <v>5</v>
      </c>
      <c r="G1225" s="8" t="n">
        <v>18</v>
      </c>
    </row>
    <row r="1226" customFormat="false" ht="17.35" hidden="false" customHeight="false" outlineLevel="0" collapsed="false">
      <c r="A1226" s="8" t="n">
        <v>1225</v>
      </c>
      <c r="B1226" s="9" t="s">
        <v>2235</v>
      </c>
      <c r="C1226" s="8" t="n">
        <v>130</v>
      </c>
      <c r="D1226" s="9" t="str">
        <f aca="false">INDEX(Radicals!$B$2:$B$215,MATCH(C1226,Radicals!$A$2:$A$215,0))</f>
        <v>肉</v>
      </c>
      <c r="E1226" s="10" t="str">
        <f aca="false">INDEX(Radicals!$G$2:$G$215,MATCH(C1226,Radicals!$A$2:$A$215,0))</f>
        <v>meat, flesh</v>
      </c>
      <c r="F1226" s="8" t="n">
        <f aca="false">INDEX(Radicals!$D$2:$D$215,MATCH(C1226,Radicals!$A$2:$A$215,0))</f>
        <v>6</v>
      </c>
      <c r="G1226" s="8" t="n">
        <v>14</v>
      </c>
    </row>
    <row r="1227" customFormat="false" ht="17.35" hidden="false" customHeight="false" outlineLevel="0" collapsed="false">
      <c r="A1227" s="8" t="n">
        <v>1226</v>
      </c>
      <c r="B1227" s="9" t="s">
        <v>2236</v>
      </c>
      <c r="C1227" s="8" t="n">
        <v>113</v>
      </c>
      <c r="D1227" s="9" t="str">
        <f aca="false">INDEX(Radicals!$B$2:$B$215,MATCH(C1227,Radicals!$A$2:$A$215,0))</f>
        <v>示</v>
      </c>
      <c r="E1227" s="10" t="str">
        <f aca="false">INDEX(Radicals!$G$2:$G$215,MATCH(C1227,Radicals!$A$2:$A$215,0))</f>
        <v>spirit, altar, show</v>
      </c>
      <c r="F1227" s="8" t="n">
        <f aca="false">INDEX(Radicals!$D$2:$D$215,MATCH(C1227,Radicals!$A$2:$A$215,0))</f>
        <v>5</v>
      </c>
      <c r="G1227" s="8" t="n">
        <v>9</v>
      </c>
    </row>
    <row r="1228" customFormat="false" ht="17.35" hidden="false" customHeight="false" outlineLevel="0" collapsed="false">
      <c r="A1228" s="8" t="n">
        <v>1227</v>
      </c>
      <c r="B1228" s="9" t="s">
        <v>2237</v>
      </c>
      <c r="C1228" s="8" t="n">
        <v>52</v>
      </c>
      <c r="D1228" s="9" t="str">
        <f aca="false">INDEX(Radicals!$B$2:$B$215,MATCH(C1228,Radicals!$A$2:$A$215,0))</f>
        <v>幺</v>
      </c>
      <c r="E1228" s="10" t="str">
        <f aca="false">INDEX(Radicals!$G$2:$G$215,MATCH(C1228,Radicals!$A$2:$A$215,0))</f>
        <v>short thread, tiny</v>
      </c>
      <c r="F1228" s="8" t="n">
        <f aca="false">INDEX(Radicals!$D$2:$D$215,MATCH(C1228,Radicals!$A$2:$A$215,0))</f>
        <v>3</v>
      </c>
      <c r="G1228" s="8" t="n">
        <v>5</v>
      </c>
    </row>
    <row r="1229" customFormat="false" ht="17.35" hidden="false" customHeight="false" outlineLevel="0" collapsed="false">
      <c r="A1229" s="8" t="n">
        <v>1228</v>
      </c>
      <c r="B1229" s="9" t="s">
        <v>2238</v>
      </c>
      <c r="C1229" s="8" t="n">
        <v>130</v>
      </c>
      <c r="D1229" s="9" t="str">
        <f aca="false">INDEX(Radicals!$B$2:$B$215,MATCH(C1229,Radicals!$A$2:$A$215,0))</f>
        <v>肉</v>
      </c>
      <c r="E1229" s="10" t="str">
        <f aca="false">INDEX(Radicals!$G$2:$G$215,MATCH(C1229,Radicals!$A$2:$A$215,0))</f>
        <v>meat, flesh</v>
      </c>
      <c r="F1229" s="8" t="n">
        <f aca="false">INDEX(Radicals!$D$2:$D$215,MATCH(C1229,Radicals!$A$2:$A$215,0))</f>
        <v>6</v>
      </c>
      <c r="G1229" s="8" t="n">
        <v>11</v>
      </c>
    </row>
    <row r="1230" customFormat="false" ht="17.35" hidden="false" customHeight="false" outlineLevel="0" collapsed="false">
      <c r="A1230" s="8" t="n">
        <v>1229</v>
      </c>
      <c r="B1230" s="9" t="s">
        <v>2239</v>
      </c>
      <c r="C1230" s="8" t="n">
        <v>140</v>
      </c>
      <c r="D1230" s="9" t="str">
        <f aca="false">INDEX(Radicals!$B$2:$B$215,MATCH(C1230,Radicals!$A$2:$A$215,0))</f>
        <v>艸</v>
      </c>
      <c r="E1230" s="10" t="str">
        <f aca="false">INDEX(Radicals!$G$2:$G$215,MATCH(C1230,Radicals!$A$2:$A$215,0))</f>
        <v>grass, plant</v>
      </c>
      <c r="F1230" s="8" t="n">
        <f aca="false">INDEX(Radicals!$D$2:$D$215,MATCH(C1230,Radicals!$A$2:$A$215,0))</f>
        <v>6</v>
      </c>
      <c r="G1230" s="8" t="n">
        <v>11</v>
      </c>
    </row>
    <row r="1231" customFormat="false" ht="17.35" hidden="false" customHeight="false" outlineLevel="0" collapsed="false">
      <c r="A1231" s="8" t="n">
        <v>1230</v>
      </c>
      <c r="B1231" s="9" t="s">
        <v>2240</v>
      </c>
      <c r="C1231" s="8" t="n">
        <v>140</v>
      </c>
      <c r="D1231" s="9" t="str">
        <f aca="false">INDEX(Radicals!$B$2:$B$215,MATCH(C1231,Radicals!$A$2:$A$215,0))</f>
        <v>艸</v>
      </c>
      <c r="E1231" s="10" t="str">
        <f aca="false">INDEX(Radicals!$G$2:$G$215,MATCH(C1231,Radicals!$A$2:$A$215,0))</f>
        <v>grass, plant</v>
      </c>
      <c r="F1231" s="8" t="n">
        <f aca="false">INDEX(Radicals!$D$2:$D$215,MATCH(C1231,Radicals!$A$2:$A$215,0))</f>
        <v>6</v>
      </c>
      <c r="G1231" s="8" t="n">
        <v>10</v>
      </c>
    </row>
    <row r="1232" customFormat="false" ht="17.35" hidden="false" customHeight="false" outlineLevel="0" collapsed="false">
      <c r="A1232" s="8" t="n">
        <v>1231</v>
      </c>
      <c r="B1232" s="9" t="s">
        <v>2241</v>
      </c>
      <c r="C1232" s="8" t="n">
        <v>85</v>
      </c>
      <c r="D1232" s="9" t="str">
        <f aca="false">INDEX(Radicals!$B$2:$B$215,MATCH(C1232,Radicals!$A$2:$A$215,0))</f>
        <v>水</v>
      </c>
      <c r="E1232" s="10" t="str">
        <f aca="false">INDEX(Radicals!$G$2:$G$215,MATCH(C1232,Radicals!$A$2:$A$215,0))</f>
        <v>water</v>
      </c>
      <c r="F1232" s="8" t="n">
        <f aca="false">INDEX(Radicals!$D$2:$D$215,MATCH(C1232,Radicals!$A$2:$A$215,0))</f>
        <v>4</v>
      </c>
      <c r="G1232" s="8" t="n">
        <v>15</v>
      </c>
    </row>
    <row r="1233" customFormat="false" ht="17.35" hidden="false" customHeight="false" outlineLevel="0" collapsed="false">
      <c r="A1233" s="8" t="n">
        <v>1232</v>
      </c>
      <c r="B1233" s="9" t="s">
        <v>2242</v>
      </c>
      <c r="C1233" s="8" t="n">
        <v>75</v>
      </c>
      <c r="D1233" s="9" t="str">
        <f aca="false">INDEX(Radicals!$B$2:$B$215,MATCH(C1233,Radicals!$A$2:$A$215,0))</f>
        <v>木</v>
      </c>
      <c r="E1233" s="10" t="str">
        <f aca="false">INDEX(Radicals!$G$2:$G$215,MATCH(C1233,Radicals!$A$2:$A$215,0))</f>
        <v>tree, wood</v>
      </c>
      <c r="F1233" s="8" t="n">
        <f aca="false">INDEX(Radicals!$D$2:$D$215,MATCH(C1233,Radicals!$A$2:$A$215,0))</f>
        <v>4</v>
      </c>
      <c r="G1233" s="8" t="n">
        <v>10</v>
      </c>
    </row>
    <row r="1234" customFormat="false" ht="17.35" hidden="false" customHeight="false" outlineLevel="0" collapsed="false">
      <c r="A1234" s="8" t="n">
        <v>1233</v>
      </c>
      <c r="B1234" s="9" t="s">
        <v>2243</v>
      </c>
      <c r="C1234" s="8" t="n">
        <v>85</v>
      </c>
      <c r="D1234" s="9" t="str">
        <f aca="false">INDEX(Radicals!$B$2:$B$215,MATCH(C1234,Radicals!$A$2:$A$215,0))</f>
        <v>水</v>
      </c>
      <c r="E1234" s="10" t="str">
        <f aca="false">INDEX(Radicals!$G$2:$G$215,MATCH(C1234,Radicals!$A$2:$A$215,0))</f>
        <v>water</v>
      </c>
      <c r="F1234" s="8" t="n">
        <f aca="false">INDEX(Radicals!$D$2:$D$215,MATCH(C1234,Radicals!$A$2:$A$215,0))</f>
        <v>4</v>
      </c>
      <c r="G1234" s="8" t="n">
        <v>8</v>
      </c>
    </row>
    <row r="1235" customFormat="false" ht="17.35" hidden="false" customHeight="false" outlineLevel="0" collapsed="false">
      <c r="A1235" s="8" t="n">
        <v>1234</v>
      </c>
      <c r="B1235" s="9" t="s">
        <v>2244</v>
      </c>
      <c r="C1235" s="8" t="n">
        <v>44</v>
      </c>
      <c r="D1235" s="9" t="str">
        <f aca="false">INDEX(Radicals!$B$2:$B$215,MATCH(C1235,Radicals!$A$2:$A$215,0))</f>
        <v>尸</v>
      </c>
      <c r="E1235" s="10" t="str">
        <f aca="false">INDEX(Radicals!$G$2:$G$215,MATCH(C1235,Radicals!$A$2:$A$215,0))</f>
        <v>corpse, body</v>
      </c>
      <c r="F1235" s="8" t="n">
        <f aca="false">INDEX(Radicals!$D$2:$D$215,MATCH(C1235,Radicals!$A$2:$A$215,0))</f>
        <v>3</v>
      </c>
      <c r="G1235" s="8" t="n">
        <v>6</v>
      </c>
    </row>
    <row r="1236" customFormat="false" ht="17.35" hidden="false" customHeight="false" outlineLevel="0" collapsed="false">
      <c r="A1236" s="8" t="n">
        <v>1235</v>
      </c>
      <c r="B1236" s="9" t="s">
        <v>2245</v>
      </c>
      <c r="C1236" s="8" t="n">
        <v>75</v>
      </c>
      <c r="D1236" s="9" t="str">
        <f aca="false">INDEX(Radicals!$B$2:$B$215,MATCH(C1236,Radicals!$A$2:$A$215,0))</f>
        <v>木</v>
      </c>
      <c r="E1236" s="10" t="str">
        <f aca="false">INDEX(Radicals!$G$2:$G$215,MATCH(C1236,Radicals!$A$2:$A$215,0))</f>
        <v>tree, wood</v>
      </c>
      <c r="F1236" s="8" t="n">
        <f aca="false">INDEX(Radicals!$D$2:$D$215,MATCH(C1236,Radicals!$A$2:$A$215,0))</f>
        <v>4</v>
      </c>
      <c r="G1236" s="8" t="n">
        <v>8</v>
      </c>
    </row>
    <row r="1237" customFormat="false" ht="17.35" hidden="false" customHeight="false" outlineLevel="0" collapsed="false">
      <c r="A1237" s="8" t="n">
        <v>1236</v>
      </c>
      <c r="B1237" s="9" t="s">
        <v>2246</v>
      </c>
      <c r="C1237" s="8" t="n">
        <v>9</v>
      </c>
      <c r="D1237" s="9" t="str">
        <f aca="false">INDEX(Radicals!$B$2:$B$215,MATCH(C1237,Radicals!$A$2:$A$215,0))</f>
        <v>人</v>
      </c>
      <c r="E1237" s="10" t="str">
        <f aca="false">INDEX(Radicals!$G$2:$G$215,MATCH(C1237,Radicals!$A$2:$A$215,0))</f>
        <v>person</v>
      </c>
      <c r="F1237" s="8" t="n">
        <f aca="false">INDEX(Radicals!$D$2:$D$215,MATCH(C1237,Radicals!$A$2:$A$215,0))</f>
        <v>2</v>
      </c>
      <c r="G1237" s="8" t="n">
        <v>14</v>
      </c>
    </row>
    <row r="1238" customFormat="false" ht="17.35" hidden="false" customHeight="false" outlineLevel="0" collapsed="false">
      <c r="A1238" s="8" t="n">
        <v>1237</v>
      </c>
      <c r="B1238" s="9" t="s">
        <v>2247</v>
      </c>
      <c r="C1238" s="8" t="n">
        <v>75</v>
      </c>
      <c r="D1238" s="9" t="str">
        <f aca="false">INDEX(Radicals!$B$2:$B$215,MATCH(C1238,Radicals!$A$2:$A$215,0))</f>
        <v>木</v>
      </c>
      <c r="E1238" s="10" t="str">
        <f aca="false">INDEX(Radicals!$G$2:$G$215,MATCH(C1238,Radicals!$A$2:$A$215,0))</f>
        <v>tree, wood</v>
      </c>
      <c r="F1238" s="8" t="n">
        <f aca="false">INDEX(Radicals!$D$2:$D$215,MATCH(C1238,Radicals!$A$2:$A$215,0))</f>
        <v>4</v>
      </c>
      <c r="G1238" s="8" t="n">
        <v>10</v>
      </c>
    </row>
    <row r="1239" customFormat="false" ht="17.35" hidden="false" customHeight="false" outlineLevel="0" collapsed="false">
      <c r="A1239" s="8" t="n">
        <v>1238</v>
      </c>
      <c r="B1239" s="9" t="s">
        <v>2248</v>
      </c>
      <c r="C1239" s="8" t="n">
        <v>85</v>
      </c>
      <c r="D1239" s="9" t="str">
        <f aca="false">INDEX(Radicals!$B$2:$B$215,MATCH(C1239,Radicals!$A$2:$A$215,0))</f>
        <v>水</v>
      </c>
      <c r="E1239" s="10" t="str">
        <f aca="false">INDEX(Radicals!$G$2:$G$215,MATCH(C1239,Radicals!$A$2:$A$215,0))</f>
        <v>water</v>
      </c>
      <c r="F1239" s="8" t="n">
        <f aca="false">INDEX(Radicals!$D$2:$D$215,MATCH(C1239,Radicals!$A$2:$A$215,0))</f>
        <v>4</v>
      </c>
      <c r="G1239" s="8" t="n">
        <v>13</v>
      </c>
    </row>
    <row r="1240" customFormat="false" ht="17.35" hidden="false" customHeight="false" outlineLevel="0" collapsed="false">
      <c r="A1240" s="8" t="n">
        <v>1239</v>
      </c>
      <c r="B1240" s="9" t="s">
        <v>2249</v>
      </c>
      <c r="C1240" s="8" t="n">
        <v>39</v>
      </c>
      <c r="D1240" s="9" t="str">
        <f aca="false">INDEX(Radicals!$B$2:$B$215,MATCH(C1240,Radicals!$A$2:$A$215,0))</f>
        <v>子</v>
      </c>
      <c r="E1240" s="10" t="str">
        <f aca="false">INDEX(Radicals!$G$2:$G$215,MATCH(C1240,Radicals!$A$2:$A$215,0))</f>
        <v>child</v>
      </c>
      <c r="F1240" s="8" t="n">
        <f aca="false">INDEX(Radicals!$D$2:$D$215,MATCH(C1240,Radicals!$A$2:$A$215,0))</f>
        <v>3</v>
      </c>
      <c r="G1240" s="8" t="n">
        <v>9</v>
      </c>
    </row>
    <row r="1241" customFormat="false" ht="17.35" hidden="false" customHeight="false" outlineLevel="0" collapsed="false">
      <c r="A1241" s="8" t="n">
        <v>1240</v>
      </c>
      <c r="B1241" s="9" t="s">
        <v>1043</v>
      </c>
      <c r="C1241" s="8" t="n">
        <v>201</v>
      </c>
      <c r="D1241" s="9" t="str">
        <f aca="false">INDEX(Radicals!$B$2:$B$215,MATCH(C1241,Radicals!$A$2:$A$215,0))</f>
        <v>黃</v>
      </c>
      <c r="E1241" s="10" t="str">
        <f aca="false">INDEX(Radicals!$G$2:$G$215,MATCH(C1241,Radicals!$A$2:$A$215,0))</f>
        <v>yellow</v>
      </c>
      <c r="F1241" s="8" t="n">
        <f aca="false">INDEX(Radicals!$D$2:$D$215,MATCH(C1241,Radicals!$A$2:$A$215,0))</f>
        <v>12</v>
      </c>
      <c r="G1241" s="8" t="n">
        <v>11</v>
      </c>
    </row>
    <row r="1242" customFormat="false" ht="17.35" hidden="false" customHeight="false" outlineLevel="0" collapsed="false">
      <c r="A1242" s="8" t="n">
        <v>1241</v>
      </c>
      <c r="B1242" s="9" t="s">
        <v>2250</v>
      </c>
      <c r="C1242" s="8" t="n">
        <v>86</v>
      </c>
      <c r="D1242" s="9" t="str">
        <f aca="false">INDEX(Radicals!$B$2:$B$215,MATCH(C1242,Radicals!$A$2:$A$215,0))</f>
        <v>火</v>
      </c>
      <c r="E1242" s="10" t="str">
        <f aca="false">INDEX(Radicals!$G$2:$G$215,MATCH(C1242,Radicals!$A$2:$A$215,0))</f>
        <v>fire</v>
      </c>
      <c r="F1242" s="8" t="n">
        <f aca="false">INDEX(Radicals!$D$2:$D$215,MATCH(C1242,Radicals!$A$2:$A$215,0))</f>
        <v>4</v>
      </c>
      <c r="G1242" s="8" t="n">
        <v>13</v>
      </c>
    </row>
    <row r="1243" customFormat="false" ht="17.35" hidden="false" customHeight="false" outlineLevel="0" collapsed="false">
      <c r="A1243" s="8" t="n">
        <v>1242</v>
      </c>
      <c r="B1243" s="9" t="s">
        <v>2251</v>
      </c>
      <c r="C1243" s="8" t="n">
        <v>86</v>
      </c>
      <c r="D1243" s="9" t="str">
        <f aca="false">INDEX(Radicals!$B$2:$B$215,MATCH(C1243,Radicals!$A$2:$A$215,0))</f>
        <v>火</v>
      </c>
      <c r="E1243" s="10" t="str">
        <f aca="false">INDEX(Radicals!$G$2:$G$215,MATCH(C1243,Radicals!$A$2:$A$215,0))</f>
        <v>fire</v>
      </c>
      <c r="F1243" s="8" t="n">
        <f aca="false">INDEX(Radicals!$D$2:$D$215,MATCH(C1243,Radicals!$A$2:$A$215,0))</f>
        <v>4</v>
      </c>
      <c r="G1243" s="8" t="n">
        <v>8</v>
      </c>
    </row>
    <row r="1244" customFormat="false" ht="17.35" hidden="false" customHeight="false" outlineLevel="0" collapsed="false">
      <c r="A1244" s="8" t="n">
        <v>1243</v>
      </c>
      <c r="B1244" s="9" t="s">
        <v>2252</v>
      </c>
      <c r="C1244" s="8" t="n">
        <v>154</v>
      </c>
      <c r="D1244" s="9" t="str">
        <f aca="false">INDEX(Radicals!$B$2:$B$215,MATCH(C1244,Radicals!$A$2:$A$215,0))</f>
        <v>貝</v>
      </c>
      <c r="E1244" s="10" t="str">
        <f aca="false">INDEX(Radicals!$G$2:$G$215,MATCH(C1244,Radicals!$A$2:$A$215,0))</f>
        <v>shell, money</v>
      </c>
      <c r="F1244" s="8" t="n">
        <f aca="false">INDEX(Radicals!$D$2:$D$215,MATCH(C1244,Radicals!$A$2:$A$215,0))</f>
        <v>7</v>
      </c>
      <c r="G1244" s="8" t="n">
        <v>15</v>
      </c>
    </row>
    <row r="1245" customFormat="false" ht="17.35" hidden="false" customHeight="false" outlineLevel="0" collapsed="false">
      <c r="A1245" s="8" t="n">
        <v>1244</v>
      </c>
      <c r="B1245" s="9" t="s">
        <v>2253</v>
      </c>
      <c r="C1245" s="8" t="n">
        <v>30</v>
      </c>
      <c r="D1245" s="9" t="str">
        <f aca="false">INDEX(Radicals!$B$2:$B$215,MATCH(C1245,Radicals!$A$2:$A$215,0))</f>
        <v>口</v>
      </c>
      <c r="E1245" s="10" t="str">
        <f aca="false">INDEX(Radicals!$G$2:$G$215,MATCH(C1245,Radicals!$A$2:$A$215,0))</f>
        <v>mouth</v>
      </c>
      <c r="F1245" s="8" t="n">
        <f aca="false">INDEX(Radicals!$D$2:$D$215,MATCH(C1245,Radicals!$A$2:$A$215,0))</f>
        <v>3</v>
      </c>
      <c r="G1245" s="8" t="n">
        <v>5</v>
      </c>
    </row>
    <row r="1246" customFormat="false" ht="17.35" hidden="false" customHeight="false" outlineLevel="0" collapsed="false">
      <c r="A1246" s="8" t="n">
        <v>1245</v>
      </c>
      <c r="B1246" s="9" t="s">
        <v>2254</v>
      </c>
      <c r="C1246" s="8" t="n">
        <v>41</v>
      </c>
      <c r="D1246" s="9" t="str">
        <f aca="false">INDEX(Radicals!$B$2:$B$215,MATCH(C1246,Radicals!$A$2:$A$215,0))</f>
        <v>寸</v>
      </c>
      <c r="E1246" s="10" t="str">
        <f aca="false">INDEX(Radicals!$G$2:$G$215,MATCH(C1246,Radicals!$A$2:$A$215,0))</f>
        <v>inch</v>
      </c>
      <c r="F1246" s="8" t="n">
        <f aca="false">INDEX(Radicals!$D$2:$D$215,MATCH(C1246,Radicals!$A$2:$A$215,0))</f>
        <v>3</v>
      </c>
      <c r="G1246" s="8" t="n">
        <v>7</v>
      </c>
    </row>
    <row r="1247" customFormat="false" ht="17.35" hidden="false" customHeight="false" outlineLevel="0" collapsed="false">
      <c r="A1247" s="8" t="n">
        <v>1246</v>
      </c>
      <c r="B1247" s="9" t="s">
        <v>2255</v>
      </c>
      <c r="C1247" s="8" t="n">
        <v>167</v>
      </c>
      <c r="D1247" s="9" t="str">
        <f aca="false">INDEX(Radicals!$B$2:$B$215,MATCH(C1247,Radicals!$A$2:$A$215,0))</f>
        <v>金</v>
      </c>
      <c r="E1247" s="10" t="str">
        <f aca="false">INDEX(Radicals!$G$2:$G$215,MATCH(C1247,Radicals!$A$2:$A$215,0))</f>
        <v>metal, gold</v>
      </c>
      <c r="F1247" s="8" t="n">
        <f aca="false">INDEX(Radicals!$D$2:$D$215,MATCH(C1247,Radicals!$A$2:$A$215,0))</f>
        <v>8</v>
      </c>
      <c r="G1247" s="8" t="n">
        <v>16</v>
      </c>
    </row>
    <row r="1248" customFormat="false" ht="17.35" hidden="false" customHeight="false" outlineLevel="0" collapsed="false">
      <c r="A1248" s="8" t="n">
        <v>1247</v>
      </c>
      <c r="B1248" s="9" t="s">
        <v>2256</v>
      </c>
      <c r="C1248" s="8" t="n">
        <v>181</v>
      </c>
      <c r="D1248" s="9" t="str">
        <f aca="false">INDEX(Radicals!$B$2:$B$215,MATCH(C1248,Radicals!$A$2:$A$215,0))</f>
        <v>頁</v>
      </c>
      <c r="E1248" s="10" t="str">
        <f aca="false">INDEX(Radicals!$G$2:$G$215,MATCH(C1248,Radicals!$A$2:$A$215,0))</f>
        <v>page, leaf (head)</v>
      </c>
      <c r="F1248" s="8" t="n">
        <f aca="false">INDEX(Radicals!$D$2:$D$215,MATCH(C1248,Radicals!$A$2:$A$215,0))</f>
        <v>9</v>
      </c>
      <c r="G1248" s="8" t="n">
        <v>13</v>
      </c>
    </row>
    <row r="1249" customFormat="false" ht="17.35" hidden="false" customHeight="false" outlineLevel="0" collapsed="false">
      <c r="A1249" s="8" t="n">
        <v>1248</v>
      </c>
      <c r="B1249" s="9" t="s">
        <v>528</v>
      </c>
      <c r="C1249" s="8" t="n">
        <v>99</v>
      </c>
      <c r="D1249" s="9" t="str">
        <f aca="false">INDEX(Radicals!$B$2:$B$215,MATCH(C1249,Radicals!$A$2:$A$215,0))</f>
        <v>甘</v>
      </c>
      <c r="E1249" s="10" t="str">
        <f aca="false">INDEX(Radicals!$G$2:$G$215,MATCH(C1249,Radicals!$A$2:$A$215,0))</f>
        <v>sweet</v>
      </c>
      <c r="F1249" s="8" t="n">
        <f aca="false">INDEX(Radicals!$D$2:$D$215,MATCH(C1249,Radicals!$A$2:$A$215,0))</f>
        <v>5</v>
      </c>
      <c r="G1249" s="8" t="n">
        <v>5</v>
      </c>
    </row>
    <row r="1250" customFormat="false" ht="17.35" hidden="false" customHeight="false" outlineLevel="0" collapsed="false">
      <c r="A1250" s="8" t="n">
        <v>1249</v>
      </c>
      <c r="B1250" s="9" t="s">
        <v>693</v>
      </c>
      <c r="C1250" s="8" t="n">
        <v>131</v>
      </c>
      <c r="D1250" s="9" t="str">
        <f aca="false">INDEX(Radicals!$B$2:$B$215,MATCH(C1250,Radicals!$A$2:$A$215,0))</f>
        <v>臣</v>
      </c>
      <c r="E1250" s="10" t="str">
        <f aca="false">INDEX(Radicals!$G$2:$G$215,MATCH(C1250,Radicals!$A$2:$A$215,0))</f>
        <v>minister, retainer</v>
      </c>
      <c r="F1250" s="8" t="n">
        <f aca="false">INDEX(Radicals!$D$2:$D$215,MATCH(C1250,Radicals!$A$2:$A$215,0))</f>
        <v>6</v>
      </c>
      <c r="G1250" s="8" t="n">
        <v>7</v>
      </c>
    </row>
    <row r="1251" customFormat="false" ht="17.35" hidden="false" customHeight="false" outlineLevel="0" collapsed="false">
      <c r="A1251" s="8" t="n">
        <v>1250</v>
      </c>
      <c r="B1251" s="9" t="s">
        <v>2257</v>
      </c>
      <c r="C1251" s="8" t="n">
        <v>167</v>
      </c>
      <c r="D1251" s="9" t="str">
        <f aca="false">INDEX(Radicals!$B$2:$B$215,MATCH(C1251,Radicals!$A$2:$A$215,0))</f>
        <v>金</v>
      </c>
      <c r="E1251" s="10" t="str">
        <f aca="false">INDEX(Radicals!$G$2:$G$215,MATCH(C1251,Radicals!$A$2:$A$215,0))</f>
        <v>metal, gold</v>
      </c>
      <c r="F1251" s="8" t="n">
        <f aca="false">INDEX(Radicals!$D$2:$D$215,MATCH(C1251,Radicals!$A$2:$A$215,0))</f>
        <v>8</v>
      </c>
      <c r="G1251" s="8" t="n">
        <v>18</v>
      </c>
    </row>
    <row r="1252" customFormat="false" ht="17.35" hidden="false" customHeight="false" outlineLevel="0" collapsed="false">
      <c r="A1252" s="8" t="n">
        <v>1251</v>
      </c>
      <c r="B1252" s="9" t="s">
        <v>2258</v>
      </c>
      <c r="C1252" s="8" t="n">
        <v>59</v>
      </c>
      <c r="D1252" s="9" t="str">
        <f aca="false">INDEX(Radicals!$B$2:$B$215,MATCH(C1252,Radicals!$A$2:$A$215,0))</f>
        <v>彡</v>
      </c>
      <c r="E1252" s="10" t="str">
        <f aca="false">INDEX(Radicals!$G$2:$G$215,MATCH(C1252,Radicals!$A$2:$A$215,0))</f>
        <v>bristle, hair, shadow</v>
      </c>
      <c r="F1252" s="8" t="n">
        <f aca="false">INDEX(Radicals!$D$2:$D$215,MATCH(C1252,Radicals!$A$2:$A$215,0))</f>
        <v>3</v>
      </c>
      <c r="G1252" s="8" t="n">
        <v>11</v>
      </c>
    </row>
    <row r="1253" customFormat="false" ht="17.35" hidden="false" customHeight="false" outlineLevel="0" collapsed="false">
      <c r="A1253" s="8" t="n">
        <v>1252</v>
      </c>
      <c r="B1253" s="9" t="s">
        <v>2259</v>
      </c>
      <c r="C1253" s="8" t="n">
        <v>64</v>
      </c>
      <c r="D1253" s="9" t="str">
        <f aca="false">INDEX(Radicals!$B$2:$B$215,MATCH(C1253,Radicals!$A$2:$A$215,0))</f>
        <v>手</v>
      </c>
      <c r="E1253" s="10" t="str">
        <f aca="false">INDEX(Radicals!$G$2:$G$215,MATCH(C1253,Radicals!$A$2:$A$215,0))</f>
        <v>hand</v>
      </c>
      <c r="F1253" s="8" t="n">
        <f aca="false">INDEX(Radicals!$D$2:$D$215,MATCH(C1253,Radicals!$A$2:$A$215,0))</f>
        <v>4</v>
      </c>
      <c r="G1253" s="8" t="n">
        <v>15</v>
      </c>
    </row>
    <row r="1254" customFormat="false" ht="17.35" hidden="false" customHeight="false" outlineLevel="0" collapsed="false">
      <c r="A1254" s="8" t="n">
        <v>1253</v>
      </c>
      <c r="B1254" s="9" t="s">
        <v>2260</v>
      </c>
      <c r="C1254" s="8" t="n">
        <v>85</v>
      </c>
      <c r="D1254" s="9" t="str">
        <f aca="false">INDEX(Radicals!$B$2:$B$215,MATCH(C1254,Radicals!$A$2:$A$215,0))</f>
        <v>水</v>
      </c>
      <c r="E1254" s="10" t="str">
        <f aca="false">INDEX(Radicals!$G$2:$G$215,MATCH(C1254,Radicals!$A$2:$A$215,0))</f>
        <v>water</v>
      </c>
      <c r="F1254" s="8" t="n">
        <f aca="false">INDEX(Radicals!$D$2:$D$215,MATCH(C1254,Radicals!$A$2:$A$215,0))</f>
        <v>4</v>
      </c>
      <c r="G1254" s="8" t="n">
        <v>9</v>
      </c>
    </row>
    <row r="1255" customFormat="false" ht="17.35" hidden="false" customHeight="false" outlineLevel="0" collapsed="false">
      <c r="A1255" s="8" t="n">
        <v>1254</v>
      </c>
      <c r="B1255" s="9" t="s">
        <v>2261</v>
      </c>
      <c r="C1255" s="8" t="n">
        <v>19</v>
      </c>
      <c r="D1255" s="9" t="str">
        <f aca="false">INDEX(Radicals!$B$2:$B$215,MATCH(C1255,Radicals!$A$2:$A$215,0))</f>
        <v>力</v>
      </c>
      <c r="E1255" s="10" t="str">
        <f aca="false">INDEX(Radicals!$G$2:$G$215,MATCH(C1255,Radicals!$A$2:$A$215,0))</f>
        <v>power, strength</v>
      </c>
      <c r="F1255" s="8" t="n">
        <f aca="false">INDEX(Radicals!$D$2:$D$215,MATCH(C1255,Radicals!$A$2:$A$215,0))</f>
        <v>2</v>
      </c>
      <c r="G1255" s="8" t="n">
        <v>7</v>
      </c>
    </row>
    <row r="1256" customFormat="false" ht="17.35" hidden="false" customHeight="false" outlineLevel="0" collapsed="false">
      <c r="A1256" s="8" t="n">
        <v>1255</v>
      </c>
      <c r="B1256" s="9" t="s">
        <v>2262</v>
      </c>
      <c r="C1256" s="8" t="n">
        <v>64</v>
      </c>
      <c r="D1256" s="9" t="str">
        <f aca="false">INDEX(Radicals!$B$2:$B$215,MATCH(C1256,Radicals!$A$2:$A$215,0))</f>
        <v>手</v>
      </c>
      <c r="E1256" s="10" t="str">
        <f aca="false">INDEX(Radicals!$G$2:$G$215,MATCH(C1256,Radicals!$A$2:$A$215,0))</f>
        <v>hand</v>
      </c>
      <c r="F1256" s="8" t="n">
        <f aca="false">INDEX(Radicals!$D$2:$D$215,MATCH(C1256,Radicals!$A$2:$A$215,0))</f>
        <v>4</v>
      </c>
      <c r="G1256" s="8" t="n">
        <v>11</v>
      </c>
    </row>
    <row r="1257" customFormat="false" ht="17.35" hidden="false" customHeight="false" outlineLevel="0" collapsed="false">
      <c r="A1257" s="8" t="n">
        <v>1256</v>
      </c>
      <c r="B1257" s="9" t="s">
        <v>2263</v>
      </c>
      <c r="C1257" s="8" t="n">
        <v>173</v>
      </c>
      <c r="D1257" s="9" t="str">
        <f aca="false">INDEX(Radicals!$B$2:$B$215,MATCH(C1257,Radicals!$A$2:$A$215,0))</f>
        <v>雨</v>
      </c>
      <c r="E1257" s="10" t="str">
        <f aca="false">INDEX(Radicals!$G$2:$G$215,MATCH(C1257,Radicals!$A$2:$A$215,0))</f>
        <v>rain</v>
      </c>
      <c r="F1257" s="8" t="n">
        <f aca="false">INDEX(Radicals!$D$2:$D$215,MATCH(C1257,Radicals!$A$2:$A$215,0))</f>
        <v>8</v>
      </c>
      <c r="G1257" s="8" t="n">
        <v>12</v>
      </c>
    </row>
    <row r="1258" customFormat="false" ht="17.35" hidden="false" customHeight="false" outlineLevel="0" collapsed="false">
      <c r="A1258" s="8" t="n">
        <v>1257</v>
      </c>
      <c r="B1258" s="9" t="s">
        <v>2264</v>
      </c>
      <c r="C1258" s="8" t="n">
        <v>64</v>
      </c>
      <c r="D1258" s="9" t="str">
        <f aca="false">INDEX(Radicals!$B$2:$B$215,MATCH(C1258,Radicals!$A$2:$A$215,0))</f>
        <v>手</v>
      </c>
      <c r="E1258" s="10" t="str">
        <f aca="false">INDEX(Radicals!$G$2:$G$215,MATCH(C1258,Radicals!$A$2:$A$215,0))</f>
        <v>hand</v>
      </c>
      <c r="F1258" s="8" t="n">
        <f aca="false">INDEX(Radicals!$D$2:$D$215,MATCH(C1258,Radicals!$A$2:$A$215,0))</f>
        <v>4</v>
      </c>
      <c r="G1258" s="8" t="n">
        <v>11</v>
      </c>
    </row>
    <row r="1259" customFormat="false" ht="17.35" hidden="false" customHeight="false" outlineLevel="0" collapsed="false">
      <c r="A1259" s="8" t="n">
        <v>1258</v>
      </c>
      <c r="B1259" s="9" t="s">
        <v>2265</v>
      </c>
      <c r="C1259" s="8" t="n">
        <v>120</v>
      </c>
      <c r="D1259" s="9" t="str">
        <f aca="false">INDEX(Radicals!$B$2:$B$215,MATCH(C1259,Radicals!$A$2:$A$215,0))</f>
        <v>糸</v>
      </c>
      <c r="E1259" s="10" t="str">
        <f aca="false">INDEX(Radicals!$G$2:$G$215,MATCH(C1259,Radicals!$A$2:$A$215,0))</f>
        <v>thread, silk</v>
      </c>
      <c r="F1259" s="8" t="n">
        <f aca="false">INDEX(Radicals!$D$2:$D$215,MATCH(C1259,Radicals!$A$2:$A$215,0))</f>
        <v>6</v>
      </c>
      <c r="G1259" s="8" t="n">
        <v>16</v>
      </c>
    </row>
    <row r="1260" customFormat="false" ht="17.35" hidden="false" customHeight="false" outlineLevel="0" collapsed="false">
      <c r="A1260" s="8" t="n">
        <v>1259</v>
      </c>
      <c r="B1260" s="9" t="s">
        <v>2266</v>
      </c>
      <c r="C1260" s="8" t="n">
        <v>159</v>
      </c>
      <c r="D1260" s="9" t="str">
        <f aca="false">INDEX(Radicals!$B$2:$B$215,MATCH(C1260,Radicals!$A$2:$A$215,0))</f>
        <v>車</v>
      </c>
      <c r="E1260" s="10" t="str">
        <f aca="false">INDEX(Radicals!$G$2:$G$215,MATCH(C1260,Radicals!$A$2:$A$215,0))</f>
        <v>cart, vehicle</v>
      </c>
      <c r="F1260" s="8" t="n">
        <f aca="false">INDEX(Radicals!$D$2:$D$215,MATCH(C1260,Radicals!$A$2:$A$215,0))</f>
        <v>7</v>
      </c>
      <c r="G1260" s="8" t="n">
        <v>15</v>
      </c>
    </row>
    <row r="1261" customFormat="false" ht="17.35" hidden="false" customHeight="false" outlineLevel="0" collapsed="false">
      <c r="A1261" s="8" t="n">
        <v>1260</v>
      </c>
      <c r="B1261" s="9" t="s">
        <v>2267</v>
      </c>
      <c r="C1261" s="8" t="n">
        <v>140</v>
      </c>
      <c r="D1261" s="9" t="str">
        <f aca="false">INDEX(Radicals!$B$2:$B$215,MATCH(C1261,Radicals!$A$2:$A$215,0))</f>
        <v>艸</v>
      </c>
      <c r="E1261" s="10" t="str">
        <f aca="false">INDEX(Radicals!$G$2:$G$215,MATCH(C1261,Radicals!$A$2:$A$215,0))</f>
        <v>grass, plant</v>
      </c>
      <c r="F1261" s="8" t="n">
        <f aca="false">INDEX(Radicals!$D$2:$D$215,MATCH(C1261,Radicals!$A$2:$A$215,0))</f>
        <v>6</v>
      </c>
      <c r="G1261" s="8" t="n">
        <v>13</v>
      </c>
    </row>
    <row r="1262" customFormat="false" ht="17.35" hidden="false" customHeight="false" outlineLevel="0" collapsed="false">
      <c r="A1262" s="8" t="n">
        <v>1261</v>
      </c>
      <c r="B1262" s="9" t="s">
        <v>2268</v>
      </c>
      <c r="C1262" s="8" t="n">
        <v>159</v>
      </c>
      <c r="D1262" s="9" t="str">
        <f aca="false">INDEX(Radicals!$B$2:$B$215,MATCH(C1262,Radicals!$A$2:$A$215,0))</f>
        <v>車</v>
      </c>
      <c r="E1262" s="10" t="str">
        <f aca="false">INDEX(Radicals!$G$2:$G$215,MATCH(C1262,Radicals!$A$2:$A$215,0))</f>
        <v>cart, vehicle</v>
      </c>
      <c r="F1262" s="8" t="n">
        <f aca="false">INDEX(Radicals!$D$2:$D$215,MATCH(C1262,Radicals!$A$2:$A$215,0))</f>
        <v>7</v>
      </c>
      <c r="G1262" s="8" t="n">
        <v>12</v>
      </c>
    </row>
    <row r="1263" customFormat="false" ht="17.35" hidden="false" customHeight="false" outlineLevel="0" collapsed="false">
      <c r="A1263" s="8" t="n">
        <v>1262</v>
      </c>
      <c r="B1263" s="9" t="s">
        <v>2269</v>
      </c>
      <c r="C1263" s="8" t="n">
        <v>47</v>
      </c>
      <c r="D1263" s="9" t="str">
        <f aca="false">INDEX(Radicals!$B$2:$B$215,MATCH(C1263,Radicals!$A$2:$A$215,0))</f>
        <v>巛</v>
      </c>
      <c r="E1263" s="10" t="str">
        <f aca="false">INDEX(Radicals!$G$2:$G$215,MATCH(C1263,Radicals!$A$2:$A$215,0))</f>
        <v>river</v>
      </c>
      <c r="F1263" s="8" t="n">
        <f aca="false">INDEX(Radicals!$D$2:$D$215,MATCH(C1263,Radicals!$A$2:$A$215,0))</f>
        <v>3</v>
      </c>
      <c r="G1263" s="8" t="n">
        <v>6</v>
      </c>
    </row>
    <row r="1264" customFormat="false" ht="17.35" hidden="false" customHeight="false" outlineLevel="0" collapsed="false">
      <c r="A1264" s="8" t="n">
        <v>1263</v>
      </c>
      <c r="B1264" s="9" t="s">
        <v>2270</v>
      </c>
      <c r="C1264" s="8" t="n">
        <v>104</v>
      </c>
      <c r="D1264" s="9" t="str">
        <f aca="false">INDEX(Radicals!$B$2:$B$215,MATCH(C1264,Radicals!$A$2:$A$215,0))</f>
        <v>疒</v>
      </c>
      <c r="E1264" s="10" t="str">
        <f aca="false">INDEX(Radicals!$G$2:$G$215,MATCH(C1264,Radicals!$A$2:$A$215,0))</f>
        <v>sickness</v>
      </c>
      <c r="F1264" s="8" t="n">
        <f aca="false">INDEX(Radicals!$D$2:$D$215,MATCH(C1264,Radicals!$A$2:$A$215,0))</f>
        <v>5</v>
      </c>
      <c r="G1264" s="8" t="n">
        <v>10</v>
      </c>
    </row>
    <row r="1265" customFormat="false" ht="17.35" hidden="false" customHeight="false" outlineLevel="0" collapsed="false">
      <c r="A1265" s="8" t="n">
        <v>1264</v>
      </c>
      <c r="B1265" s="9" t="s">
        <v>2271</v>
      </c>
      <c r="C1265" s="8" t="n">
        <v>115</v>
      </c>
      <c r="D1265" s="9" t="str">
        <f aca="false">INDEX(Radicals!$B$2:$B$215,MATCH(C1265,Radicals!$A$2:$A$215,0))</f>
        <v>禾</v>
      </c>
      <c r="E1265" s="10" t="str">
        <f aca="false">INDEX(Radicals!$G$2:$G$215,MATCH(C1265,Radicals!$A$2:$A$215,0))</f>
        <v>grain, rice plant</v>
      </c>
      <c r="F1265" s="8" t="n">
        <f aca="false">INDEX(Radicals!$D$2:$D$215,MATCH(C1265,Radicals!$A$2:$A$215,0))</f>
        <v>5</v>
      </c>
      <c r="G1265" s="8" t="n">
        <v>15</v>
      </c>
    </row>
    <row r="1266" customFormat="false" ht="17.35" hidden="false" customHeight="false" outlineLevel="0" collapsed="false">
      <c r="A1266" s="8" t="n">
        <v>1265</v>
      </c>
      <c r="B1266" s="9" t="s">
        <v>2272</v>
      </c>
      <c r="C1266" s="8" t="n">
        <v>109</v>
      </c>
      <c r="D1266" s="9" t="str">
        <f aca="false">INDEX(Radicals!$B$2:$B$215,MATCH(C1266,Radicals!$A$2:$A$215,0))</f>
        <v>目</v>
      </c>
      <c r="E1266" s="10" t="str">
        <f aca="false">INDEX(Radicals!$G$2:$G$215,MATCH(C1266,Radicals!$A$2:$A$215,0))</f>
        <v>eye</v>
      </c>
      <c r="F1266" s="8" t="n">
        <f aca="false">INDEX(Radicals!$D$2:$D$215,MATCH(C1266,Radicals!$A$2:$A$215,0))</f>
        <v>5</v>
      </c>
      <c r="G1266" s="8" t="n">
        <v>18</v>
      </c>
    </row>
    <row r="1267" customFormat="false" ht="17.35" hidden="false" customHeight="false" outlineLevel="0" collapsed="false">
      <c r="A1267" s="8" t="n">
        <v>1266</v>
      </c>
      <c r="B1267" s="9" t="s">
        <v>2273</v>
      </c>
      <c r="C1267" s="8" t="n">
        <v>64</v>
      </c>
      <c r="D1267" s="9" t="str">
        <f aca="false">INDEX(Radicals!$B$2:$B$215,MATCH(C1267,Radicals!$A$2:$A$215,0))</f>
        <v>手</v>
      </c>
      <c r="E1267" s="10" t="str">
        <f aca="false">INDEX(Radicals!$G$2:$G$215,MATCH(C1267,Radicals!$A$2:$A$215,0))</f>
        <v>hand</v>
      </c>
      <c r="F1267" s="8" t="n">
        <f aca="false">INDEX(Radicals!$D$2:$D$215,MATCH(C1267,Radicals!$A$2:$A$215,0))</f>
        <v>4</v>
      </c>
      <c r="G1267" s="8" t="n">
        <v>11</v>
      </c>
    </row>
    <row r="1268" customFormat="false" ht="17.35" hidden="false" customHeight="false" outlineLevel="0" collapsed="false">
      <c r="A1268" s="8" t="n">
        <v>1267</v>
      </c>
      <c r="B1268" s="9" t="s">
        <v>2274</v>
      </c>
      <c r="C1268" s="8" t="n">
        <v>106</v>
      </c>
      <c r="D1268" s="9" t="str">
        <f aca="false">INDEX(Radicals!$B$2:$B$215,MATCH(C1268,Radicals!$A$2:$A$215,0))</f>
        <v>白</v>
      </c>
      <c r="E1268" s="10" t="str">
        <f aca="false">INDEX(Radicals!$G$2:$G$215,MATCH(C1268,Radicals!$A$2:$A$215,0))</f>
        <v>white</v>
      </c>
      <c r="F1268" s="8" t="n">
        <f aca="false">INDEX(Radicals!$D$2:$D$215,MATCH(C1268,Radicals!$A$2:$A$215,0))</f>
        <v>5</v>
      </c>
      <c r="G1268" s="8" t="n">
        <v>9</v>
      </c>
    </row>
    <row r="1269" customFormat="false" ht="17.35" hidden="false" customHeight="false" outlineLevel="0" collapsed="false">
      <c r="A1269" s="8" t="n">
        <v>1268</v>
      </c>
      <c r="B1269" s="9" t="s">
        <v>2275</v>
      </c>
      <c r="C1269" s="8" t="n">
        <v>112</v>
      </c>
      <c r="D1269" s="9" t="str">
        <f aca="false">INDEX(Radicals!$B$2:$B$215,MATCH(C1269,Radicals!$A$2:$A$215,0))</f>
        <v>石</v>
      </c>
      <c r="E1269" s="10" t="str">
        <f aca="false">INDEX(Radicals!$G$2:$G$215,MATCH(C1269,Radicals!$A$2:$A$215,0))</f>
        <v>stone</v>
      </c>
      <c r="F1269" s="8" t="n">
        <f aca="false">INDEX(Radicals!$D$2:$D$215,MATCH(C1269,Radicals!$A$2:$A$215,0))</f>
        <v>5</v>
      </c>
      <c r="G1269" s="8" t="n">
        <v>10</v>
      </c>
    </row>
    <row r="1270" customFormat="false" ht="17.35" hidden="false" customHeight="false" outlineLevel="0" collapsed="false">
      <c r="A1270" s="8" t="n">
        <v>1269</v>
      </c>
      <c r="B1270" s="9" t="s">
        <v>2276</v>
      </c>
      <c r="C1270" s="8" t="n">
        <v>159</v>
      </c>
      <c r="D1270" s="9" t="str">
        <f aca="false">INDEX(Radicals!$B$2:$B$215,MATCH(C1270,Radicals!$A$2:$A$215,0))</f>
        <v>車</v>
      </c>
      <c r="E1270" s="10" t="str">
        <f aca="false">INDEX(Radicals!$G$2:$G$215,MATCH(C1270,Radicals!$A$2:$A$215,0))</f>
        <v>cart, vehicle</v>
      </c>
      <c r="F1270" s="8" t="n">
        <f aca="false">INDEX(Radicals!$D$2:$D$215,MATCH(C1270,Radicals!$A$2:$A$215,0))</f>
        <v>7</v>
      </c>
      <c r="G1270" s="8" t="n">
        <v>11</v>
      </c>
    </row>
    <row r="1271" customFormat="false" ht="17.35" hidden="false" customHeight="false" outlineLevel="0" collapsed="false">
      <c r="A1271" s="8" t="n">
        <v>1270</v>
      </c>
      <c r="B1271" s="9" t="s">
        <v>2277</v>
      </c>
      <c r="C1271" s="8" t="n">
        <v>30</v>
      </c>
      <c r="D1271" s="9" t="str">
        <f aca="false">INDEX(Radicals!$B$2:$B$215,MATCH(C1271,Radicals!$A$2:$A$215,0))</f>
        <v>口</v>
      </c>
      <c r="E1271" s="10" t="str">
        <f aca="false">INDEX(Radicals!$G$2:$G$215,MATCH(C1271,Radicals!$A$2:$A$215,0))</f>
        <v>mouth</v>
      </c>
      <c r="F1271" s="8" t="n">
        <f aca="false">INDEX(Radicals!$D$2:$D$215,MATCH(C1271,Radicals!$A$2:$A$215,0))</f>
        <v>3</v>
      </c>
      <c r="G1271" s="8" t="n">
        <v>15</v>
      </c>
    </row>
    <row r="1272" customFormat="false" ht="17.35" hidden="false" customHeight="false" outlineLevel="0" collapsed="false">
      <c r="A1272" s="8" t="n">
        <v>1271</v>
      </c>
      <c r="B1272" s="9" t="s">
        <v>2278</v>
      </c>
      <c r="C1272" s="8" t="n">
        <v>85</v>
      </c>
      <c r="D1272" s="9" t="str">
        <f aca="false">INDEX(Radicals!$B$2:$B$215,MATCH(C1272,Radicals!$A$2:$A$215,0))</f>
        <v>水</v>
      </c>
      <c r="E1272" s="10" t="str">
        <f aca="false">INDEX(Radicals!$G$2:$G$215,MATCH(C1272,Radicals!$A$2:$A$215,0))</f>
        <v>water</v>
      </c>
      <c r="F1272" s="8" t="n">
        <f aca="false">INDEX(Radicals!$D$2:$D$215,MATCH(C1272,Radicals!$A$2:$A$215,0))</f>
        <v>4</v>
      </c>
      <c r="G1272" s="8" t="n">
        <v>7</v>
      </c>
    </row>
    <row r="1273" customFormat="false" ht="17.35" hidden="false" customHeight="false" outlineLevel="0" collapsed="false">
      <c r="A1273" s="8" t="n">
        <v>1272</v>
      </c>
      <c r="B1273" s="9" t="s">
        <v>2279</v>
      </c>
      <c r="C1273" s="8" t="n">
        <v>149</v>
      </c>
      <c r="D1273" s="9" t="str">
        <f aca="false">INDEX(Radicals!$B$2:$B$215,MATCH(C1273,Radicals!$A$2:$A$215,0))</f>
        <v>言</v>
      </c>
      <c r="E1273" s="10" t="str">
        <f aca="false">INDEX(Radicals!$G$2:$G$215,MATCH(C1273,Radicals!$A$2:$A$215,0))</f>
        <v>speech, say</v>
      </c>
      <c r="F1273" s="8" t="n">
        <f aca="false">INDEX(Radicals!$D$2:$D$215,MATCH(C1273,Radicals!$A$2:$A$215,0))</f>
        <v>7</v>
      </c>
      <c r="G1273" s="8" t="n">
        <v>13</v>
      </c>
    </row>
    <row r="1274" customFormat="false" ht="17.35" hidden="false" customHeight="false" outlineLevel="0" collapsed="false">
      <c r="A1274" s="8" t="n">
        <v>1273</v>
      </c>
      <c r="B1274" s="9" t="s">
        <v>2280</v>
      </c>
      <c r="C1274" s="8" t="n">
        <v>113</v>
      </c>
      <c r="D1274" s="9" t="str">
        <f aca="false">INDEX(Radicals!$B$2:$B$215,MATCH(C1274,Radicals!$A$2:$A$215,0))</f>
        <v>示</v>
      </c>
      <c r="E1274" s="10" t="str">
        <f aca="false">INDEX(Radicals!$G$2:$G$215,MATCH(C1274,Radicals!$A$2:$A$215,0))</f>
        <v>spirit, altar, show</v>
      </c>
      <c r="F1274" s="8" t="n">
        <f aca="false">INDEX(Radicals!$D$2:$D$215,MATCH(C1274,Radicals!$A$2:$A$215,0))</f>
        <v>5</v>
      </c>
      <c r="G1274" s="8" t="n">
        <v>10</v>
      </c>
    </row>
    <row r="1275" customFormat="false" ht="17.35" hidden="false" customHeight="false" outlineLevel="0" collapsed="false">
      <c r="A1275" s="8" t="n">
        <v>1274</v>
      </c>
      <c r="B1275" s="9" t="s">
        <v>2281</v>
      </c>
      <c r="C1275" s="8" t="n">
        <v>93</v>
      </c>
      <c r="D1275" s="9" t="str">
        <f aca="false">INDEX(Radicals!$B$2:$B$215,MATCH(C1275,Radicals!$A$2:$A$215,0))</f>
        <v>牛</v>
      </c>
      <c r="E1275" s="10" t="str">
        <f aca="false">INDEX(Radicals!$G$2:$G$215,MATCH(C1275,Radicals!$A$2:$A$215,0))</f>
        <v>cow, ox</v>
      </c>
      <c r="F1275" s="8" t="n">
        <f aca="false">INDEX(Radicals!$D$2:$D$215,MATCH(C1275,Radicals!$A$2:$A$215,0))</f>
        <v>4</v>
      </c>
      <c r="G1275" s="8" t="n">
        <v>9</v>
      </c>
    </row>
    <row r="1276" customFormat="false" ht="17.35" hidden="false" customHeight="false" outlineLevel="0" collapsed="false">
      <c r="A1276" s="8" t="n">
        <v>1275</v>
      </c>
      <c r="B1276" s="9" t="s">
        <v>2282</v>
      </c>
      <c r="C1276" s="8" t="n">
        <v>115</v>
      </c>
      <c r="D1276" s="9" t="str">
        <f aca="false">INDEX(Radicals!$B$2:$B$215,MATCH(C1276,Radicals!$A$2:$A$215,0))</f>
        <v>禾</v>
      </c>
      <c r="E1276" s="10" t="str">
        <f aca="false">INDEX(Radicals!$G$2:$G$215,MATCH(C1276,Radicals!$A$2:$A$215,0))</f>
        <v>grain, rice plant</v>
      </c>
      <c r="F1276" s="8" t="n">
        <f aca="false">INDEX(Radicals!$D$2:$D$215,MATCH(C1276,Radicals!$A$2:$A$215,0))</f>
        <v>5</v>
      </c>
      <c r="G1276" s="8" t="n">
        <v>10</v>
      </c>
    </row>
    <row r="1277" customFormat="false" ht="17.35" hidden="false" customHeight="false" outlineLevel="0" collapsed="false">
      <c r="A1277" s="8" t="n">
        <v>1276</v>
      </c>
      <c r="B1277" s="9" t="s">
        <v>2283</v>
      </c>
      <c r="C1277" s="8" t="n">
        <v>50</v>
      </c>
      <c r="D1277" s="9" t="str">
        <f aca="false">INDEX(Radicals!$B$2:$B$215,MATCH(C1277,Radicals!$A$2:$A$215,0))</f>
        <v>巾</v>
      </c>
      <c r="E1277" s="10" t="str">
        <f aca="false">INDEX(Radicals!$G$2:$G$215,MATCH(C1277,Radicals!$A$2:$A$215,0))</f>
        <v>turban, cloth</v>
      </c>
      <c r="F1277" s="8" t="n">
        <f aca="false">INDEX(Radicals!$D$2:$D$215,MATCH(C1277,Radicals!$A$2:$A$215,0))</f>
        <v>3</v>
      </c>
      <c r="G1277" s="8" t="n">
        <v>9</v>
      </c>
    </row>
    <row r="1278" customFormat="false" ht="17.35" hidden="false" customHeight="false" outlineLevel="0" collapsed="false">
      <c r="A1278" s="8" t="n">
        <v>1277</v>
      </c>
      <c r="B1278" s="9" t="s">
        <v>2284</v>
      </c>
      <c r="C1278" s="8" t="n">
        <v>40</v>
      </c>
      <c r="D1278" s="9" t="str">
        <f aca="false">INDEX(Radicals!$B$2:$B$215,MATCH(C1278,Radicals!$A$2:$A$215,0))</f>
        <v>宀</v>
      </c>
      <c r="E1278" s="10" t="str">
        <f aca="false">INDEX(Radicals!$G$2:$G$215,MATCH(C1278,Radicals!$A$2:$A$215,0))</f>
        <v>roof</v>
      </c>
      <c r="F1278" s="8" t="n">
        <f aca="false">INDEX(Radicals!$D$2:$D$215,MATCH(C1278,Radicals!$A$2:$A$215,0))</f>
        <v>3</v>
      </c>
      <c r="G1278" s="8" t="n">
        <v>7</v>
      </c>
    </row>
    <row r="1279" customFormat="false" ht="17.35" hidden="false" customHeight="false" outlineLevel="0" collapsed="false">
      <c r="A1279" s="8" t="n">
        <v>1278</v>
      </c>
      <c r="B1279" s="9" t="s">
        <v>2285</v>
      </c>
      <c r="C1279" s="8" t="n">
        <v>30</v>
      </c>
      <c r="D1279" s="9" t="str">
        <f aca="false">INDEX(Radicals!$B$2:$B$215,MATCH(C1279,Radicals!$A$2:$A$215,0))</f>
        <v>口</v>
      </c>
      <c r="E1279" s="10" t="str">
        <f aca="false">INDEX(Radicals!$G$2:$G$215,MATCH(C1279,Radicals!$A$2:$A$215,0))</f>
        <v>mouth</v>
      </c>
      <c r="F1279" s="8" t="n">
        <f aca="false">INDEX(Radicals!$D$2:$D$215,MATCH(C1279,Radicals!$A$2:$A$215,0))</f>
        <v>3</v>
      </c>
      <c r="G1279" s="8" t="n">
        <v>10</v>
      </c>
    </row>
    <row r="1280" customFormat="false" ht="17.35" hidden="false" customHeight="false" outlineLevel="0" collapsed="false">
      <c r="A1280" s="8" t="n">
        <v>1279</v>
      </c>
      <c r="B1280" s="9" t="s">
        <v>2286</v>
      </c>
      <c r="C1280" s="8" t="n">
        <v>196</v>
      </c>
      <c r="D1280" s="9" t="str">
        <f aca="false">INDEX(Radicals!$B$2:$B$215,MATCH(C1280,Radicals!$A$2:$A$215,0))</f>
        <v>鳥</v>
      </c>
      <c r="E1280" s="10" t="str">
        <f aca="false">INDEX(Radicals!$G$2:$G$215,MATCH(C1280,Radicals!$A$2:$A$215,0))</f>
        <v>bird</v>
      </c>
      <c r="F1280" s="8" t="n">
        <f aca="false">INDEX(Radicals!$D$2:$D$215,MATCH(C1280,Radicals!$A$2:$A$215,0))</f>
        <v>11</v>
      </c>
      <c r="G1280" s="8" t="n">
        <v>14</v>
      </c>
    </row>
    <row r="1281" customFormat="false" ht="17.35" hidden="false" customHeight="false" outlineLevel="0" collapsed="false">
      <c r="A1281" s="8" t="n">
        <v>1280</v>
      </c>
      <c r="B1281" s="9" t="s">
        <v>2287</v>
      </c>
      <c r="C1281" s="8" t="n">
        <v>170</v>
      </c>
      <c r="D1281" s="9" t="str">
        <f aca="false">INDEX(Radicals!$B$2:$B$215,MATCH(C1281,Radicals!$A$2:$A$215,0))</f>
        <v>阜</v>
      </c>
      <c r="E1281" s="10" t="str">
        <f aca="false">INDEX(Radicals!$G$2:$G$215,MATCH(C1281,Radicals!$A$2:$A$215,0))</f>
        <v>mound, hill</v>
      </c>
      <c r="F1281" s="8" t="n">
        <f aca="false">INDEX(Radicals!$D$2:$D$215,MATCH(C1281,Radicals!$A$2:$A$215,0))</f>
        <v>8</v>
      </c>
      <c r="G1281" s="8" t="n">
        <v>8</v>
      </c>
    </row>
    <row r="1282" customFormat="false" ht="17.35" hidden="false" customHeight="false" outlineLevel="0" collapsed="false">
      <c r="A1282" s="8" t="n">
        <v>1281</v>
      </c>
      <c r="B1282" s="9" t="s">
        <v>2288</v>
      </c>
      <c r="C1282" s="8" t="n">
        <v>85</v>
      </c>
      <c r="D1282" s="9" t="str">
        <f aca="false">INDEX(Radicals!$B$2:$B$215,MATCH(C1282,Radicals!$A$2:$A$215,0))</f>
        <v>水</v>
      </c>
      <c r="E1282" s="10" t="str">
        <f aca="false">INDEX(Radicals!$G$2:$G$215,MATCH(C1282,Radicals!$A$2:$A$215,0))</f>
        <v>water</v>
      </c>
      <c r="F1282" s="8" t="n">
        <f aca="false">INDEX(Radicals!$D$2:$D$215,MATCH(C1282,Radicals!$A$2:$A$215,0))</f>
        <v>4</v>
      </c>
      <c r="G1282" s="8" t="n">
        <v>10</v>
      </c>
    </row>
    <row r="1283" customFormat="false" ht="17.35" hidden="false" customHeight="false" outlineLevel="0" collapsed="false">
      <c r="A1283" s="8" t="n">
        <v>1282</v>
      </c>
      <c r="B1283" s="9" t="s">
        <v>2289</v>
      </c>
      <c r="C1283" s="8" t="n">
        <v>154</v>
      </c>
      <c r="D1283" s="9" t="str">
        <f aca="false">INDEX(Radicals!$B$2:$B$215,MATCH(C1283,Radicals!$A$2:$A$215,0))</f>
        <v>貝</v>
      </c>
      <c r="E1283" s="10" t="str">
        <f aca="false">INDEX(Radicals!$G$2:$G$215,MATCH(C1283,Radicals!$A$2:$A$215,0))</f>
        <v>shell, money</v>
      </c>
      <c r="F1283" s="8" t="n">
        <f aca="false">INDEX(Radicals!$D$2:$D$215,MATCH(C1283,Radicals!$A$2:$A$215,0))</f>
        <v>7</v>
      </c>
      <c r="G1283" s="8" t="n">
        <v>13</v>
      </c>
    </row>
    <row r="1284" customFormat="false" ht="17.35" hidden="false" customHeight="false" outlineLevel="0" collapsed="false">
      <c r="A1284" s="8" t="n">
        <v>1283</v>
      </c>
      <c r="B1284" s="9" t="s">
        <v>2290</v>
      </c>
      <c r="C1284" s="8" t="n">
        <v>64</v>
      </c>
      <c r="D1284" s="9" t="str">
        <f aca="false">INDEX(Radicals!$B$2:$B$215,MATCH(C1284,Radicals!$A$2:$A$215,0))</f>
        <v>手</v>
      </c>
      <c r="E1284" s="10" t="str">
        <f aca="false">INDEX(Radicals!$G$2:$G$215,MATCH(C1284,Radicals!$A$2:$A$215,0))</f>
        <v>hand</v>
      </c>
      <c r="F1284" s="8" t="n">
        <f aca="false">INDEX(Radicals!$D$2:$D$215,MATCH(C1284,Radicals!$A$2:$A$215,0))</f>
        <v>4</v>
      </c>
      <c r="G1284" s="8" t="n">
        <v>15</v>
      </c>
    </row>
    <row r="1285" customFormat="false" ht="17.35" hidden="false" customHeight="false" outlineLevel="0" collapsed="false">
      <c r="A1285" s="8" t="n">
        <v>1284</v>
      </c>
      <c r="B1285" s="9" t="s">
        <v>2291</v>
      </c>
      <c r="C1285" s="8" t="n">
        <v>15</v>
      </c>
      <c r="D1285" s="9" t="str">
        <f aca="false">INDEX(Radicals!$B$2:$B$215,MATCH(C1285,Radicals!$A$2:$A$215,0))</f>
        <v>冫</v>
      </c>
      <c r="E1285" s="10" t="str">
        <f aca="false">INDEX(Radicals!$G$2:$G$215,MATCH(C1285,Radicals!$A$2:$A$215,0))</f>
        <v>ice</v>
      </c>
      <c r="F1285" s="8" t="n">
        <f aca="false">INDEX(Radicals!$D$2:$D$215,MATCH(C1285,Radicals!$A$2:$A$215,0))</f>
        <v>2</v>
      </c>
      <c r="G1285" s="8" t="n">
        <v>10</v>
      </c>
    </row>
    <row r="1286" customFormat="false" ht="17.35" hidden="false" customHeight="false" outlineLevel="0" collapsed="false">
      <c r="A1286" s="8" t="n">
        <v>1285</v>
      </c>
      <c r="B1286" s="9" t="s">
        <v>2292</v>
      </c>
      <c r="C1286" s="8" t="n">
        <v>32</v>
      </c>
      <c r="D1286" s="9" t="str">
        <f aca="false">INDEX(Radicals!$B$2:$B$215,MATCH(C1286,Radicals!$A$2:$A$215,0))</f>
        <v>土</v>
      </c>
      <c r="E1286" s="10" t="str">
        <f aca="false">INDEX(Radicals!$G$2:$G$215,MATCH(C1286,Radicals!$A$2:$A$215,0))</f>
        <v>earth, soil</v>
      </c>
      <c r="F1286" s="8" t="n">
        <f aca="false">INDEX(Radicals!$D$2:$D$215,MATCH(C1286,Radicals!$A$2:$A$215,0))</f>
        <v>3</v>
      </c>
      <c r="G1286" s="8" t="n">
        <v>11</v>
      </c>
    </row>
    <row r="1287" customFormat="false" ht="17.35" hidden="false" customHeight="false" outlineLevel="0" collapsed="false">
      <c r="A1287" s="8" t="n">
        <v>1286</v>
      </c>
      <c r="B1287" s="9" t="s">
        <v>2293</v>
      </c>
      <c r="C1287" s="8" t="n">
        <v>130</v>
      </c>
      <c r="D1287" s="9" t="str">
        <f aca="false">INDEX(Radicals!$B$2:$B$215,MATCH(C1287,Radicals!$A$2:$A$215,0))</f>
        <v>肉</v>
      </c>
      <c r="E1287" s="10" t="str">
        <f aca="false">INDEX(Radicals!$G$2:$G$215,MATCH(C1287,Radicals!$A$2:$A$215,0))</f>
        <v>meat, flesh</v>
      </c>
      <c r="F1287" s="8" t="n">
        <f aca="false">INDEX(Radicals!$D$2:$D$215,MATCH(C1287,Radicals!$A$2:$A$215,0))</f>
        <v>6</v>
      </c>
      <c r="G1287" s="8" t="n">
        <v>13</v>
      </c>
    </row>
    <row r="1288" customFormat="false" ht="17.35" hidden="false" customHeight="false" outlineLevel="0" collapsed="false">
      <c r="A1288" s="8" t="n">
        <v>1287</v>
      </c>
      <c r="B1288" s="9" t="s">
        <v>2294</v>
      </c>
      <c r="C1288" s="8" t="n">
        <v>140</v>
      </c>
      <c r="D1288" s="9" t="str">
        <f aca="false">INDEX(Radicals!$B$2:$B$215,MATCH(C1288,Radicals!$A$2:$A$215,0))</f>
        <v>艸</v>
      </c>
      <c r="E1288" s="10" t="str">
        <f aca="false">INDEX(Radicals!$G$2:$G$215,MATCH(C1288,Radicals!$A$2:$A$215,0))</f>
        <v>grass, plant</v>
      </c>
      <c r="F1288" s="8" t="n">
        <f aca="false">INDEX(Radicals!$D$2:$D$215,MATCH(C1288,Radicals!$A$2:$A$215,0))</f>
        <v>6</v>
      </c>
      <c r="G1288" s="8" t="n">
        <v>11</v>
      </c>
    </row>
    <row r="1289" customFormat="false" ht="17.35" hidden="false" customHeight="false" outlineLevel="0" collapsed="false">
      <c r="A1289" s="8" t="n">
        <v>1288</v>
      </c>
      <c r="B1289" s="9" t="s">
        <v>2295</v>
      </c>
      <c r="C1289" s="8" t="n">
        <v>120</v>
      </c>
      <c r="D1289" s="9" t="str">
        <f aca="false">INDEX(Radicals!$B$2:$B$215,MATCH(C1289,Radicals!$A$2:$A$215,0))</f>
        <v>糸</v>
      </c>
      <c r="E1289" s="10" t="str">
        <f aca="false">INDEX(Radicals!$G$2:$G$215,MATCH(C1289,Radicals!$A$2:$A$215,0))</f>
        <v>thread, silk</v>
      </c>
      <c r="F1289" s="8" t="n">
        <f aca="false">INDEX(Radicals!$D$2:$D$215,MATCH(C1289,Radicals!$A$2:$A$215,0))</f>
        <v>6</v>
      </c>
      <c r="G1289" s="8" t="n">
        <v>12</v>
      </c>
    </row>
    <row r="1290" customFormat="false" ht="17.35" hidden="false" customHeight="false" outlineLevel="0" collapsed="false">
      <c r="A1290" s="8" t="n">
        <v>1289</v>
      </c>
      <c r="B1290" s="9" t="s">
        <v>2296</v>
      </c>
      <c r="C1290" s="8" t="n">
        <v>5</v>
      </c>
      <c r="D1290" s="9" t="str">
        <f aca="false">INDEX(Radicals!$B$2:$B$215,MATCH(C1290,Radicals!$A$2:$A$215,0))</f>
        <v>乙</v>
      </c>
      <c r="E1290" s="10" t="str">
        <f aca="false">INDEX(Radicals!$G$2:$G$215,MATCH(C1290,Radicals!$A$2:$A$215,0))</f>
        <v>second, hook</v>
      </c>
      <c r="F1290" s="8" t="n">
        <f aca="false">INDEX(Radicals!$D$2:$D$215,MATCH(C1290,Radicals!$A$2:$A$215,0))</f>
        <v>1</v>
      </c>
      <c r="G1290" s="8" t="n">
        <v>8</v>
      </c>
    </row>
    <row r="1291" customFormat="false" ht="17.35" hidden="false" customHeight="false" outlineLevel="0" collapsed="false">
      <c r="A1291" s="8" t="n">
        <v>1290</v>
      </c>
      <c r="B1291" s="9" t="s">
        <v>2297</v>
      </c>
      <c r="C1291" s="8" t="n">
        <v>86</v>
      </c>
      <c r="D1291" s="9" t="str">
        <f aca="false">INDEX(Radicals!$B$2:$B$215,MATCH(C1291,Radicals!$A$2:$A$215,0))</f>
        <v>火</v>
      </c>
      <c r="E1291" s="10" t="str">
        <f aca="false">INDEX(Radicals!$G$2:$G$215,MATCH(C1291,Radicals!$A$2:$A$215,0))</f>
        <v>fire</v>
      </c>
      <c r="F1291" s="8" t="n">
        <f aca="false">INDEX(Radicals!$D$2:$D$215,MATCH(C1291,Radicals!$A$2:$A$215,0))</f>
        <v>4</v>
      </c>
      <c r="G1291" s="8" t="n">
        <v>13</v>
      </c>
    </row>
    <row r="1292" customFormat="false" ht="17.35" hidden="false" customHeight="false" outlineLevel="0" collapsed="false">
      <c r="A1292" s="8" t="n">
        <v>1291</v>
      </c>
      <c r="B1292" s="9" t="s">
        <v>2298</v>
      </c>
      <c r="C1292" s="8" t="n">
        <v>120</v>
      </c>
      <c r="D1292" s="9" t="str">
        <f aca="false">INDEX(Radicals!$B$2:$B$215,MATCH(C1292,Radicals!$A$2:$A$215,0))</f>
        <v>糸</v>
      </c>
      <c r="E1292" s="10" t="str">
        <f aca="false">INDEX(Radicals!$G$2:$G$215,MATCH(C1292,Radicals!$A$2:$A$215,0))</f>
        <v>thread, silk</v>
      </c>
      <c r="F1292" s="8" t="n">
        <f aca="false">INDEX(Radicals!$D$2:$D$215,MATCH(C1292,Radicals!$A$2:$A$215,0))</f>
        <v>6</v>
      </c>
      <c r="G1292" s="8" t="n">
        <v>15</v>
      </c>
    </row>
    <row r="1293" customFormat="false" ht="17.35" hidden="false" customHeight="false" outlineLevel="0" collapsed="false">
      <c r="A1293" s="8" t="n">
        <v>1292</v>
      </c>
      <c r="B1293" s="9" t="s">
        <v>2299</v>
      </c>
      <c r="C1293" s="8" t="n">
        <v>30</v>
      </c>
      <c r="D1293" s="9" t="str">
        <f aca="false">INDEX(Radicals!$B$2:$B$215,MATCH(C1293,Radicals!$A$2:$A$215,0))</f>
        <v>口</v>
      </c>
      <c r="E1293" s="10" t="str">
        <f aca="false">INDEX(Radicals!$G$2:$G$215,MATCH(C1293,Radicals!$A$2:$A$215,0))</f>
        <v>mouth</v>
      </c>
      <c r="F1293" s="8" t="n">
        <f aca="false">INDEX(Radicals!$D$2:$D$215,MATCH(C1293,Radicals!$A$2:$A$215,0))</f>
        <v>3</v>
      </c>
      <c r="G1293" s="8" t="n">
        <v>11</v>
      </c>
    </row>
    <row r="1294" customFormat="false" ht="17.35" hidden="false" customHeight="false" outlineLevel="0" collapsed="false">
      <c r="A1294" s="8" t="n">
        <v>1293</v>
      </c>
      <c r="B1294" s="9" t="s">
        <v>2300</v>
      </c>
      <c r="C1294" s="8" t="n">
        <v>130</v>
      </c>
      <c r="D1294" s="9" t="str">
        <f aca="false">INDEX(Radicals!$B$2:$B$215,MATCH(C1294,Radicals!$A$2:$A$215,0))</f>
        <v>肉</v>
      </c>
      <c r="E1294" s="10" t="str">
        <f aca="false">INDEX(Radicals!$G$2:$G$215,MATCH(C1294,Radicals!$A$2:$A$215,0))</f>
        <v>meat, flesh</v>
      </c>
      <c r="F1294" s="8" t="n">
        <f aca="false">INDEX(Radicals!$D$2:$D$215,MATCH(C1294,Radicals!$A$2:$A$215,0))</f>
        <v>6</v>
      </c>
      <c r="G1294" s="8" t="n">
        <v>16</v>
      </c>
    </row>
    <row r="1295" customFormat="false" ht="17.35" hidden="false" customHeight="false" outlineLevel="0" collapsed="false">
      <c r="A1295" s="8" t="n">
        <v>1294</v>
      </c>
      <c r="B1295" s="9" t="s">
        <v>587</v>
      </c>
      <c r="C1295" s="8" t="n">
        <v>111</v>
      </c>
      <c r="D1295" s="9" t="str">
        <f aca="false">INDEX(Radicals!$B$2:$B$215,MATCH(C1295,Radicals!$A$2:$A$215,0))</f>
        <v>矢</v>
      </c>
      <c r="E1295" s="10" t="str">
        <f aca="false">INDEX(Radicals!$G$2:$G$215,MATCH(C1295,Radicals!$A$2:$A$215,0))</f>
        <v>arrow</v>
      </c>
      <c r="F1295" s="8" t="n">
        <f aca="false">INDEX(Radicals!$D$2:$D$215,MATCH(C1295,Radicals!$A$2:$A$215,0))</f>
        <v>5</v>
      </c>
      <c r="G1295" s="8" t="n">
        <v>5</v>
      </c>
    </row>
    <row r="1296" customFormat="false" ht="17.35" hidden="false" customHeight="false" outlineLevel="0" collapsed="false">
      <c r="A1296" s="8" t="n">
        <v>1295</v>
      </c>
      <c r="B1296" s="9" t="s">
        <v>670</v>
      </c>
      <c r="C1296" s="8" t="n">
        <v>126</v>
      </c>
      <c r="D1296" s="9" t="str">
        <f aca="false">INDEX(Radicals!$B$2:$B$215,MATCH(C1296,Radicals!$A$2:$A$215,0))</f>
        <v>而</v>
      </c>
      <c r="E1296" s="10" t="str">
        <f aca="false">INDEX(Radicals!$G$2:$G$215,MATCH(C1296,Radicals!$A$2:$A$215,0))</f>
        <v>and, beard</v>
      </c>
      <c r="F1296" s="8" t="n">
        <f aca="false">INDEX(Radicals!$D$2:$D$215,MATCH(C1296,Radicals!$A$2:$A$215,0))</f>
        <v>6</v>
      </c>
      <c r="G1296" s="8" t="n">
        <v>9</v>
      </c>
    </row>
    <row r="1297" customFormat="false" ht="17.35" hidden="false" customHeight="false" outlineLevel="0" collapsed="false">
      <c r="A1297" s="8" t="n">
        <v>1296</v>
      </c>
      <c r="B1297" s="9" t="s">
        <v>2301</v>
      </c>
      <c r="C1297" s="8" t="n">
        <v>61</v>
      </c>
      <c r="D1297" s="9" t="str">
        <f aca="false">INDEX(Radicals!$B$2:$B$215,MATCH(C1297,Radicals!$A$2:$A$215,0))</f>
        <v>心</v>
      </c>
      <c r="E1297" s="10" t="str">
        <f aca="false">INDEX(Radicals!$G$2:$G$215,MATCH(C1297,Radicals!$A$2:$A$215,0))</f>
        <v>heart, mind</v>
      </c>
      <c r="F1297" s="8" t="n">
        <f aca="false">INDEX(Radicals!$D$2:$D$215,MATCH(C1297,Radicals!$A$2:$A$215,0))</f>
        <v>4</v>
      </c>
      <c r="G1297" s="8" t="n">
        <v>10</v>
      </c>
    </row>
    <row r="1298" customFormat="false" ht="17.35" hidden="false" customHeight="false" outlineLevel="0" collapsed="false">
      <c r="A1298" s="8" t="n">
        <v>1297</v>
      </c>
      <c r="B1298" s="9" t="s">
        <v>2302</v>
      </c>
      <c r="C1298" s="8" t="n">
        <v>32</v>
      </c>
      <c r="D1298" s="9" t="str">
        <f aca="false">INDEX(Radicals!$B$2:$B$215,MATCH(C1298,Radicals!$A$2:$A$215,0))</f>
        <v>土</v>
      </c>
      <c r="E1298" s="10" t="str">
        <f aca="false">INDEX(Radicals!$G$2:$G$215,MATCH(C1298,Radicals!$A$2:$A$215,0))</f>
        <v>earth, soil</v>
      </c>
      <c r="F1298" s="8" t="n">
        <f aca="false">INDEX(Radicals!$D$2:$D$215,MATCH(C1298,Radicals!$A$2:$A$215,0))</f>
        <v>3</v>
      </c>
      <c r="G1298" s="8" t="n">
        <v>14</v>
      </c>
    </row>
    <row r="1299" customFormat="false" ht="17.35" hidden="false" customHeight="false" outlineLevel="0" collapsed="false">
      <c r="A1299" s="8" t="n">
        <v>1298</v>
      </c>
      <c r="B1299" s="9" t="s">
        <v>2303</v>
      </c>
      <c r="C1299" s="8" t="n">
        <v>85</v>
      </c>
      <c r="D1299" s="9" t="str">
        <f aca="false">INDEX(Radicals!$B$2:$B$215,MATCH(C1299,Radicals!$A$2:$A$215,0))</f>
        <v>水</v>
      </c>
      <c r="E1299" s="10" t="str">
        <f aca="false">INDEX(Radicals!$G$2:$G$215,MATCH(C1299,Radicals!$A$2:$A$215,0))</f>
        <v>water</v>
      </c>
      <c r="F1299" s="8" t="n">
        <f aca="false">INDEX(Radicals!$D$2:$D$215,MATCH(C1299,Radicals!$A$2:$A$215,0))</f>
        <v>4</v>
      </c>
      <c r="G1299" s="8" t="n">
        <v>14</v>
      </c>
    </row>
    <row r="1300" customFormat="false" ht="17.35" hidden="false" customHeight="false" outlineLevel="0" collapsed="false">
      <c r="A1300" s="8" t="n">
        <v>1299</v>
      </c>
      <c r="B1300" s="9" t="s">
        <v>2304</v>
      </c>
      <c r="C1300" s="8" t="n">
        <v>120</v>
      </c>
      <c r="D1300" s="9" t="str">
        <f aca="false">INDEX(Radicals!$B$2:$B$215,MATCH(C1300,Radicals!$A$2:$A$215,0))</f>
        <v>糸</v>
      </c>
      <c r="E1300" s="10" t="str">
        <f aca="false">INDEX(Radicals!$G$2:$G$215,MATCH(C1300,Radicals!$A$2:$A$215,0))</f>
        <v>thread, silk</v>
      </c>
      <c r="F1300" s="8" t="n">
        <f aca="false">INDEX(Radicals!$D$2:$D$215,MATCH(C1300,Radicals!$A$2:$A$215,0))</f>
        <v>6</v>
      </c>
      <c r="G1300" s="8" t="n">
        <v>9</v>
      </c>
    </row>
    <row r="1301" customFormat="false" ht="17.35" hidden="false" customHeight="false" outlineLevel="0" collapsed="false">
      <c r="A1301" s="8" t="n">
        <v>1300</v>
      </c>
      <c r="B1301" s="9" t="s">
        <v>2305</v>
      </c>
      <c r="C1301" s="8" t="n">
        <v>61</v>
      </c>
      <c r="D1301" s="9" t="str">
        <f aca="false">INDEX(Radicals!$B$2:$B$215,MATCH(C1301,Radicals!$A$2:$A$215,0))</f>
        <v>心</v>
      </c>
      <c r="E1301" s="10" t="str">
        <f aca="false">INDEX(Radicals!$G$2:$G$215,MATCH(C1301,Radicals!$A$2:$A$215,0))</f>
        <v>heart, mind</v>
      </c>
      <c r="F1301" s="8" t="n">
        <f aca="false">INDEX(Radicals!$D$2:$D$215,MATCH(C1301,Radicals!$A$2:$A$215,0))</f>
        <v>4</v>
      </c>
      <c r="G1301" s="8" t="n">
        <v>15</v>
      </c>
    </row>
    <row r="1302" customFormat="false" ht="17.35" hidden="false" customHeight="false" outlineLevel="0" collapsed="false">
      <c r="A1302" s="8" t="n">
        <v>1301</v>
      </c>
      <c r="B1302" s="9" t="s">
        <v>2306</v>
      </c>
      <c r="C1302" s="8" t="n">
        <v>94</v>
      </c>
      <c r="D1302" s="9" t="str">
        <f aca="false">INDEX(Radicals!$B$2:$B$215,MATCH(C1302,Radicals!$A$2:$A$215,0))</f>
        <v>犬</v>
      </c>
      <c r="E1302" s="10" t="str">
        <f aca="false">INDEX(Radicals!$G$2:$G$215,MATCH(C1302,Radicals!$A$2:$A$215,0))</f>
        <v>dog</v>
      </c>
      <c r="F1302" s="8" t="n">
        <f aca="false">INDEX(Radicals!$D$2:$D$215,MATCH(C1302,Radicals!$A$2:$A$215,0))</f>
        <v>4</v>
      </c>
      <c r="G1302" s="8" t="n">
        <v>11</v>
      </c>
    </row>
    <row r="1303" customFormat="false" ht="17.35" hidden="false" customHeight="false" outlineLevel="0" collapsed="false">
      <c r="A1303" s="8" t="n">
        <v>1302</v>
      </c>
      <c r="B1303" s="9" t="s">
        <v>2307</v>
      </c>
      <c r="C1303" s="8" t="n">
        <v>140</v>
      </c>
      <c r="D1303" s="9" t="str">
        <f aca="false">INDEX(Radicals!$B$2:$B$215,MATCH(C1303,Radicals!$A$2:$A$215,0))</f>
        <v>艸</v>
      </c>
      <c r="E1303" s="10" t="str">
        <f aca="false">INDEX(Radicals!$G$2:$G$215,MATCH(C1303,Radicals!$A$2:$A$215,0))</f>
        <v>grass, plant</v>
      </c>
      <c r="F1303" s="8" t="n">
        <f aca="false">INDEX(Radicals!$D$2:$D$215,MATCH(C1303,Radicals!$A$2:$A$215,0))</f>
        <v>6</v>
      </c>
      <c r="G1303" s="8" t="n">
        <v>7</v>
      </c>
    </row>
    <row r="1304" customFormat="false" ht="17.35" hidden="false" customHeight="false" outlineLevel="0" collapsed="false">
      <c r="A1304" s="8" t="n">
        <v>1303</v>
      </c>
      <c r="B1304" s="9" t="s">
        <v>2308</v>
      </c>
      <c r="C1304" s="8" t="n">
        <v>61</v>
      </c>
      <c r="D1304" s="9" t="str">
        <f aca="false">INDEX(Radicals!$B$2:$B$215,MATCH(C1304,Radicals!$A$2:$A$215,0))</f>
        <v>心</v>
      </c>
      <c r="E1304" s="10" t="str">
        <f aca="false">INDEX(Radicals!$G$2:$G$215,MATCH(C1304,Radicals!$A$2:$A$215,0))</f>
        <v>heart, mind</v>
      </c>
      <c r="F1304" s="8" t="n">
        <f aca="false">INDEX(Radicals!$D$2:$D$215,MATCH(C1304,Radicals!$A$2:$A$215,0))</f>
        <v>4</v>
      </c>
      <c r="G1304" s="8" t="n">
        <v>18</v>
      </c>
    </row>
    <row r="1305" customFormat="false" ht="17.35" hidden="false" customHeight="false" outlineLevel="0" collapsed="false">
      <c r="A1305" s="8" t="n">
        <v>1304</v>
      </c>
      <c r="B1305" s="9" t="s">
        <v>2309</v>
      </c>
      <c r="C1305" s="8" t="n">
        <v>163</v>
      </c>
      <c r="D1305" s="9" t="str">
        <f aca="false">INDEX(Radicals!$B$2:$B$215,MATCH(C1305,Radicals!$A$2:$A$215,0))</f>
        <v>邑</v>
      </c>
      <c r="E1305" s="10" t="str">
        <f aca="false">INDEX(Radicals!$G$2:$G$215,MATCH(C1305,Radicals!$A$2:$A$215,0))</f>
        <v>city, village</v>
      </c>
      <c r="F1305" s="8" t="n">
        <f aca="false">INDEX(Radicals!$D$2:$D$215,MATCH(C1305,Radicals!$A$2:$A$215,0))</f>
        <v>7</v>
      </c>
      <c r="G1305" s="8" t="n">
        <v>9</v>
      </c>
    </row>
    <row r="1306" customFormat="false" ht="17.35" hidden="false" customHeight="false" outlineLevel="0" collapsed="false">
      <c r="A1306" s="8" t="n">
        <v>1305</v>
      </c>
      <c r="B1306" s="9" t="s">
        <v>2310</v>
      </c>
      <c r="C1306" s="8" t="n">
        <v>18</v>
      </c>
      <c r="D1306" s="9" t="str">
        <f aca="false">INDEX(Radicals!$B$2:$B$215,MATCH(C1306,Radicals!$A$2:$A$215,0))</f>
        <v>刀</v>
      </c>
      <c r="E1306" s="10" t="str">
        <f aca="false">INDEX(Radicals!$G$2:$G$215,MATCH(C1306,Radicals!$A$2:$A$215,0))</f>
        <v>knife, sword</v>
      </c>
      <c r="F1306" s="8" t="n">
        <f aca="false">INDEX(Radicals!$D$2:$D$215,MATCH(C1306,Radicals!$A$2:$A$215,0))</f>
        <v>2</v>
      </c>
      <c r="G1306" s="8" t="n">
        <v>10</v>
      </c>
    </row>
    <row r="1307" customFormat="false" ht="17.35" hidden="false" customHeight="false" outlineLevel="0" collapsed="false">
      <c r="A1307" s="8" t="n">
        <v>1306</v>
      </c>
      <c r="B1307" s="9" t="s">
        <v>2311</v>
      </c>
      <c r="C1307" s="8" t="n">
        <v>130</v>
      </c>
      <c r="D1307" s="9" t="str">
        <f aca="false">INDEX(Radicals!$B$2:$B$215,MATCH(C1307,Radicals!$A$2:$A$215,0))</f>
        <v>肉</v>
      </c>
      <c r="E1307" s="10" t="str">
        <f aca="false">INDEX(Radicals!$G$2:$G$215,MATCH(C1307,Radicals!$A$2:$A$215,0))</f>
        <v>meat, flesh</v>
      </c>
      <c r="F1307" s="8" t="n">
        <f aca="false">INDEX(Radicals!$D$2:$D$215,MATCH(C1307,Radicals!$A$2:$A$215,0))</f>
        <v>6</v>
      </c>
      <c r="G1307" s="8" t="n">
        <v>13</v>
      </c>
    </row>
    <row r="1308" customFormat="false" ht="17.35" hidden="false" customHeight="false" outlineLevel="0" collapsed="false">
      <c r="A1308" s="8" t="n">
        <v>1307</v>
      </c>
      <c r="B1308" s="9" t="s">
        <v>2312</v>
      </c>
      <c r="C1308" s="8" t="n">
        <v>86</v>
      </c>
      <c r="D1308" s="9" t="str">
        <f aca="false">INDEX(Radicals!$B$2:$B$215,MATCH(C1308,Radicals!$A$2:$A$215,0))</f>
        <v>火</v>
      </c>
      <c r="E1308" s="10" t="str">
        <f aca="false">INDEX(Radicals!$G$2:$G$215,MATCH(C1308,Radicals!$A$2:$A$215,0))</f>
        <v>fire</v>
      </c>
      <c r="F1308" s="8" t="n">
        <f aca="false">INDEX(Radicals!$D$2:$D$215,MATCH(C1308,Radicals!$A$2:$A$215,0))</f>
        <v>4</v>
      </c>
      <c r="G1308" s="8" t="n">
        <v>9</v>
      </c>
    </row>
    <row r="1309" customFormat="false" ht="17.35" hidden="false" customHeight="false" outlineLevel="0" collapsed="false">
      <c r="A1309" s="8" t="n">
        <v>1308</v>
      </c>
      <c r="B1309" s="9" t="s">
        <v>2313</v>
      </c>
      <c r="C1309" s="8" t="n">
        <v>157</v>
      </c>
      <c r="D1309" s="9" t="str">
        <f aca="false">INDEX(Radicals!$B$2:$B$215,MATCH(C1309,Radicals!$A$2:$A$215,0))</f>
        <v>足</v>
      </c>
      <c r="E1309" s="10" t="str">
        <f aca="false">INDEX(Radicals!$G$2:$G$215,MATCH(C1309,Radicals!$A$2:$A$215,0))</f>
        <v>foot, leg</v>
      </c>
      <c r="F1309" s="8" t="n">
        <f aca="false">INDEX(Radicals!$D$2:$D$215,MATCH(C1309,Radicals!$A$2:$A$215,0))</f>
        <v>7</v>
      </c>
      <c r="G1309" s="8" t="n">
        <v>14</v>
      </c>
    </row>
    <row r="1310" customFormat="false" ht="17.35" hidden="false" customHeight="false" outlineLevel="0" collapsed="false">
      <c r="A1310" s="8" t="n">
        <v>1309</v>
      </c>
      <c r="B1310" s="9" t="s">
        <v>2314</v>
      </c>
      <c r="C1310" s="8" t="n">
        <v>50</v>
      </c>
      <c r="D1310" s="9" t="str">
        <f aca="false">INDEX(Radicals!$B$2:$B$215,MATCH(C1310,Radicals!$A$2:$A$215,0))</f>
        <v>巾</v>
      </c>
      <c r="E1310" s="10" t="str">
        <f aca="false">INDEX(Radicals!$G$2:$G$215,MATCH(C1310,Radicals!$A$2:$A$215,0))</f>
        <v>turban, cloth</v>
      </c>
      <c r="F1310" s="8" t="n">
        <f aca="false">INDEX(Radicals!$D$2:$D$215,MATCH(C1310,Radicals!$A$2:$A$215,0))</f>
        <v>3</v>
      </c>
      <c r="G1310" s="8" t="n">
        <v>13</v>
      </c>
    </row>
    <row r="1311" customFormat="false" ht="17.35" hidden="false" customHeight="false" outlineLevel="0" collapsed="false">
      <c r="A1311" s="8" t="n">
        <v>1310</v>
      </c>
      <c r="B1311" s="9" t="s">
        <v>2315</v>
      </c>
      <c r="C1311" s="8" t="n">
        <v>59</v>
      </c>
      <c r="D1311" s="9" t="str">
        <f aca="false">INDEX(Radicals!$B$2:$B$215,MATCH(C1311,Radicals!$A$2:$A$215,0))</f>
        <v>彡</v>
      </c>
      <c r="E1311" s="10" t="str">
        <f aca="false">INDEX(Radicals!$G$2:$G$215,MATCH(C1311,Radicals!$A$2:$A$215,0))</f>
        <v>bristle, hair, shadow</v>
      </c>
      <c r="F1311" s="8" t="n">
        <f aca="false">INDEX(Radicals!$D$2:$D$215,MATCH(C1311,Radicals!$A$2:$A$215,0))</f>
        <v>3</v>
      </c>
      <c r="G1311" s="8" t="n">
        <v>14</v>
      </c>
    </row>
    <row r="1312" customFormat="false" ht="17.35" hidden="false" customHeight="false" outlineLevel="0" collapsed="false">
      <c r="A1312" s="8" t="n">
        <v>1311</v>
      </c>
      <c r="B1312" s="9" t="s">
        <v>2316</v>
      </c>
      <c r="C1312" s="8" t="n">
        <v>75</v>
      </c>
      <c r="D1312" s="9" t="str">
        <f aca="false">INDEX(Radicals!$B$2:$B$215,MATCH(C1312,Radicals!$A$2:$A$215,0))</f>
        <v>木</v>
      </c>
      <c r="E1312" s="10" t="str">
        <f aca="false">INDEX(Radicals!$G$2:$G$215,MATCH(C1312,Radicals!$A$2:$A$215,0))</f>
        <v>tree, wood</v>
      </c>
      <c r="F1312" s="8" t="n">
        <f aca="false">INDEX(Radicals!$D$2:$D$215,MATCH(C1312,Radicals!$A$2:$A$215,0))</f>
        <v>4</v>
      </c>
      <c r="G1312" s="8" t="n">
        <v>12</v>
      </c>
    </row>
    <row r="1313" customFormat="false" ht="17.35" hidden="false" customHeight="false" outlineLevel="0" collapsed="false">
      <c r="A1313" s="8" t="n">
        <v>1312</v>
      </c>
      <c r="B1313" s="9" t="s">
        <v>2317</v>
      </c>
      <c r="C1313" s="8" t="n">
        <v>1</v>
      </c>
      <c r="D1313" s="9" t="str">
        <f aca="false">INDEX(Radicals!$B$2:$B$215,MATCH(C1313,Radicals!$A$2:$A$215,0))</f>
        <v>一</v>
      </c>
      <c r="E1313" s="10" t="str">
        <f aca="false">INDEX(Radicals!$G$2:$G$215,MATCH(C1313,Radicals!$A$2:$A$215,0))</f>
        <v>one</v>
      </c>
      <c r="F1313" s="8" t="n">
        <f aca="false">INDEX(Radicals!$D$2:$D$215,MATCH(C1313,Radicals!$A$2:$A$215,0))</f>
        <v>1</v>
      </c>
      <c r="G1313" s="8" t="n">
        <v>2</v>
      </c>
    </row>
    <row r="1314" customFormat="false" ht="17.35" hidden="false" customHeight="false" outlineLevel="0" collapsed="false">
      <c r="A1314" s="8" t="n">
        <v>1313</v>
      </c>
      <c r="B1314" s="9" t="s">
        <v>2318</v>
      </c>
      <c r="C1314" s="8" t="n">
        <v>13</v>
      </c>
      <c r="D1314" s="9" t="str">
        <f aca="false">INDEX(Radicals!$B$2:$B$215,MATCH(C1314,Radicals!$A$2:$A$215,0))</f>
        <v>冂</v>
      </c>
      <c r="E1314" s="10" t="str">
        <f aca="false">INDEX(Radicals!$G$2:$G$215,MATCH(C1314,Radicals!$A$2:$A$215,0))</f>
        <v>down box, upside-down box</v>
      </c>
      <c r="F1314" s="8" t="n">
        <f aca="false">INDEX(Radicals!$D$2:$D$215,MATCH(C1314,Radicals!$A$2:$A$215,0))</f>
        <v>2</v>
      </c>
      <c r="G1314" s="8" t="n">
        <v>5</v>
      </c>
    </row>
    <row r="1315" customFormat="false" ht="17.35" hidden="false" customHeight="false" outlineLevel="0" collapsed="false">
      <c r="A1315" s="8" t="n">
        <v>1314</v>
      </c>
      <c r="B1315" s="9" t="s">
        <v>2319</v>
      </c>
      <c r="C1315" s="8" t="n">
        <v>61</v>
      </c>
      <c r="D1315" s="9" t="str">
        <f aca="false">INDEX(Radicals!$B$2:$B$215,MATCH(C1315,Radicals!$A$2:$A$215,0))</f>
        <v>心</v>
      </c>
      <c r="E1315" s="10" t="str">
        <f aca="false">INDEX(Radicals!$G$2:$G$215,MATCH(C1315,Radicals!$A$2:$A$215,0))</f>
        <v>heart, mind</v>
      </c>
      <c r="F1315" s="8" t="n">
        <f aca="false">INDEX(Radicals!$D$2:$D$215,MATCH(C1315,Radicals!$A$2:$A$215,0))</f>
        <v>4</v>
      </c>
      <c r="G1315" s="8" t="n">
        <v>9</v>
      </c>
    </row>
    <row r="1316" customFormat="false" ht="17.35" hidden="false" customHeight="false" outlineLevel="0" collapsed="false">
      <c r="A1316" s="8" t="n">
        <v>1315</v>
      </c>
      <c r="B1316" s="9" t="s">
        <v>2320</v>
      </c>
      <c r="C1316" s="8" t="n">
        <v>109</v>
      </c>
      <c r="D1316" s="9" t="str">
        <f aca="false">INDEX(Radicals!$B$2:$B$215,MATCH(C1316,Radicals!$A$2:$A$215,0))</f>
        <v>目</v>
      </c>
      <c r="E1316" s="10" t="str">
        <f aca="false">INDEX(Radicals!$G$2:$G$215,MATCH(C1316,Radicals!$A$2:$A$215,0))</f>
        <v>eye</v>
      </c>
      <c r="F1316" s="8" t="n">
        <f aca="false">INDEX(Radicals!$D$2:$D$215,MATCH(C1316,Radicals!$A$2:$A$215,0))</f>
        <v>5</v>
      </c>
      <c r="G1316" s="8" t="n">
        <v>10</v>
      </c>
    </row>
    <row r="1317" customFormat="false" ht="17.35" hidden="false" customHeight="false" outlineLevel="0" collapsed="false">
      <c r="A1317" s="8" t="n">
        <v>1316</v>
      </c>
      <c r="B1317" s="9" t="s">
        <v>2321</v>
      </c>
      <c r="C1317" s="8" t="n">
        <v>64</v>
      </c>
      <c r="D1317" s="9" t="str">
        <f aca="false">INDEX(Radicals!$B$2:$B$215,MATCH(C1317,Radicals!$A$2:$A$215,0))</f>
        <v>手</v>
      </c>
      <c r="E1317" s="10" t="str">
        <f aca="false">INDEX(Radicals!$G$2:$G$215,MATCH(C1317,Radicals!$A$2:$A$215,0))</f>
        <v>hand</v>
      </c>
      <c r="F1317" s="8" t="n">
        <f aca="false">INDEX(Radicals!$D$2:$D$215,MATCH(C1317,Radicals!$A$2:$A$215,0))</f>
        <v>4</v>
      </c>
      <c r="G1317" s="8" t="n">
        <v>12</v>
      </c>
    </row>
    <row r="1318" customFormat="false" ht="17.35" hidden="false" customHeight="false" outlineLevel="0" collapsed="false">
      <c r="A1318" s="8" t="n">
        <v>1317</v>
      </c>
      <c r="B1318" s="9" t="s">
        <v>2322</v>
      </c>
      <c r="C1318" s="8" t="n">
        <v>13</v>
      </c>
      <c r="D1318" s="9" t="str">
        <f aca="false">INDEX(Radicals!$B$2:$B$215,MATCH(C1318,Radicals!$A$2:$A$215,0))</f>
        <v>冂</v>
      </c>
      <c r="E1318" s="10" t="str">
        <f aca="false">INDEX(Radicals!$G$2:$G$215,MATCH(C1318,Radicals!$A$2:$A$215,0))</f>
        <v>down box, upside-down box</v>
      </c>
      <c r="F1318" s="8" t="n">
        <f aca="false">INDEX(Radicals!$D$2:$D$215,MATCH(C1318,Radicals!$A$2:$A$215,0))</f>
        <v>2</v>
      </c>
      <c r="G1318" s="8" t="n">
        <v>9</v>
      </c>
    </row>
    <row r="1319" customFormat="false" ht="17.35" hidden="false" customHeight="false" outlineLevel="0" collapsed="false">
      <c r="A1319" s="8" t="n">
        <v>1318</v>
      </c>
      <c r="B1319" s="9" t="s">
        <v>2323</v>
      </c>
      <c r="C1319" s="8" t="n">
        <v>4</v>
      </c>
      <c r="D1319" s="9" t="str">
        <f aca="false">INDEX(Radicals!$B$2:$B$215,MATCH(C1319,Radicals!$A$2:$A$215,0))</f>
        <v>丿</v>
      </c>
      <c r="E1319" s="10" t="str">
        <f aca="false">INDEX(Radicals!$G$2:$G$215,MATCH(C1319,Radicals!$A$2:$A$215,0))</f>
        <v>slash, left-falling stroke</v>
      </c>
      <c r="F1319" s="8" t="n">
        <f aca="false">INDEX(Radicals!$D$2:$D$215,MATCH(C1319,Radicals!$A$2:$A$215,0))</f>
        <v>1</v>
      </c>
      <c r="G1319" s="8" t="n">
        <v>3</v>
      </c>
    </row>
    <row r="1320" customFormat="false" ht="17.35" hidden="false" customHeight="false" outlineLevel="0" collapsed="false">
      <c r="A1320" s="8" t="n">
        <v>1319</v>
      </c>
      <c r="B1320" s="9" t="s">
        <v>2324</v>
      </c>
      <c r="C1320" s="8" t="n">
        <v>19</v>
      </c>
      <c r="D1320" s="9" t="str">
        <f aca="false">INDEX(Radicals!$B$2:$B$215,MATCH(C1320,Radicals!$A$2:$A$215,0))</f>
        <v>力</v>
      </c>
      <c r="E1320" s="10" t="str">
        <f aca="false">INDEX(Radicals!$G$2:$G$215,MATCH(C1320,Radicals!$A$2:$A$215,0))</f>
        <v>power, strength</v>
      </c>
      <c r="F1320" s="8" t="n">
        <f aca="false">INDEX(Radicals!$D$2:$D$215,MATCH(C1320,Radicals!$A$2:$A$215,0))</f>
        <v>2</v>
      </c>
      <c r="G1320" s="8" t="n">
        <v>9</v>
      </c>
    </row>
    <row r="1321" customFormat="false" ht="17.35" hidden="false" customHeight="false" outlineLevel="0" collapsed="false">
      <c r="A1321" s="8" t="n">
        <v>1320</v>
      </c>
      <c r="B1321" s="9" t="s">
        <v>2325</v>
      </c>
      <c r="C1321" s="8" t="n">
        <v>12</v>
      </c>
      <c r="D1321" s="9" t="str">
        <f aca="false">INDEX(Radicals!$B$2:$B$215,MATCH(C1321,Radicals!$A$2:$A$215,0))</f>
        <v>八</v>
      </c>
      <c r="E1321" s="10" t="str">
        <f aca="false">INDEX(Radicals!$G$2:$G$215,MATCH(C1321,Radicals!$A$2:$A$215,0))</f>
        <v>eight</v>
      </c>
      <c r="F1321" s="8" t="n">
        <f aca="false">INDEX(Radicals!$D$2:$D$215,MATCH(C1321,Radicals!$A$2:$A$215,0))</f>
        <v>2</v>
      </c>
      <c r="G1321" s="8" t="n">
        <v>11</v>
      </c>
    </row>
    <row r="1322" customFormat="false" ht="17.35" hidden="false" customHeight="false" outlineLevel="0" collapsed="false">
      <c r="A1322" s="8" t="n">
        <v>1321</v>
      </c>
      <c r="B1322" s="9" t="s">
        <v>2326</v>
      </c>
      <c r="C1322" s="8" t="n">
        <v>75</v>
      </c>
      <c r="D1322" s="9" t="str">
        <f aca="false">INDEX(Radicals!$B$2:$B$215,MATCH(C1322,Radicals!$A$2:$A$215,0))</f>
        <v>木</v>
      </c>
      <c r="E1322" s="10" t="str">
        <f aca="false">INDEX(Radicals!$G$2:$G$215,MATCH(C1322,Radicals!$A$2:$A$215,0))</f>
        <v>tree, wood</v>
      </c>
      <c r="F1322" s="8" t="n">
        <f aca="false">INDEX(Radicals!$D$2:$D$215,MATCH(C1322,Radicals!$A$2:$A$215,0))</f>
        <v>4</v>
      </c>
      <c r="G1322" s="8" t="n">
        <v>11</v>
      </c>
    </row>
    <row r="1323" customFormat="false" ht="17.35" hidden="false" customHeight="false" outlineLevel="0" collapsed="false">
      <c r="A1323" s="8" t="n">
        <v>1322</v>
      </c>
      <c r="B1323" s="9" t="s">
        <v>2327</v>
      </c>
      <c r="C1323" s="8" t="n">
        <v>9</v>
      </c>
      <c r="D1323" s="9" t="str">
        <f aca="false">INDEX(Radicals!$B$2:$B$215,MATCH(C1323,Radicals!$A$2:$A$215,0))</f>
        <v>人</v>
      </c>
      <c r="E1323" s="10" t="str">
        <f aca="false">INDEX(Radicals!$G$2:$G$215,MATCH(C1323,Radicals!$A$2:$A$215,0))</f>
        <v>person</v>
      </c>
      <c r="F1323" s="8" t="n">
        <f aca="false">INDEX(Radicals!$D$2:$D$215,MATCH(C1323,Radicals!$A$2:$A$215,0))</f>
        <v>2</v>
      </c>
      <c r="G1323" s="8" t="n">
        <v>10</v>
      </c>
    </row>
    <row r="1324" customFormat="false" ht="17.35" hidden="false" customHeight="false" outlineLevel="0" collapsed="false">
      <c r="A1324" s="8" t="n">
        <v>1323</v>
      </c>
      <c r="B1324" s="9" t="s">
        <v>2328</v>
      </c>
      <c r="C1324" s="8" t="n">
        <v>170</v>
      </c>
      <c r="D1324" s="9" t="str">
        <f aca="false">INDEX(Radicals!$B$2:$B$215,MATCH(C1324,Radicals!$A$2:$A$215,0))</f>
        <v>阜</v>
      </c>
      <c r="E1324" s="10" t="str">
        <f aca="false">INDEX(Radicals!$G$2:$G$215,MATCH(C1324,Radicals!$A$2:$A$215,0))</f>
        <v>mound, hill</v>
      </c>
      <c r="F1324" s="8" t="n">
        <f aca="false">INDEX(Radicals!$D$2:$D$215,MATCH(C1324,Radicals!$A$2:$A$215,0))</f>
        <v>8</v>
      </c>
      <c r="G1324" s="8" t="n">
        <v>11</v>
      </c>
    </row>
    <row r="1325" customFormat="false" ht="17.35" hidden="false" customHeight="false" outlineLevel="0" collapsed="false">
      <c r="A1325" s="8" t="n">
        <v>1324</v>
      </c>
      <c r="B1325" s="9" t="s">
        <v>2329</v>
      </c>
      <c r="C1325" s="8" t="n">
        <v>61</v>
      </c>
      <c r="D1325" s="9" t="str">
        <f aca="false">INDEX(Radicals!$B$2:$B$215,MATCH(C1325,Radicals!$A$2:$A$215,0))</f>
        <v>心</v>
      </c>
      <c r="E1325" s="10" t="str">
        <f aca="false">INDEX(Radicals!$G$2:$G$215,MATCH(C1325,Radicals!$A$2:$A$215,0))</f>
        <v>heart, mind</v>
      </c>
      <c r="F1325" s="8" t="n">
        <f aca="false">INDEX(Radicals!$D$2:$D$215,MATCH(C1325,Radicals!$A$2:$A$215,0))</f>
        <v>4</v>
      </c>
      <c r="G1325" s="8" t="n">
        <v>16</v>
      </c>
    </row>
    <row r="1326" customFormat="false" ht="17.35" hidden="false" customHeight="false" outlineLevel="0" collapsed="false">
      <c r="A1326" s="8" t="n">
        <v>1325</v>
      </c>
      <c r="B1326" s="9" t="s">
        <v>2330</v>
      </c>
      <c r="C1326" s="8" t="n">
        <v>61</v>
      </c>
      <c r="D1326" s="9" t="str">
        <f aca="false">INDEX(Radicals!$B$2:$B$215,MATCH(C1326,Radicals!$A$2:$A$215,0))</f>
        <v>心</v>
      </c>
      <c r="E1326" s="10" t="str">
        <f aca="false">INDEX(Radicals!$G$2:$G$215,MATCH(C1326,Radicals!$A$2:$A$215,0))</f>
        <v>heart, mind</v>
      </c>
      <c r="F1326" s="8" t="n">
        <f aca="false">INDEX(Radicals!$D$2:$D$215,MATCH(C1326,Radicals!$A$2:$A$215,0))</f>
        <v>4</v>
      </c>
      <c r="G1326" s="8" t="n">
        <v>8</v>
      </c>
    </row>
    <row r="1327" customFormat="false" ht="17.35" hidden="false" customHeight="false" outlineLevel="0" collapsed="false">
      <c r="A1327" s="8" t="n">
        <v>1326</v>
      </c>
      <c r="B1327" s="9" t="s">
        <v>502</v>
      </c>
      <c r="C1327" s="8" t="n">
        <v>94</v>
      </c>
      <c r="D1327" s="9" t="str">
        <f aca="false">INDEX(Radicals!$B$2:$B$215,MATCH(C1327,Radicals!$A$2:$A$215,0))</f>
        <v>犬</v>
      </c>
      <c r="E1327" s="10" t="str">
        <f aca="false">INDEX(Radicals!$G$2:$G$215,MATCH(C1327,Radicals!$A$2:$A$215,0))</f>
        <v>dog</v>
      </c>
      <c r="F1327" s="8" t="n">
        <f aca="false">INDEX(Radicals!$D$2:$D$215,MATCH(C1327,Radicals!$A$2:$A$215,0))</f>
        <v>4</v>
      </c>
      <c r="G1327" s="8" t="n">
        <v>4</v>
      </c>
    </row>
    <row r="1328" customFormat="false" ht="17.35" hidden="false" customHeight="false" outlineLevel="0" collapsed="false">
      <c r="A1328" s="8" t="n">
        <v>1327</v>
      </c>
      <c r="B1328" s="9" t="s">
        <v>2331</v>
      </c>
      <c r="C1328" s="8" t="n">
        <v>140</v>
      </c>
      <c r="D1328" s="9" t="str">
        <f aca="false">INDEX(Radicals!$B$2:$B$215,MATCH(C1328,Radicals!$A$2:$A$215,0))</f>
        <v>艸</v>
      </c>
      <c r="E1328" s="10" t="str">
        <f aca="false">INDEX(Radicals!$G$2:$G$215,MATCH(C1328,Radicals!$A$2:$A$215,0))</f>
        <v>grass, plant</v>
      </c>
      <c r="F1328" s="8" t="n">
        <f aca="false">INDEX(Radicals!$D$2:$D$215,MATCH(C1328,Radicals!$A$2:$A$215,0))</f>
        <v>6</v>
      </c>
      <c r="G1328" s="8" t="n">
        <v>11</v>
      </c>
    </row>
    <row r="1329" customFormat="false" ht="17.35" hidden="false" customHeight="false" outlineLevel="0" collapsed="false">
      <c r="A1329" s="8" t="n">
        <v>1328</v>
      </c>
      <c r="B1329" s="9" t="s">
        <v>676</v>
      </c>
      <c r="C1329" s="8" t="n">
        <v>128</v>
      </c>
      <c r="D1329" s="9" t="str">
        <f aca="false">INDEX(Radicals!$B$2:$B$215,MATCH(C1329,Radicals!$A$2:$A$215,0))</f>
        <v>耳</v>
      </c>
      <c r="E1329" s="10" t="str">
        <f aca="false">INDEX(Radicals!$G$2:$G$215,MATCH(C1329,Radicals!$A$2:$A$215,0))</f>
        <v>ear</v>
      </c>
      <c r="F1329" s="8" t="n">
        <f aca="false">INDEX(Radicals!$D$2:$D$215,MATCH(C1329,Radicals!$A$2:$A$215,0))</f>
        <v>6</v>
      </c>
      <c r="G1329" s="8" t="n">
        <v>6</v>
      </c>
    </row>
    <row r="1330" customFormat="false" ht="17.35" hidden="false" customHeight="false" outlineLevel="0" collapsed="false">
      <c r="A1330" s="8" t="n">
        <v>1329</v>
      </c>
      <c r="B1330" s="9" t="s">
        <v>2332</v>
      </c>
      <c r="C1330" s="8" t="n">
        <v>85</v>
      </c>
      <c r="D1330" s="9" t="str">
        <f aca="false">INDEX(Radicals!$B$2:$B$215,MATCH(C1330,Radicals!$A$2:$A$215,0))</f>
        <v>水</v>
      </c>
      <c r="E1330" s="10" t="str">
        <f aca="false">INDEX(Radicals!$G$2:$G$215,MATCH(C1330,Radicals!$A$2:$A$215,0))</f>
        <v>water</v>
      </c>
      <c r="F1330" s="8" t="n">
        <f aca="false">INDEX(Radicals!$D$2:$D$215,MATCH(C1330,Radicals!$A$2:$A$215,0))</f>
        <v>4</v>
      </c>
      <c r="G1330" s="8" t="n">
        <v>15</v>
      </c>
    </row>
    <row r="1331" customFormat="false" ht="17.35" hidden="false" customHeight="false" outlineLevel="0" collapsed="false">
      <c r="A1331" s="8" t="n">
        <v>1330</v>
      </c>
      <c r="B1331" s="9" t="s">
        <v>2333</v>
      </c>
      <c r="C1331" s="8" t="n">
        <v>96</v>
      </c>
      <c r="D1331" s="9" t="str">
        <f aca="false">INDEX(Radicals!$B$2:$B$215,MATCH(C1331,Radicals!$A$2:$A$215,0))</f>
        <v>玉</v>
      </c>
      <c r="E1331" s="10" t="str">
        <f aca="false">INDEX(Radicals!$G$2:$G$215,MATCH(C1331,Radicals!$A$2:$A$215,0))</f>
        <v>jade, king</v>
      </c>
      <c r="F1331" s="8" t="n">
        <f aca="false">INDEX(Radicals!$D$2:$D$215,MATCH(C1331,Radicals!$A$2:$A$215,0))</f>
        <v>5</v>
      </c>
      <c r="G1331" s="8" t="n">
        <v>9</v>
      </c>
    </row>
    <row r="1332" customFormat="false" ht="17.35" hidden="false" customHeight="false" outlineLevel="0" collapsed="false">
      <c r="A1332" s="8" t="n">
        <v>1331</v>
      </c>
      <c r="B1332" s="9" t="s">
        <v>2334</v>
      </c>
      <c r="C1332" s="8" t="n">
        <v>75</v>
      </c>
      <c r="D1332" s="9" t="str">
        <f aca="false">INDEX(Radicals!$B$2:$B$215,MATCH(C1332,Radicals!$A$2:$A$215,0))</f>
        <v>木</v>
      </c>
      <c r="E1332" s="10" t="str">
        <f aca="false">INDEX(Radicals!$G$2:$G$215,MATCH(C1332,Radicals!$A$2:$A$215,0))</f>
        <v>tree, wood</v>
      </c>
      <c r="F1332" s="8" t="n">
        <f aca="false">INDEX(Radicals!$D$2:$D$215,MATCH(C1332,Radicals!$A$2:$A$215,0))</f>
        <v>4</v>
      </c>
      <c r="G1332" s="8" t="n">
        <v>11</v>
      </c>
    </row>
    <row r="1333" customFormat="false" ht="17.35" hidden="false" customHeight="false" outlineLevel="0" collapsed="false">
      <c r="A1333" s="8" t="n">
        <v>1332</v>
      </c>
      <c r="B1333" s="9" t="s">
        <v>2335</v>
      </c>
      <c r="C1333" s="8" t="n">
        <v>9</v>
      </c>
      <c r="D1333" s="9" t="str">
        <f aca="false">INDEX(Radicals!$B$2:$B$215,MATCH(C1333,Radicals!$A$2:$A$215,0))</f>
        <v>人</v>
      </c>
      <c r="E1333" s="10" t="str">
        <f aca="false">INDEX(Radicals!$G$2:$G$215,MATCH(C1333,Radicals!$A$2:$A$215,0))</f>
        <v>person</v>
      </c>
      <c r="F1333" s="8" t="n">
        <f aca="false">INDEX(Radicals!$D$2:$D$215,MATCH(C1333,Radicals!$A$2:$A$215,0))</f>
        <v>2</v>
      </c>
      <c r="G1333" s="8" t="n">
        <v>4</v>
      </c>
    </row>
    <row r="1334" customFormat="false" ht="17.35" hidden="false" customHeight="false" outlineLevel="0" collapsed="false">
      <c r="A1334" s="8" t="n">
        <v>1333</v>
      </c>
      <c r="B1334" s="9" t="s">
        <v>2336</v>
      </c>
      <c r="C1334" s="8" t="n">
        <v>10</v>
      </c>
      <c r="D1334" s="9" t="str">
        <f aca="false">INDEX(Radicals!$B$2:$B$215,MATCH(C1334,Radicals!$A$2:$A$215,0))</f>
        <v>儿</v>
      </c>
      <c r="E1334" s="10" t="str">
        <f aca="false">INDEX(Radicals!$G$2:$G$215,MATCH(C1334,Radicals!$A$2:$A$215,0))</f>
        <v>legs, walking person</v>
      </c>
      <c r="F1334" s="8" t="n">
        <f aca="false">INDEX(Radicals!$D$2:$D$215,MATCH(C1334,Radicals!$A$2:$A$215,0))</f>
        <v>2</v>
      </c>
      <c r="G1334" s="8" t="n">
        <v>7</v>
      </c>
    </row>
    <row r="1335" customFormat="false" ht="17.35" hidden="false" customHeight="false" outlineLevel="0" collapsed="false">
      <c r="A1335" s="8" t="n">
        <v>1334</v>
      </c>
      <c r="B1335" s="9" t="s">
        <v>2337</v>
      </c>
      <c r="C1335" s="8" t="n">
        <v>46</v>
      </c>
      <c r="D1335" s="9" t="str">
        <f aca="false">INDEX(Radicals!$B$2:$B$215,MATCH(C1335,Radicals!$A$2:$A$215,0))</f>
        <v>山</v>
      </c>
      <c r="E1335" s="10" t="str">
        <f aca="false">INDEX(Radicals!$G$2:$G$215,MATCH(C1335,Radicals!$A$2:$A$215,0))</f>
        <v>mountain</v>
      </c>
      <c r="F1335" s="8" t="n">
        <f aca="false">INDEX(Radicals!$D$2:$D$215,MATCH(C1335,Radicals!$A$2:$A$215,0))</f>
        <v>3</v>
      </c>
      <c r="G1335" s="8" t="n">
        <v>8</v>
      </c>
    </row>
    <row r="1336" customFormat="false" ht="17.35" hidden="false" customHeight="false" outlineLevel="0" collapsed="false">
      <c r="A1336" s="8" t="n">
        <v>1335</v>
      </c>
      <c r="B1336" s="9" t="s">
        <v>2338</v>
      </c>
      <c r="C1336" s="8" t="n">
        <v>75</v>
      </c>
      <c r="D1336" s="9" t="str">
        <f aca="false">INDEX(Radicals!$B$2:$B$215,MATCH(C1336,Radicals!$A$2:$A$215,0))</f>
        <v>木</v>
      </c>
      <c r="E1336" s="10" t="str">
        <f aca="false">INDEX(Radicals!$G$2:$G$215,MATCH(C1336,Radicals!$A$2:$A$215,0))</f>
        <v>tree, wood</v>
      </c>
      <c r="F1336" s="8" t="n">
        <f aca="false">INDEX(Radicals!$D$2:$D$215,MATCH(C1336,Radicals!$A$2:$A$215,0))</f>
        <v>4</v>
      </c>
      <c r="G1336" s="8" t="n">
        <v>14</v>
      </c>
    </row>
    <row r="1337" customFormat="false" ht="17.35" hidden="false" customHeight="false" outlineLevel="0" collapsed="false">
      <c r="A1337" s="8" t="n">
        <v>1336</v>
      </c>
      <c r="B1337" s="9" t="s">
        <v>2339</v>
      </c>
      <c r="C1337" s="8" t="n">
        <v>64</v>
      </c>
      <c r="D1337" s="9" t="str">
        <f aca="false">INDEX(Radicals!$B$2:$B$215,MATCH(C1337,Radicals!$A$2:$A$215,0))</f>
        <v>手</v>
      </c>
      <c r="E1337" s="10" t="str">
        <f aca="false">INDEX(Radicals!$G$2:$G$215,MATCH(C1337,Radicals!$A$2:$A$215,0))</f>
        <v>hand</v>
      </c>
      <c r="F1337" s="8" t="n">
        <f aca="false">INDEX(Radicals!$D$2:$D$215,MATCH(C1337,Radicals!$A$2:$A$215,0))</f>
        <v>4</v>
      </c>
      <c r="G1337" s="8" t="n">
        <v>8</v>
      </c>
    </row>
    <row r="1338" customFormat="false" ht="17.35" hidden="false" customHeight="false" outlineLevel="0" collapsed="false">
      <c r="A1338" s="8" t="n">
        <v>1337</v>
      </c>
      <c r="B1338" s="9" t="s">
        <v>2340</v>
      </c>
      <c r="C1338" s="8" t="n">
        <v>32</v>
      </c>
      <c r="D1338" s="9" t="str">
        <f aca="false">INDEX(Radicals!$B$2:$B$215,MATCH(C1338,Radicals!$A$2:$A$215,0))</f>
        <v>土</v>
      </c>
      <c r="E1338" s="10" t="str">
        <f aca="false">INDEX(Radicals!$G$2:$G$215,MATCH(C1338,Radicals!$A$2:$A$215,0))</f>
        <v>earth, soil</v>
      </c>
      <c r="F1338" s="8" t="n">
        <f aca="false">INDEX(Radicals!$D$2:$D$215,MATCH(C1338,Radicals!$A$2:$A$215,0))</f>
        <v>3</v>
      </c>
      <c r="G1338" s="8" t="n">
        <v>13</v>
      </c>
    </row>
    <row r="1339" customFormat="false" ht="17.35" hidden="false" customHeight="false" outlineLevel="0" collapsed="false">
      <c r="A1339" s="8" t="n">
        <v>1338</v>
      </c>
      <c r="B1339" s="9" t="s">
        <v>2341</v>
      </c>
      <c r="C1339" s="8" t="n">
        <v>203</v>
      </c>
      <c r="D1339" s="9" t="str">
        <f aca="false">INDEX(Radicals!$B$2:$B$215,MATCH(C1339,Radicals!$A$2:$A$215,0))</f>
        <v>黑</v>
      </c>
      <c r="E1339" s="10" t="str">
        <f aca="false">INDEX(Radicals!$G$2:$G$215,MATCH(C1339,Radicals!$A$2:$A$215,0))</f>
        <v>black</v>
      </c>
      <c r="F1339" s="8" t="n">
        <f aca="false">INDEX(Radicals!$D$2:$D$215,MATCH(C1339,Radicals!$A$2:$A$215,0))</f>
        <v>12</v>
      </c>
      <c r="G1339" s="8" t="n">
        <v>15</v>
      </c>
    </row>
    <row r="1340" customFormat="false" ht="17.35" hidden="false" customHeight="false" outlineLevel="0" collapsed="false">
      <c r="A1340" s="8" t="n">
        <v>1339</v>
      </c>
      <c r="B1340" s="9" t="s">
        <v>2342</v>
      </c>
      <c r="C1340" s="8" t="n">
        <v>181</v>
      </c>
      <c r="D1340" s="9" t="str">
        <f aca="false">INDEX(Radicals!$B$2:$B$215,MATCH(C1340,Radicals!$A$2:$A$215,0))</f>
        <v>頁</v>
      </c>
      <c r="E1340" s="10" t="str">
        <f aca="false">INDEX(Radicals!$G$2:$G$215,MATCH(C1340,Radicals!$A$2:$A$215,0))</f>
        <v>page, leaf (head)</v>
      </c>
      <c r="F1340" s="8" t="n">
        <f aca="false">INDEX(Radicals!$D$2:$D$215,MATCH(C1340,Radicals!$A$2:$A$215,0))</f>
        <v>9</v>
      </c>
      <c r="G1340" s="8" t="n">
        <v>12</v>
      </c>
    </row>
    <row r="1341" customFormat="false" ht="17.35" hidden="false" customHeight="false" outlineLevel="0" collapsed="false">
      <c r="A1341" s="8" t="n">
        <v>1340</v>
      </c>
      <c r="B1341" s="9" t="s">
        <v>2343</v>
      </c>
      <c r="C1341" s="8" t="n">
        <v>9</v>
      </c>
      <c r="D1341" s="9" t="str">
        <f aca="false">INDEX(Radicals!$B$2:$B$215,MATCH(C1341,Radicals!$A$2:$A$215,0))</f>
        <v>人</v>
      </c>
      <c r="E1341" s="10" t="str">
        <f aca="false">INDEX(Radicals!$G$2:$G$215,MATCH(C1341,Radicals!$A$2:$A$215,0))</f>
        <v>person</v>
      </c>
      <c r="F1341" s="8" t="n">
        <f aca="false">INDEX(Radicals!$D$2:$D$215,MATCH(C1341,Radicals!$A$2:$A$215,0))</f>
        <v>2</v>
      </c>
      <c r="G1341" s="8" t="n">
        <v>11</v>
      </c>
    </row>
    <row r="1342" customFormat="false" ht="17.35" hidden="false" customHeight="false" outlineLevel="0" collapsed="false">
      <c r="A1342" s="8" t="n">
        <v>1341</v>
      </c>
      <c r="B1342" s="9" t="s">
        <v>2344</v>
      </c>
      <c r="C1342" s="8" t="n">
        <v>173</v>
      </c>
      <c r="D1342" s="9" t="str">
        <f aca="false">INDEX(Radicals!$B$2:$B$215,MATCH(C1342,Radicals!$A$2:$A$215,0))</f>
        <v>雨</v>
      </c>
      <c r="E1342" s="10" t="str">
        <f aca="false">INDEX(Radicals!$G$2:$G$215,MATCH(C1342,Radicals!$A$2:$A$215,0))</f>
        <v>rain</v>
      </c>
      <c r="F1342" s="8" t="n">
        <f aca="false">INDEX(Radicals!$D$2:$D$215,MATCH(C1342,Radicals!$A$2:$A$215,0))</f>
        <v>8</v>
      </c>
      <c r="G1342" s="8" t="n">
        <v>12</v>
      </c>
    </row>
    <row r="1343" customFormat="false" ht="17.35" hidden="false" customHeight="false" outlineLevel="0" collapsed="false">
      <c r="A1343" s="8" t="n">
        <v>1342</v>
      </c>
      <c r="B1343" s="9" t="s">
        <v>2345</v>
      </c>
      <c r="C1343" s="8" t="n">
        <v>26</v>
      </c>
      <c r="D1343" s="9" t="str">
        <f aca="false">INDEX(Radicals!$B$2:$B$215,MATCH(C1343,Radicals!$A$2:$A$215,0))</f>
        <v>卩</v>
      </c>
      <c r="E1343" s="10" t="str">
        <f aca="false">INDEX(Radicals!$G$2:$G$215,MATCH(C1343,Radicals!$A$2:$A$215,0))</f>
        <v>seal, kneeling person</v>
      </c>
      <c r="F1343" s="8" t="n">
        <f aca="false">INDEX(Radicals!$D$2:$D$215,MATCH(C1343,Radicals!$A$2:$A$215,0))</f>
        <v>2</v>
      </c>
      <c r="G1343" s="8" t="n">
        <v>7</v>
      </c>
    </row>
    <row r="1344" customFormat="false" ht="17.35" hidden="false" customHeight="false" outlineLevel="0" collapsed="false">
      <c r="A1344" s="8" t="n">
        <v>1343</v>
      </c>
      <c r="B1344" s="9" t="s">
        <v>2346</v>
      </c>
      <c r="C1344" s="8" t="n">
        <v>162</v>
      </c>
      <c r="D1344" s="9" t="str">
        <f aca="false">INDEX(Radicals!$B$2:$B$215,MATCH(C1344,Radicals!$A$2:$A$215,0))</f>
        <v>辵</v>
      </c>
      <c r="E1344" s="10" t="str">
        <f aca="false">INDEX(Radicals!$G$2:$G$215,MATCH(C1344,Radicals!$A$2:$A$215,0))</f>
        <v>walk, movement</v>
      </c>
      <c r="F1344" s="8" t="n">
        <f aca="false">INDEX(Radicals!$D$2:$D$215,MATCH(C1344,Radicals!$A$2:$A$215,0))</f>
        <v>7</v>
      </c>
      <c r="G1344" s="8" t="n">
        <v>12</v>
      </c>
    </row>
    <row r="1345" customFormat="false" ht="17.35" hidden="false" customHeight="false" outlineLevel="0" collapsed="false">
      <c r="A1345" s="8" t="n">
        <v>1344</v>
      </c>
      <c r="B1345" s="9" t="s">
        <v>2347</v>
      </c>
      <c r="C1345" s="8" t="n">
        <v>85</v>
      </c>
      <c r="D1345" s="9" t="str">
        <f aca="false">INDEX(Radicals!$B$2:$B$215,MATCH(C1345,Radicals!$A$2:$A$215,0))</f>
        <v>水</v>
      </c>
      <c r="E1345" s="10" t="str">
        <f aca="false">INDEX(Radicals!$G$2:$G$215,MATCH(C1345,Radicals!$A$2:$A$215,0))</f>
        <v>water</v>
      </c>
      <c r="F1345" s="8" t="n">
        <f aca="false">INDEX(Radicals!$D$2:$D$215,MATCH(C1345,Radicals!$A$2:$A$215,0))</f>
        <v>4</v>
      </c>
      <c r="G1345" s="8" t="n">
        <v>12</v>
      </c>
    </row>
    <row r="1346" customFormat="false" ht="17.35" hidden="false" customHeight="false" outlineLevel="0" collapsed="false">
      <c r="A1346" s="8" t="n">
        <v>1345</v>
      </c>
      <c r="B1346" s="9" t="s">
        <v>2348</v>
      </c>
      <c r="C1346" s="8" t="n">
        <v>149</v>
      </c>
      <c r="D1346" s="9" t="str">
        <f aca="false">INDEX(Radicals!$B$2:$B$215,MATCH(C1346,Radicals!$A$2:$A$215,0))</f>
        <v>言</v>
      </c>
      <c r="E1346" s="10" t="str">
        <f aca="false">INDEX(Radicals!$G$2:$G$215,MATCH(C1346,Radicals!$A$2:$A$215,0))</f>
        <v>speech, say</v>
      </c>
      <c r="F1346" s="8" t="n">
        <f aca="false">INDEX(Radicals!$D$2:$D$215,MATCH(C1346,Radicals!$A$2:$A$215,0))</f>
        <v>7</v>
      </c>
      <c r="G1346" s="8" t="n">
        <v>16</v>
      </c>
    </row>
    <row r="1347" customFormat="false" ht="17.35" hidden="false" customHeight="false" outlineLevel="0" collapsed="false">
      <c r="A1347" s="8" t="n">
        <v>1346</v>
      </c>
      <c r="B1347" s="9" t="s">
        <v>2349</v>
      </c>
      <c r="C1347" s="8" t="n">
        <v>94</v>
      </c>
      <c r="D1347" s="9" t="str">
        <f aca="false">INDEX(Radicals!$B$2:$B$215,MATCH(C1347,Radicals!$A$2:$A$215,0))</f>
        <v>犬</v>
      </c>
      <c r="E1347" s="10" t="str">
        <f aca="false">INDEX(Radicals!$G$2:$G$215,MATCH(C1347,Radicals!$A$2:$A$215,0))</f>
        <v>dog</v>
      </c>
      <c r="F1347" s="8" t="n">
        <f aca="false">INDEX(Radicals!$D$2:$D$215,MATCH(C1347,Radicals!$A$2:$A$215,0))</f>
        <v>4</v>
      </c>
      <c r="G1347" s="8" t="n">
        <v>9</v>
      </c>
    </row>
    <row r="1348" customFormat="false" ht="17.35" hidden="false" customHeight="false" outlineLevel="0" collapsed="false">
      <c r="A1348" s="8" t="n">
        <v>1347</v>
      </c>
      <c r="B1348" s="9" t="s">
        <v>2350</v>
      </c>
      <c r="C1348" s="8" t="n">
        <v>30</v>
      </c>
      <c r="D1348" s="9" t="str">
        <f aca="false">INDEX(Radicals!$B$2:$B$215,MATCH(C1348,Radicals!$A$2:$A$215,0))</f>
        <v>口</v>
      </c>
      <c r="E1348" s="10" t="str">
        <f aca="false">INDEX(Radicals!$G$2:$G$215,MATCH(C1348,Radicals!$A$2:$A$215,0))</f>
        <v>mouth</v>
      </c>
      <c r="F1348" s="8" t="n">
        <f aca="false">INDEX(Radicals!$D$2:$D$215,MATCH(C1348,Radicals!$A$2:$A$215,0))</f>
        <v>3</v>
      </c>
      <c r="G1348" s="8" t="n">
        <v>12</v>
      </c>
    </row>
    <row r="1349" customFormat="false" ht="17.35" hidden="false" customHeight="false" outlineLevel="0" collapsed="false">
      <c r="A1349" s="8" t="n">
        <v>1348</v>
      </c>
      <c r="B1349" s="9" t="s">
        <v>2351</v>
      </c>
      <c r="C1349" s="8" t="n">
        <v>24</v>
      </c>
      <c r="D1349" s="9" t="str">
        <f aca="false">INDEX(Radicals!$B$2:$B$215,MATCH(C1349,Radicals!$A$2:$A$215,0))</f>
        <v>十</v>
      </c>
      <c r="E1349" s="10" t="str">
        <f aca="false">INDEX(Radicals!$G$2:$G$215,MATCH(C1349,Radicals!$A$2:$A$215,0))</f>
        <v>ten</v>
      </c>
      <c r="F1349" s="8" t="n">
        <f aca="false">INDEX(Radicals!$D$2:$D$215,MATCH(C1349,Radicals!$A$2:$A$215,0))</f>
        <v>2</v>
      </c>
      <c r="G1349" s="8" t="n">
        <v>8</v>
      </c>
    </row>
    <row r="1350" customFormat="false" ht="17.35" hidden="false" customHeight="false" outlineLevel="0" collapsed="false">
      <c r="A1350" s="8" t="n">
        <v>1349</v>
      </c>
      <c r="B1350" s="9" t="s">
        <v>279</v>
      </c>
      <c r="C1350" s="8" t="n">
        <v>51</v>
      </c>
      <c r="D1350" s="9" t="str">
        <f aca="false">INDEX(Radicals!$B$2:$B$215,MATCH(C1350,Radicals!$A$2:$A$215,0))</f>
        <v>干</v>
      </c>
      <c r="E1350" s="10" t="str">
        <f aca="false">INDEX(Radicals!$G$2:$G$215,MATCH(C1350,Radicals!$A$2:$A$215,0))</f>
        <v>dry, to do with</v>
      </c>
      <c r="F1350" s="8" t="n">
        <f aca="false">INDEX(Radicals!$D$2:$D$215,MATCH(C1350,Radicals!$A$2:$A$215,0))</f>
        <v>3</v>
      </c>
      <c r="G1350" s="8" t="n">
        <v>3</v>
      </c>
    </row>
    <row r="1351" customFormat="false" ht="17.35" hidden="false" customHeight="false" outlineLevel="0" collapsed="false">
      <c r="A1351" s="8" t="n">
        <v>1350</v>
      </c>
      <c r="B1351" s="9" t="s">
        <v>2352</v>
      </c>
      <c r="C1351" s="8" t="n">
        <v>181</v>
      </c>
      <c r="D1351" s="9" t="str">
        <f aca="false">INDEX(Radicals!$B$2:$B$215,MATCH(C1351,Radicals!$A$2:$A$215,0))</f>
        <v>頁</v>
      </c>
      <c r="E1351" s="10" t="str">
        <f aca="false">INDEX(Radicals!$G$2:$G$215,MATCH(C1351,Radicals!$A$2:$A$215,0))</f>
        <v>page, leaf (head)</v>
      </c>
      <c r="F1351" s="8" t="n">
        <f aca="false">INDEX(Radicals!$D$2:$D$215,MATCH(C1351,Radicals!$A$2:$A$215,0))</f>
        <v>9</v>
      </c>
      <c r="G1351" s="8" t="n">
        <v>11</v>
      </c>
    </row>
    <row r="1352" customFormat="false" ht="17.35" hidden="false" customHeight="false" outlineLevel="0" collapsed="false">
      <c r="A1352" s="8" t="n">
        <v>1351</v>
      </c>
      <c r="B1352" s="9" t="s">
        <v>749</v>
      </c>
      <c r="C1352" s="8" t="n">
        <v>142</v>
      </c>
      <c r="D1352" s="9" t="str">
        <f aca="false">INDEX(Radicals!$B$2:$B$215,MATCH(C1352,Radicals!$A$2:$A$215,0))</f>
        <v>虫</v>
      </c>
      <c r="E1352" s="10" t="str">
        <f aca="false">INDEX(Radicals!$G$2:$G$215,MATCH(C1352,Radicals!$A$2:$A$215,0))</f>
        <v>insect</v>
      </c>
      <c r="F1352" s="8" t="n">
        <f aca="false">INDEX(Radicals!$D$2:$D$215,MATCH(C1352,Radicals!$A$2:$A$215,0))</f>
        <v>6</v>
      </c>
      <c r="G1352" s="8" t="n">
        <v>6</v>
      </c>
    </row>
    <row r="1353" customFormat="false" ht="17.35" hidden="false" customHeight="false" outlineLevel="0" collapsed="false">
      <c r="A1353" s="8" t="n">
        <v>1352</v>
      </c>
      <c r="B1353" s="9" t="s">
        <v>2353</v>
      </c>
      <c r="C1353" s="8" t="n">
        <v>18</v>
      </c>
      <c r="D1353" s="9" t="str">
        <f aca="false">INDEX(Radicals!$B$2:$B$215,MATCH(C1353,Radicals!$A$2:$A$215,0))</f>
        <v>刀</v>
      </c>
      <c r="E1353" s="10" t="str">
        <f aca="false">INDEX(Radicals!$G$2:$G$215,MATCH(C1353,Radicals!$A$2:$A$215,0))</f>
        <v>knife, sword</v>
      </c>
      <c r="F1353" s="8" t="n">
        <f aca="false">INDEX(Radicals!$D$2:$D$215,MATCH(C1353,Radicals!$A$2:$A$215,0))</f>
        <v>2</v>
      </c>
      <c r="G1353" s="8" t="n">
        <v>8</v>
      </c>
    </row>
    <row r="1354" customFormat="false" ht="17.35" hidden="false" customHeight="false" outlineLevel="0" collapsed="false">
      <c r="A1354" s="8" t="n">
        <v>1353</v>
      </c>
      <c r="B1354" s="9" t="s">
        <v>1099</v>
      </c>
      <c r="C1354" s="8" t="n">
        <v>5</v>
      </c>
      <c r="D1354" s="9" t="str">
        <f aca="false">INDEX(Radicals!$B$2:$B$215,MATCH(C1354,Radicals!$A$2:$A$215,0))</f>
        <v>乙</v>
      </c>
      <c r="E1354" s="10" t="str">
        <f aca="false">INDEX(Radicals!$G$2:$G$215,MATCH(C1354,Radicals!$A$2:$A$215,0))</f>
        <v>second, hook</v>
      </c>
      <c r="F1354" s="8" t="n">
        <f aca="false">INDEX(Radicals!$D$2:$D$215,MATCH(C1354,Radicals!$A$2:$A$215,0))</f>
        <v>1</v>
      </c>
      <c r="G1354" s="8" t="n">
        <v>11</v>
      </c>
    </row>
    <row r="1355" customFormat="false" ht="17.35" hidden="false" customHeight="false" outlineLevel="0" collapsed="false">
      <c r="A1355" s="8" t="n">
        <v>1354</v>
      </c>
      <c r="B1355" s="9" t="s">
        <v>2354</v>
      </c>
      <c r="C1355" s="8" t="n">
        <v>119</v>
      </c>
      <c r="D1355" s="9" t="str">
        <f aca="false">INDEX(Radicals!$B$2:$B$215,MATCH(C1355,Radicals!$A$2:$A$215,0))</f>
        <v>米</v>
      </c>
      <c r="E1355" s="10" t="str">
        <f aca="false">INDEX(Radicals!$G$2:$G$215,MATCH(C1355,Radicals!$A$2:$A$215,0))</f>
        <v>rice</v>
      </c>
      <c r="F1355" s="8" t="n">
        <f aca="false">INDEX(Radicals!$D$2:$D$215,MATCH(C1355,Radicals!$A$2:$A$215,0))</f>
        <v>6</v>
      </c>
      <c r="G1355" s="8" t="n">
        <v>18</v>
      </c>
    </row>
    <row r="1356" customFormat="false" ht="17.35" hidden="false" customHeight="false" outlineLevel="0" collapsed="false">
      <c r="A1356" s="8" t="n">
        <v>1355</v>
      </c>
      <c r="B1356" s="9" t="s">
        <v>2355</v>
      </c>
      <c r="C1356" s="8" t="n">
        <v>75</v>
      </c>
      <c r="D1356" s="9" t="str">
        <f aca="false">INDEX(Radicals!$B$2:$B$215,MATCH(C1356,Radicals!$A$2:$A$215,0))</f>
        <v>木</v>
      </c>
      <c r="E1356" s="10" t="str">
        <f aca="false">INDEX(Radicals!$G$2:$G$215,MATCH(C1356,Radicals!$A$2:$A$215,0))</f>
        <v>tree, wood</v>
      </c>
      <c r="F1356" s="8" t="n">
        <f aca="false">INDEX(Radicals!$D$2:$D$215,MATCH(C1356,Radicals!$A$2:$A$215,0))</f>
        <v>4</v>
      </c>
      <c r="G1356" s="8" t="n">
        <v>11</v>
      </c>
    </row>
    <row r="1357" customFormat="false" ht="17.35" hidden="false" customHeight="false" outlineLevel="0" collapsed="false">
      <c r="A1357" s="8" t="n">
        <v>1356</v>
      </c>
      <c r="B1357" s="9" t="s">
        <v>2356</v>
      </c>
      <c r="C1357" s="8" t="n">
        <v>85</v>
      </c>
      <c r="D1357" s="9" t="str">
        <f aca="false">INDEX(Radicals!$B$2:$B$215,MATCH(C1357,Radicals!$A$2:$A$215,0))</f>
        <v>水</v>
      </c>
      <c r="E1357" s="10" t="str">
        <f aca="false">INDEX(Radicals!$G$2:$G$215,MATCH(C1357,Radicals!$A$2:$A$215,0))</f>
        <v>water</v>
      </c>
      <c r="F1357" s="8" t="n">
        <f aca="false">INDEX(Radicals!$D$2:$D$215,MATCH(C1357,Radicals!$A$2:$A$215,0))</f>
        <v>4</v>
      </c>
      <c r="G1357" s="8" t="n">
        <v>12</v>
      </c>
    </row>
    <row r="1358" customFormat="false" ht="17.35" hidden="false" customHeight="false" outlineLevel="0" collapsed="false">
      <c r="A1358" s="8" t="n">
        <v>1357</v>
      </c>
      <c r="B1358" s="9" t="s">
        <v>2357</v>
      </c>
      <c r="C1358" s="8" t="n">
        <v>118</v>
      </c>
      <c r="D1358" s="9" t="str">
        <f aca="false">INDEX(Radicals!$B$2:$B$215,MATCH(C1358,Radicals!$A$2:$A$215,0))</f>
        <v>竹</v>
      </c>
      <c r="E1358" s="10" t="str">
        <f aca="false">INDEX(Radicals!$G$2:$G$215,MATCH(C1358,Radicals!$A$2:$A$215,0))</f>
        <v>bamboo</v>
      </c>
      <c r="F1358" s="8" t="n">
        <f aca="false">INDEX(Radicals!$D$2:$D$215,MATCH(C1358,Radicals!$A$2:$A$215,0))</f>
        <v>6</v>
      </c>
      <c r="G1358" s="8" t="n">
        <v>15</v>
      </c>
    </row>
    <row r="1359" customFormat="false" ht="17.35" hidden="false" customHeight="false" outlineLevel="0" collapsed="false">
      <c r="A1359" s="8" t="n">
        <v>1358</v>
      </c>
      <c r="B1359" s="9" t="s">
        <v>2358</v>
      </c>
      <c r="C1359" s="8" t="n">
        <v>118</v>
      </c>
      <c r="D1359" s="9" t="str">
        <f aca="false">INDEX(Radicals!$B$2:$B$215,MATCH(C1359,Radicals!$A$2:$A$215,0))</f>
        <v>竹</v>
      </c>
      <c r="E1359" s="10" t="str">
        <f aca="false">INDEX(Radicals!$G$2:$G$215,MATCH(C1359,Radicals!$A$2:$A$215,0))</f>
        <v>bamboo</v>
      </c>
      <c r="F1359" s="8" t="n">
        <f aca="false">INDEX(Radicals!$D$2:$D$215,MATCH(C1359,Radicals!$A$2:$A$215,0))</f>
        <v>6</v>
      </c>
      <c r="G1359" s="8" t="n">
        <v>19</v>
      </c>
    </row>
    <row r="1360" customFormat="false" ht="17.35" hidden="false" customHeight="false" outlineLevel="0" collapsed="false">
      <c r="A1360" s="8" t="n">
        <v>1359</v>
      </c>
      <c r="B1360" s="9" t="s">
        <v>2359</v>
      </c>
      <c r="C1360" s="8" t="n">
        <v>86</v>
      </c>
      <c r="D1360" s="9" t="str">
        <f aca="false">INDEX(Radicals!$B$2:$B$215,MATCH(C1360,Radicals!$A$2:$A$215,0))</f>
        <v>火</v>
      </c>
      <c r="E1360" s="10" t="str">
        <f aca="false">INDEX(Radicals!$G$2:$G$215,MATCH(C1360,Radicals!$A$2:$A$215,0))</f>
        <v>fire</v>
      </c>
      <c r="F1360" s="8" t="n">
        <f aca="false">INDEX(Radicals!$D$2:$D$215,MATCH(C1360,Radicals!$A$2:$A$215,0))</f>
        <v>4</v>
      </c>
      <c r="G1360" s="8" t="n">
        <v>8</v>
      </c>
    </row>
    <row r="1361" customFormat="false" ht="17.35" hidden="false" customHeight="false" outlineLevel="0" collapsed="false">
      <c r="A1361" s="8" t="n">
        <v>1360</v>
      </c>
      <c r="B1361" s="9" t="s">
        <v>2360</v>
      </c>
      <c r="C1361" s="8" t="n">
        <v>93</v>
      </c>
      <c r="D1361" s="9" t="str">
        <f aca="false">INDEX(Radicals!$B$2:$B$215,MATCH(C1361,Radicals!$A$2:$A$215,0))</f>
        <v>牛</v>
      </c>
      <c r="E1361" s="10" t="str">
        <f aca="false">INDEX(Radicals!$G$2:$G$215,MATCH(C1361,Radicals!$A$2:$A$215,0))</f>
        <v>cow, ox</v>
      </c>
      <c r="F1361" s="8" t="n">
        <f aca="false">INDEX(Radicals!$D$2:$D$215,MATCH(C1361,Radicals!$A$2:$A$215,0))</f>
        <v>4</v>
      </c>
      <c r="G1361" s="8" t="n">
        <v>8</v>
      </c>
    </row>
    <row r="1362" customFormat="false" ht="17.35" hidden="false" customHeight="false" outlineLevel="0" collapsed="false">
      <c r="A1362" s="8" t="n">
        <v>1361</v>
      </c>
      <c r="B1362" s="9" t="s">
        <v>2361</v>
      </c>
      <c r="C1362" s="8" t="n">
        <v>78</v>
      </c>
      <c r="D1362" s="9" t="str">
        <f aca="false">INDEX(Radicals!$B$2:$B$215,MATCH(C1362,Radicals!$A$2:$A$215,0))</f>
        <v>歹</v>
      </c>
      <c r="E1362" s="10" t="str">
        <f aca="false">INDEX(Radicals!$G$2:$G$215,MATCH(C1362,Radicals!$A$2:$A$215,0))</f>
        <v>death, decay</v>
      </c>
      <c r="F1362" s="8" t="n">
        <f aca="false">INDEX(Radicals!$D$2:$D$215,MATCH(C1362,Radicals!$A$2:$A$215,0))</f>
        <v>4</v>
      </c>
      <c r="G1362" s="8" t="n">
        <v>10</v>
      </c>
    </row>
    <row r="1363" customFormat="false" ht="17.35" hidden="false" customHeight="false" outlineLevel="0" collapsed="false">
      <c r="A1363" s="8" t="n">
        <v>1362</v>
      </c>
      <c r="B1363" s="9" t="s">
        <v>2362</v>
      </c>
      <c r="C1363" s="8" t="n">
        <v>78</v>
      </c>
      <c r="D1363" s="9" t="str">
        <f aca="false">INDEX(Radicals!$B$2:$B$215,MATCH(C1363,Radicals!$A$2:$A$215,0))</f>
        <v>歹</v>
      </c>
      <c r="E1363" s="10" t="str">
        <f aca="false">INDEX(Radicals!$G$2:$G$215,MATCH(C1363,Radicals!$A$2:$A$215,0))</f>
        <v>death, decay</v>
      </c>
      <c r="F1363" s="8" t="n">
        <f aca="false">INDEX(Radicals!$D$2:$D$215,MATCH(C1363,Radicals!$A$2:$A$215,0))</f>
        <v>4</v>
      </c>
      <c r="G1363" s="8" t="n">
        <v>12</v>
      </c>
    </row>
    <row r="1364" customFormat="false" ht="17.35" hidden="false" customHeight="false" outlineLevel="0" collapsed="false">
      <c r="A1364" s="8" t="n">
        <v>1363</v>
      </c>
      <c r="B1364" s="9" t="s">
        <v>2363</v>
      </c>
      <c r="C1364" s="8" t="n">
        <v>137</v>
      </c>
      <c r="D1364" s="9" t="str">
        <f aca="false">INDEX(Radicals!$B$2:$B$215,MATCH(C1364,Radicals!$A$2:$A$215,0))</f>
        <v>舟</v>
      </c>
      <c r="E1364" s="10" t="str">
        <f aca="false">INDEX(Radicals!$G$2:$G$215,MATCH(C1364,Radicals!$A$2:$A$215,0))</f>
        <v>boat</v>
      </c>
      <c r="F1364" s="8" t="n">
        <f aca="false">INDEX(Radicals!$D$2:$D$215,MATCH(C1364,Radicals!$A$2:$A$215,0))</f>
        <v>6</v>
      </c>
      <c r="G1364" s="8" t="n">
        <v>21</v>
      </c>
    </row>
    <row r="1365" customFormat="false" ht="17.35" hidden="false" customHeight="false" outlineLevel="0" collapsed="false">
      <c r="A1365" s="8" t="n">
        <v>1364</v>
      </c>
      <c r="B1365" s="9" t="s">
        <v>2364</v>
      </c>
      <c r="C1365" s="8" t="n">
        <v>85</v>
      </c>
      <c r="D1365" s="9" t="str">
        <f aca="false">INDEX(Radicals!$B$2:$B$215,MATCH(C1365,Radicals!$A$2:$A$215,0))</f>
        <v>水</v>
      </c>
      <c r="E1365" s="10" t="str">
        <f aca="false">INDEX(Radicals!$G$2:$G$215,MATCH(C1365,Radicals!$A$2:$A$215,0))</f>
        <v>water</v>
      </c>
      <c r="F1365" s="8" t="n">
        <f aca="false">INDEX(Radicals!$D$2:$D$215,MATCH(C1365,Radicals!$A$2:$A$215,0))</f>
        <v>4</v>
      </c>
      <c r="G1365" s="8" t="n">
        <v>13</v>
      </c>
    </row>
    <row r="1366" customFormat="false" ht="17.35" hidden="false" customHeight="false" outlineLevel="0" collapsed="false">
      <c r="A1366" s="8" t="n">
        <v>1365</v>
      </c>
      <c r="B1366" s="9" t="s">
        <v>2365</v>
      </c>
      <c r="C1366" s="8" t="n">
        <v>159</v>
      </c>
      <c r="D1366" s="9" t="str">
        <f aca="false">INDEX(Radicals!$B$2:$B$215,MATCH(C1366,Radicals!$A$2:$A$215,0))</f>
        <v>車</v>
      </c>
      <c r="E1366" s="10" t="str">
        <f aca="false">INDEX(Radicals!$G$2:$G$215,MATCH(C1366,Radicals!$A$2:$A$215,0))</f>
        <v>cart, vehicle</v>
      </c>
      <c r="F1366" s="8" t="n">
        <f aca="false">INDEX(Radicals!$D$2:$D$215,MATCH(C1366,Radicals!$A$2:$A$215,0))</f>
        <v>7</v>
      </c>
      <c r="G1366" s="8" t="n">
        <v>15</v>
      </c>
    </row>
    <row r="1367" customFormat="false" ht="17.35" hidden="false" customHeight="false" outlineLevel="0" collapsed="false">
      <c r="A1367" s="8" t="n">
        <v>1366</v>
      </c>
      <c r="B1367" s="9" t="s">
        <v>612</v>
      </c>
      <c r="C1367" s="8" t="n">
        <v>116</v>
      </c>
      <c r="D1367" s="9" t="str">
        <f aca="false">INDEX(Radicals!$B$2:$B$215,MATCH(C1367,Radicals!$A$2:$A$215,0))</f>
        <v>穴</v>
      </c>
      <c r="E1367" s="10" t="str">
        <f aca="false">INDEX(Radicals!$G$2:$G$215,MATCH(C1367,Radicals!$A$2:$A$215,0))</f>
        <v>cave, hole</v>
      </c>
      <c r="F1367" s="8" t="n">
        <f aca="false">INDEX(Radicals!$D$2:$D$215,MATCH(C1367,Radicals!$A$2:$A$215,0))</f>
        <v>5</v>
      </c>
      <c r="G1367" s="8" t="n">
        <v>5</v>
      </c>
    </row>
    <row r="1368" customFormat="false" ht="17.35" hidden="false" customHeight="false" outlineLevel="0" collapsed="false">
      <c r="A1368" s="8" t="n">
        <v>1367</v>
      </c>
      <c r="B1368" s="9" t="s">
        <v>2366</v>
      </c>
      <c r="C1368" s="8" t="n">
        <v>37</v>
      </c>
      <c r="D1368" s="9" t="str">
        <f aca="false">INDEX(Radicals!$B$2:$B$215,MATCH(C1368,Radicals!$A$2:$A$215,0))</f>
        <v>大</v>
      </c>
      <c r="E1368" s="10" t="str">
        <f aca="false">INDEX(Radicals!$G$2:$G$215,MATCH(C1368,Radicals!$A$2:$A$215,0))</f>
        <v>big</v>
      </c>
      <c r="F1368" s="8" t="n">
        <f aca="false">INDEX(Radicals!$D$2:$D$215,MATCH(C1368,Radicals!$A$2:$A$215,0))</f>
        <v>3</v>
      </c>
      <c r="G1368" s="8" t="n">
        <v>8</v>
      </c>
    </row>
    <row r="1369" customFormat="false" ht="17.35" hidden="false" customHeight="false" outlineLevel="0" collapsed="false">
      <c r="A1369" s="8" t="n">
        <v>1368</v>
      </c>
      <c r="B1369" s="9" t="s">
        <v>2367</v>
      </c>
      <c r="C1369" s="8" t="n">
        <v>61</v>
      </c>
      <c r="D1369" s="9" t="str">
        <f aca="false">INDEX(Radicals!$B$2:$B$215,MATCH(C1369,Radicals!$A$2:$A$215,0))</f>
        <v>心</v>
      </c>
      <c r="E1369" s="10" t="str">
        <f aca="false">INDEX(Radicals!$G$2:$G$215,MATCH(C1369,Radicals!$A$2:$A$215,0))</f>
        <v>heart, mind</v>
      </c>
      <c r="F1369" s="8" t="n">
        <f aca="false">INDEX(Radicals!$D$2:$D$215,MATCH(C1369,Radicals!$A$2:$A$215,0))</f>
        <v>4</v>
      </c>
      <c r="G1369" s="8" t="n">
        <v>14</v>
      </c>
    </row>
    <row r="1370" customFormat="false" ht="17.35" hidden="false" customHeight="false" outlineLevel="0" collapsed="false">
      <c r="A1370" s="8" t="n">
        <v>1369</v>
      </c>
      <c r="B1370" s="9" t="s">
        <v>2368</v>
      </c>
      <c r="C1370" s="8" t="n">
        <v>196</v>
      </c>
      <c r="D1370" s="9" t="str">
        <f aca="false">INDEX(Radicals!$B$2:$B$215,MATCH(C1370,Radicals!$A$2:$A$215,0))</f>
        <v>鳥</v>
      </c>
      <c r="E1370" s="10" t="str">
        <f aca="false">INDEX(Radicals!$G$2:$G$215,MATCH(C1370,Radicals!$A$2:$A$215,0))</f>
        <v>bird</v>
      </c>
      <c r="F1370" s="8" t="n">
        <f aca="false">INDEX(Radicals!$D$2:$D$215,MATCH(C1370,Radicals!$A$2:$A$215,0))</f>
        <v>11</v>
      </c>
      <c r="G1370" s="8" t="n">
        <v>21</v>
      </c>
    </row>
    <row r="1371" customFormat="false" ht="17.35" hidden="false" customHeight="false" outlineLevel="0" collapsed="false">
      <c r="A1371" s="8" t="n">
        <v>1370</v>
      </c>
      <c r="B1371" s="9" t="s">
        <v>2369</v>
      </c>
      <c r="C1371" s="8" t="n">
        <v>149</v>
      </c>
      <c r="D1371" s="9" t="str">
        <f aca="false">INDEX(Radicals!$B$2:$B$215,MATCH(C1371,Radicals!$A$2:$A$215,0))</f>
        <v>言</v>
      </c>
      <c r="E1371" s="10" t="str">
        <f aca="false">INDEX(Radicals!$G$2:$G$215,MATCH(C1371,Radicals!$A$2:$A$215,0))</f>
        <v>speech, say</v>
      </c>
      <c r="F1371" s="8" t="n">
        <f aca="false">INDEX(Radicals!$D$2:$D$215,MATCH(C1371,Radicals!$A$2:$A$215,0))</f>
        <v>7</v>
      </c>
      <c r="G1371" s="8" t="n">
        <v>16</v>
      </c>
    </row>
    <row r="1372" customFormat="false" ht="17.35" hidden="false" customHeight="false" outlineLevel="0" collapsed="false">
      <c r="A1372" s="8" t="n">
        <v>1371</v>
      </c>
      <c r="B1372" s="9" t="s">
        <v>2370</v>
      </c>
      <c r="C1372" s="8" t="n">
        <v>72</v>
      </c>
      <c r="D1372" s="9" t="str">
        <f aca="false">INDEX(Radicals!$B$2:$B$215,MATCH(C1372,Radicals!$A$2:$A$215,0))</f>
        <v>日</v>
      </c>
      <c r="E1372" s="10" t="str">
        <f aca="false">INDEX(Radicals!$G$2:$G$215,MATCH(C1372,Radicals!$A$2:$A$215,0))</f>
        <v>sun, day</v>
      </c>
      <c r="F1372" s="8" t="n">
        <f aca="false">INDEX(Radicals!$D$2:$D$215,MATCH(C1372,Radicals!$A$2:$A$215,0))</f>
        <v>4</v>
      </c>
      <c r="G1372" s="8" t="n">
        <v>13</v>
      </c>
    </row>
    <row r="1373" customFormat="false" ht="17.35" hidden="false" customHeight="false" outlineLevel="0" collapsed="false">
      <c r="A1373" s="8" t="n">
        <v>1372</v>
      </c>
      <c r="B1373" s="9" t="s">
        <v>2371</v>
      </c>
      <c r="C1373" s="8" t="n">
        <v>72</v>
      </c>
      <c r="D1373" s="9" t="str">
        <f aca="false">INDEX(Radicals!$B$2:$B$215,MATCH(C1373,Radicals!$A$2:$A$215,0))</f>
        <v>日</v>
      </c>
      <c r="E1373" s="10" t="str">
        <f aca="false">INDEX(Radicals!$G$2:$G$215,MATCH(C1373,Radicals!$A$2:$A$215,0))</f>
        <v>sun, day</v>
      </c>
      <c r="F1373" s="8" t="n">
        <f aca="false">INDEX(Radicals!$D$2:$D$215,MATCH(C1373,Radicals!$A$2:$A$215,0))</f>
        <v>4</v>
      </c>
      <c r="G1373" s="8" t="n">
        <v>8</v>
      </c>
    </row>
    <row r="1374" customFormat="false" ht="17.35" hidden="false" customHeight="false" outlineLevel="0" collapsed="false">
      <c r="A1374" s="8" t="n">
        <v>1373</v>
      </c>
      <c r="B1374" s="9" t="s">
        <v>2372</v>
      </c>
      <c r="C1374" s="8" t="n">
        <v>64</v>
      </c>
      <c r="D1374" s="9" t="str">
        <f aca="false">INDEX(Radicals!$B$2:$B$215,MATCH(C1374,Radicals!$A$2:$A$215,0))</f>
        <v>手</v>
      </c>
      <c r="E1374" s="10" t="str">
        <f aca="false">INDEX(Radicals!$G$2:$G$215,MATCH(C1374,Radicals!$A$2:$A$215,0))</f>
        <v>hand</v>
      </c>
      <c r="F1374" s="8" t="n">
        <f aca="false">INDEX(Radicals!$D$2:$D$215,MATCH(C1374,Radicals!$A$2:$A$215,0))</f>
        <v>4</v>
      </c>
      <c r="G1374" s="8" t="n">
        <v>8</v>
      </c>
    </row>
    <row r="1375" customFormat="false" ht="17.35" hidden="false" customHeight="false" outlineLevel="0" collapsed="false">
      <c r="A1375" s="8" t="n">
        <v>1374</v>
      </c>
      <c r="B1375" s="9" t="s">
        <v>2373</v>
      </c>
      <c r="C1375" s="8" t="n">
        <v>74</v>
      </c>
      <c r="D1375" s="9" t="str">
        <f aca="false">INDEX(Radicals!$B$2:$B$215,MATCH(C1375,Radicals!$A$2:$A$215,0))</f>
        <v>月</v>
      </c>
      <c r="E1375" s="10" t="str">
        <f aca="false">INDEX(Radicals!$G$2:$G$215,MATCH(C1375,Radicals!$A$2:$A$215,0))</f>
        <v>moon, month</v>
      </c>
      <c r="F1375" s="8" t="n">
        <f aca="false">INDEX(Radicals!$D$2:$D$215,MATCH(C1375,Radicals!$A$2:$A$215,0))</f>
        <v>4</v>
      </c>
      <c r="G1375" s="8" t="n">
        <v>10</v>
      </c>
    </row>
    <row r="1376" customFormat="false" ht="17.35" hidden="false" customHeight="false" outlineLevel="0" collapsed="false">
      <c r="A1376" s="8" t="n">
        <v>1375</v>
      </c>
      <c r="B1376" s="9" t="s">
        <v>2374</v>
      </c>
      <c r="C1376" s="8" t="n">
        <v>1</v>
      </c>
      <c r="D1376" s="9" t="str">
        <f aca="false">INDEX(Radicals!$B$2:$B$215,MATCH(C1376,Radicals!$A$2:$A$215,0))</f>
        <v>一</v>
      </c>
      <c r="E1376" s="10" t="str">
        <f aca="false">INDEX(Radicals!$G$2:$G$215,MATCH(C1376,Radicals!$A$2:$A$215,0))</f>
        <v>one</v>
      </c>
      <c r="F1376" s="8" t="n">
        <f aca="false">INDEX(Radicals!$D$2:$D$215,MATCH(C1376,Radicals!$A$2:$A$215,0))</f>
        <v>1</v>
      </c>
      <c r="G1376" s="8" t="n">
        <v>3</v>
      </c>
    </row>
    <row r="1377" customFormat="false" ht="17.35" hidden="false" customHeight="false" outlineLevel="0" collapsed="false">
      <c r="A1377" s="8" t="n">
        <v>1376</v>
      </c>
      <c r="B1377" s="9" t="s">
        <v>2375</v>
      </c>
      <c r="C1377" s="8" t="n">
        <v>167</v>
      </c>
      <c r="D1377" s="9" t="str">
        <f aca="false">INDEX(Radicals!$B$2:$B$215,MATCH(C1377,Radicals!$A$2:$A$215,0))</f>
        <v>金</v>
      </c>
      <c r="E1377" s="10" t="str">
        <f aca="false">INDEX(Radicals!$G$2:$G$215,MATCH(C1377,Radicals!$A$2:$A$215,0))</f>
        <v>metal, gold</v>
      </c>
      <c r="F1377" s="8" t="n">
        <f aca="false">INDEX(Radicals!$D$2:$D$215,MATCH(C1377,Radicals!$A$2:$A$215,0))</f>
        <v>8</v>
      </c>
      <c r="G1377" s="8" t="n">
        <v>13</v>
      </c>
    </row>
    <row r="1378" customFormat="false" ht="17.35" hidden="false" customHeight="false" outlineLevel="0" collapsed="false">
      <c r="A1378" s="8" t="n">
        <v>1377</v>
      </c>
      <c r="B1378" s="9" t="s">
        <v>2376</v>
      </c>
      <c r="C1378" s="8" t="n">
        <v>40</v>
      </c>
      <c r="D1378" s="9" t="str">
        <f aca="false">INDEX(Radicals!$B$2:$B$215,MATCH(C1378,Radicals!$A$2:$A$215,0))</f>
        <v>宀</v>
      </c>
      <c r="E1378" s="10" t="str">
        <f aca="false">INDEX(Radicals!$G$2:$G$215,MATCH(C1378,Radicals!$A$2:$A$215,0))</f>
        <v>roof</v>
      </c>
      <c r="F1378" s="8" t="n">
        <f aca="false">INDEX(Radicals!$D$2:$D$215,MATCH(C1378,Radicals!$A$2:$A$215,0))</f>
        <v>3</v>
      </c>
      <c r="G1378" s="8" t="n">
        <v>13</v>
      </c>
    </row>
    <row r="1379" customFormat="false" ht="17.35" hidden="false" customHeight="false" outlineLevel="0" collapsed="false">
      <c r="A1379" s="8" t="n">
        <v>1378</v>
      </c>
      <c r="B1379" s="9" t="s">
        <v>2377</v>
      </c>
      <c r="C1379" s="8" t="n">
        <v>146</v>
      </c>
      <c r="D1379" s="9" t="str">
        <f aca="false">INDEX(Radicals!$B$2:$B$215,MATCH(C1379,Radicals!$A$2:$A$215,0))</f>
        <v>襾</v>
      </c>
      <c r="E1379" s="10" t="str">
        <f aca="false">INDEX(Radicals!$G$2:$G$215,MATCH(C1379,Radicals!$A$2:$A$215,0))</f>
        <v>west, cover</v>
      </c>
      <c r="F1379" s="8" t="n">
        <f aca="false">INDEX(Radicals!$D$2:$D$215,MATCH(C1379,Radicals!$A$2:$A$215,0))</f>
        <v>6</v>
      </c>
      <c r="G1379" s="8" t="n">
        <v>18</v>
      </c>
    </row>
    <row r="1380" customFormat="false" ht="17.35" hidden="false" customHeight="false" outlineLevel="0" collapsed="false">
      <c r="A1380" s="8" t="n">
        <v>1379</v>
      </c>
      <c r="B1380" s="9" t="s">
        <v>2378</v>
      </c>
      <c r="C1380" s="8" t="n">
        <v>130</v>
      </c>
      <c r="D1380" s="9" t="str">
        <f aca="false">INDEX(Radicals!$B$2:$B$215,MATCH(C1380,Radicals!$A$2:$A$215,0))</f>
        <v>肉</v>
      </c>
      <c r="E1380" s="10" t="str">
        <f aca="false">INDEX(Radicals!$G$2:$G$215,MATCH(C1380,Radicals!$A$2:$A$215,0))</f>
        <v>meat, flesh</v>
      </c>
      <c r="F1380" s="8" t="n">
        <f aca="false">INDEX(Radicals!$D$2:$D$215,MATCH(C1380,Radicals!$A$2:$A$215,0))</f>
        <v>6</v>
      </c>
      <c r="G1380" s="8" t="n">
        <v>9</v>
      </c>
    </row>
    <row r="1381" customFormat="false" ht="17.35" hidden="false" customHeight="false" outlineLevel="0" collapsed="false">
      <c r="A1381" s="8" t="n">
        <v>1380</v>
      </c>
      <c r="B1381" s="9" t="s">
        <v>2379</v>
      </c>
      <c r="C1381" s="8" t="n">
        <v>85</v>
      </c>
      <c r="D1381" s="9" t="str">
        <f aca="false">INDEX(Radicals!$B$2:$B$215,MATCH(C1381,Radicals!$A$2:$A$215,0))</f>
        <v>水</v>
      </c>
      <c r="E1381" s="10" t="str">
        <f aca="false">INDEX(Radicals!$G$2:$G$215,MATCH(C1381,Radicals!$A$2:$A$215,0))</f>
        <v>water</v>
      </c>
      <c r="F1381" s="8" t="n">
        <f aca="false">INDEX(Radicals!$D$2:$D$215,MATCH(C1381,Radicals!$A$2:$A$215,0))</f>
        <v>4</v>
      </c>
      <c r="G1381" s="8" t="n">
        <v>8</v>
      </c>
    </row>
    <row r="1382" customFormat="false" ht="17.35" hidden="false" customHeight="false" outlineLevel="0" collapsed="false">
      <c r="A1382" s="8" t="n">
        <v>1381</v>
      </c>
      <c r="B1382" s="9" t="s">
        <v>2380</v>
      </c>
      <c r="C1382" s="8" t="n">
        <v>85</v>
      </c>
      <c r="D1382" s="9" t="str">
        <f aca="false">INDEX(Radicals!$B$2:$B$215,MATCH(C1382,Radicals!$A$2:$A$215,0))</f>
        <v>水</v>
      </c>
      <c r="E1382" s="10" t="str">
        <f aca="false">INDEX(Radicals!$G$2:$G$215,MATCH(C1382,Radicals!$A$2:$A$215,0))</f>
        <v>water</v>
      </c>
      <c r="F1382" s="8" t="n">
        <f aca="false">INDEX(Radicals!$D$2:$D$215,MATCH(C1382,Radicals!$A$2:$A$215,0))</f>
        <v>4</v>
      </c>
      <c r="G1382" s="8" t="n">
        <v>10</v>
      </c>
    </row>
    <row r="1383" customFormat="false" ht="17.35" hidden="false" customHeight="false" outlineLevel="0" collapsed="false">
      <c r="A1383" s="8" t="n">
        <v>1382</v>
      </c>
      <c r="B1383" s="9" t="s">
        <v>2381</v>
      </c>
      <c r="C1383" s="8" t="n">
        <v>170</v>
      </c>
      <c r="D1383" s="9" t="str">
        <f aca="false">INDEX(Radicals!$B$2:$B$215,MATCH(C1383,Radicals!$A$2:$A$215,0))</f>
        <v>阜</v>
      </c>
      <c r="E1383" s="10" t="str">
        <f aca="false">INDEX(Radicals!$G$2:$G$215,MATCH(C1383,Radicals!$A$2:$A$215,0))</f>
        <v>mound, hill</v>
      </c>
      <c r="F1383" s="8" t="n">
        <f aca="false">INDEX(Radicals!$D$2:$D$215,MATCH(C1383,Radicals!$A$2:$A$215,0))</f>
        <v>8</v>
      </c>
      <c r="G1383" s="8" t="n">
        <v>13</v>
      </c>
    </row>
    <row r="1384" customFormat="false" ht="17.35" hidden="false" customHeight="false" outlineLevel="0" collapsed="false">
      <c r="A1384" s="8" t="n">
        <v>1383</v>
      </c>
      <c r="B1384" s="9" t="s">
        <v>2382</v>
      </c>
      <c r="C1384" s="8" t="n">
        <v>85</v>
      </c>
      <c r="D1384" s="9" t="str">
        <f aca="false">INDEX(Radicals!$B$2:$B$215,MATCH(C1384,Radicals!$A$2:$A$215,0))</f>
        <v>水</v>
      </c>
      <c r="E1384" s="10" t="str">
        <f aca="false">INDEX(Radicals!$G$2:$G$215,MATCH(C1384,Radicals!$A$2:$A$215,0))</f>
        <v>water</v>
      </c>
      <c r="F1384" s="8" t="n">
        <f aca="false">INDEX(Radicals!$D$2:$D$215,MATCH(C1384,Radicals!$A$2:$A$215,0))</f>
        <v>4</v>
      </c>
      <c r="G1384" s="8" t="n">
        <v>9</v>
      </c>
    </row>
    <row r="1385" customFormat="false" ht="17.35" hidden="false" customHeight="false" outlineLevel="0" collapsed="false">
      <c r="A1385" s="8" t="n">
        <v>1384</v>
      </c>
      <c r="B1385" s="9" t="s">
        <v>2383</v>
      </c>
      <c r="C1385" s="8" t="n">
        <v>23</v>
      </c>
      <c r="D1385" s="9" t="str">
        <f aca="false">INDEX(Radicals!$B$2:$B$215,MATCH(C1385,Radicals!$A$2:$A$215,0))</f>
        <v>匸</v>
      </c>
      <c r="E1385" s="10" t="str">
        <f aca="false">INDEX(Radicals!$G$2:$G$215,MATCH(C1385,Radicals!$A$2:$A$215,0))</f>
        <v>hiding enclosure</v>
      </c>
      <c r="F1385" s="8" t="n">
        <f aca="false">INDEX(Radicals!$D$2:$D$215,MATCH(C1385,Radicals!$A$2:$A$215,0))</f>
        <v>2</v>
      </c>
      <c r="G1385" s="8" t="n">
        <v>4</v>
      </c>
    </row>
    <row r="1386" customFormat="false" ht="17.35" hidden="false" customHeight="false" outlineLevel="0" collapsed="false">
      <c r="A1386" s="8" t="n">
        <v>1385</v>
      </c>
      <c r="B1386" s="9" t="s">
        <v>2384</v>
      </c>
      <c r="C1386" s="8" t="n">
        <v>85</v>
      </c>
      <c r="D1386" s="9" t="str">
        <f aca="false">INDEX(Radicals!$B$2:$B$215,MATCH(C1386,Radicals!$A$2:$A$215,0))</f>
        <v>水</v>
      </c>
      <c r="E1386" s="10" t="str">
        <f aca="false">INDEX(Radicals!$G$2:$G$215,MATCH(C1386,Radicals!$A$2:$A$215,0))</f>
        <v>water</v>
      </c>
      <c r="F1386" s="8" t="n">
        <f aca="false">INDEX(Radicals!$D$2:$D$215,MATCH(C1386,Radicals!$A$2:$A$215,0))</f>
        <v>4</v>
      </c>
      <c r="G1386" s="8" t="n">
        <v>7</v>
      </c>
    </row>
    <row r="1387" customFormat="false" ht="17.35" hidden="false" customHeight="false" outlineLevel="0" collapsed="false">
      <c r="A1387" s="8" t="n">
        <v>1386</v>
      </c>
      <c r="B1387" s="9" t="s">
        <v>2385</v>
      </c>
      <c r="C1387" s="8" t="n">
        <v>72</v>
      </c>
      <c r="D1387" s="9" t="str">
        <f aca="false">INDEX(Radicals!$B$2:$B$215,MATCH(C1387,Radicals!$A$2:$A$215,0))</f>
        <v>日</v>
      </c>
      <c r="E1387" s="10" t="str">
        <f aca="false">INDEX(Radicals!$G$2:$G$215,MATCH(C1387,Radicals!$A$2:$A$215,0))</f>
        <v>sun, day</v>
      </c>
      <c r="F1387" s="8" t="n">
        <f aca="false">INDEX(Radicals!$D$2:$D$215,MATCH(C1387,Radicals!$A$2:$A$215,0))</f>
        <v>4</v>
      </c>
      <c r="G1387" s="8" t="n">
        <v>13</v>
      </c>
    </row>
    <row r="1388" customFormat="false" ht="17.35" hidden="false" customHeight="false" outlineLevel="0" collapsed="false">
      <c r="A1388" s="8" t="n">
        <v>1387</v>
      </c>
      <c r="B1388" s="9" t="s">
        <v>2386</v>
      </c>
      <c r="C1388" s="8" t="n">
        <v>130</v>
      </c>
      <c r="D1388" s="9" t="str">
        <f aca="false">INDEX(Radicals!$B$2:$B$215,MATCH(C1388,Radicals!$A$2:$A$215,0))</f>
        <v>肉</v>
      </c>
      <c r="E1388" s="10" t="str">
        <f aca="false">INDEX(Radicals!$G$2:$G$215,MATCH(C1388,Radicals!$A$2:$A$215,0))</f>
        <v>meat, flesh</v>
      </c>
      <c r="F1388" s="8" t="n">
        <f aca="false">INDEX(Radicals!$D$2:$D$215,MATCH(C1388,Radicals!$A$2:$A$215,0))</f>
        <v>6</v>
      </c>
      <c r="G1388" s="8" t="n">
        <v>9</v>
      </c>
    </row>
    <row r="1389" customFormat="false" ht="17.35" hidden="false" customHeight="false" outlineLevel="0" collapsed="false">
      <c r="A1389" s="8" t="n">
        <v>1388</v>
      </c>
      <c r="B1389" s="9" t="s">
        <v>2387</v>
      </c>
      <c r="C1389" s="8" t="n">
        <v>39</v>
      </c>
      <c r="D1389" s="9" t="str">
        <f aca="false">INDEX(Radicals!$B$2:$B$215,MATCH(C1389,Radicals!$A$2:$A$215,0))</f>
        <v>子</v>
      </c>
      <c r="E1389" s="10" t="str">
        <f aca="false">INDEX(Radicals!$G$2:$G$215,MATCH(C1389,Radicals!$A$2:$A$215,0))</f>
        <v>child</v>
      </c>
      <c r="F1389" s="8" t="n">
        <f aca="false">INDEX(Radicals!$D$2:$D$215,MATCH(C1389,Radicals!$A$2:$A$215,0))</f>
        <v>3</v>
      </c>
      <c r="G1389" s="8" t="n">
        <v>10</v>
      </c>
    </row>
    <row r="1390" customFormat="false" ht="17.35" hidden="false" customHeight="false" outlineLevel="0" collapsed="false">
      <c r="A1390" s="8" t="n">
        <v>1389</v>
      </c>
      <c r="B1390" s="9" t="s">
        <v>2388</v>
      </c>
      <c r="C1390" s="8" t="n">
        <v>154</v>
      </c>
      <c r="D1390" s="9" t="str">
        <f aca="false">INDEX(Radicals!$B$2:$B$215,MATCH(C1390,Radicals!$A$2:$A$215,0))</f>
        <v>貝</v>
      </c>
      <c r="E1390" s="10" t="str">
        <f aca="false">INDEX(Radicals!$G$2:$G$215,MATCH(C1390,Radicals!$A$2:$A$215,0))</f>
        <v>shell, money</v>
      </c>
      <c r="F1390" s="8" t="n">
        <f aca="false">INDEX(Radicals!$D$2:$D$215,MATCH(C1390,Radicals!$A$2:$A$215,0))</f>
        <v>7</v>
      </c>
      <c r="G1390" s="8" t="n">
        <v>9</v>
      </c>
    </row>
    <row r="1391" customFormat="false" ht="17.35" hidden="false" customHeight="false" outlineLevel="0" collapsed="false">
      <c r="A1391" s="8" t="n">
        <v>1390</v>
      </c>
      <c r="B1391" s="9" t="s">
        <v>2389</v>
      </c>
      <c r="C1391" s="8" t="n">
        <v>174</v>
      </c>
      <c r="D1391" s="9" t="str">
        <f aca="false">INDEX(Radicals!$B$2:$B$215,MATCH(C1391,Radicals!$A$2:$A$215,0))</f>
        <v>青</v>
      </c>
      <c r="E1391" s="10" t="str">
        <f aca="false">INDEX(Radicals!$G$2:$G$215,MATCH(C1391,Radicals!$A$2:$A$215,0))</f>
        <v>blue, green</v>
      </c>
      <c r="F1391" s="8" t="n">
        <f aca="false">INDEX(Radicals!$D$2:$D$215,MATCH(C1391,Radicals!$A$2:$A$215,0))</f>
        <v>8</v>
      </c>
      <c r="G1391" s="8" t="n">
        <v>13</v>
      </c>
    </row>
    <row r="1392" customFormat="false" ht="17.35" hidden="false" customHeight="false" outlineLevel="0" collapsed="false">
      <c r="A1392" s="8" t="n">
        <v>1391</v>
      </c>
      <c r="B1392" s="9" t="s">
        <v>2390</v>
      </c>
      <c r="C1392" s="8" t="n">
        <v>167</v>
      </c>
      <c r="D1392" s="9" t="str">
        <f aca="false">INDEX(Radicals!$B$2:$B$215,MATCH(C1392,Radicals!$A$2:$A$215,0))</f>
        <v>金</v>
      </c>
      <c r="E1392" s="10" t="str">
        <f aca="false">INDEX(Radicals!$G$2:$G$215,MATCH(C1392,Radicals!$A$2:$A$215,0))</f>
        <v>metal, gold</v>
      </c>
      <c r="F1392" s="8" t="n">
        <f aca="false">INDEX(Radicals!$D$2:$D$215,MATCH(C1392,Radicals!$A$2:$A$215,0))</f>
        <v>8</v>
      </c>
      <c r="G1392" s="8" t="n">
        <v>23</v>
      </c>
    </row>
    <row r="1393" customFormat="false" ht="17.35" hidden="false" customHeight="false" outlineLevel="0" collapsed="false">
      <c r="A1393" s="8" t="n">
        <v>1392</v>
      </c>
      <c r="B1393" s="9" t="s">
        <v>2391</v>
      </c>
      <c r="C1393" s="8" t="n">
        <v>184</v>
      </c>
      <c r="D1393" s="9" t="str">
        <f aca="false">INDEX(Radicals!$B$2:$B$215,MATCH(C1393,Radicals!$A$2:$A$215,0))</f>
        <v>食</v>
      </c>
      <c r="E1393" s="10" t="str">
        <f aca="false">INDEX(Radicals!$G$2:$G$215,MATCH(C1393,Radicals!$A$2:$A$215,0))</f>
        <v>eat, food</v>
      </c>
      <c r="F1393" s="8" t="n">
        <f aca="false">INDEX(Radicals!$D$2:$D$215,MATCH(C1393,Radicals!$A$2:$A$215,0))</f>
        <v>9</v>
      </c>
      <c r="G1393" s="8" t="n">
        <v>13</v>
      </c>
    </row>
    <row r="1394" customFormat="false" ht="17.35" hidden="false" customHeight="false" outlineLevel="0" collapsed="false">
      <c r="A1394" s="8" t="n">
        <v>1393</v>
      </c>
      <c r="B1394" s="9" t="s">
        <v>2392</v>
      </c>
      <c r="C1394" s="8" t="n">
        <v>170</v>
      </c>
      <c r="D1394" s="9" t="str">
        <f aca="false">INDEX(Radicals!$B$2:$B$215,MATCH(C1394,Radicals!$A$2:$A$215,0))</f>
        <v>阜</v>
      </c>
      <c r="E1394" s="10" t="str">
        <f aca="false">INDEX(Radicals!$G$2:$G$215,MATCH(C1394,Radicals!$A$2:$A$215,0))</f>
        <v>mound, hill</v>
      </c>
      <c r="F1394" s="8" t="n">
        <f aca="false">INDEX(Radicals!$D$2:$D$215,MATCH(C1394,Radicals!$A$2:$A$215,0))</f>
        <v>8</v>
      </c>
      <c r="G1394" s="8" t="n">
        <v>11</v>
      </c>
    </row>
    <row r="1395" customFormat="false" ht="17.35" hidden="false" customHeight="false" outlineLevel="0" collapsed="false">
      <c r="A1395" s="8" t="n">
        <v>1394</v>
      </c>
      <c r="B1395" s="9" t="s">
        <v>2393</v>
      </c>
      <c r="C1395" s="8" t="n">
        <v>167</v>
      </c>
      <c r="D1395" s="9" t="str">
        <f aca="false">INDEX(Radicals!$B$2:$B$215,MATCH(C1395,Radicals!$A$2:$A$215,0))</f>
        <v>金</v>
      </c>
      <c r="E1395" s="10" t="str">
        <f aca="false">INDEX(Radicals!$G$2:$G$215,MATCH(C1395,Radicals!$A$2:$A$215,0))</f>
        <v>metal, gold</v>
      </c>
      <c r="F1395" s="8" t="n">
        <f aca="false">INDEX(Radicals!$D$2:$D$215,MATCH(C1395,Radicals!$A$2:$A$215,0))</f>
        <v>8</v>
      </c>
      <c r="G1395" s="8" t="n">
        <v>14</v>
      </c>
    </row>
    <row r="1396" customFormat="false" ht="17.35" hidden="false" customHeight="false" outlineLevel="0" collapsed="false">
      <c r="A1396" s="8" t="n">
        <v>1395</v>
      </c>
      <c r="B1396" s="9" t="s">
        <v>2394</v>
      </c>
      <c r="C1396" s="8" t="n">
        <v>167</v>
      </c>
      <c r="D1396" s="9" t="str">
        <f aca="false">INDEX(Radicals!$B$2:$B$215,MATCH(C1396,Radicals!$A$2:$A$215,0))</f>
        <v>金</v>
      </c>
      <c r="E1396" s="10" t="str">
        <f aca="false">INDEX(Radicals!$G$2:$G$215,MATCH(C1396,Radicals!$A$2:$A$215,0))</f>
        <v>metal, gold</v>
      </c>
      <c r="F1396" s="8" t="n">
        <f aca="false">INDEX(Radicals!$D$2:$D$215,MATCH(C1396,Radicals!$A$2:$A$215,0))</f>
        <v>8</v>
      </c>
      <c r="G1396" s="8" t="n">
        <v>15</v>
      </c>
    </row>
    <row r="1397" customFormat="false" ht="17.35" hidden="false" customHeight="false" outlineLevel="0" collapsed="false">
      <c r="A1397" s="8" t="n">
        <v>1396</v>
      </c>
      <c r="B1397" s="9" t="s">
        <v>2395</v>
      </c>
      <c r="C1397" s="8" t="n">
        <v>170</v>
      </c>
      <c r="D1397" s="9" t="str">
        <f aca="false">INDEX(Radicals!$B$2:$B$215,MATCH(C1397,Radicals!$A$2:$A$215,0))</f>
        <v>阜</v>
      </c>
      <c r="E1397" s="10" t="str">
        <f aca="false">INDEX(Radicals!$G$2:$G$215,MATCH(C1397,Radicals!$A$2:$A$215,0))</f>
        <v>mound, hill</v>
      </c>
      <c r="F1397" s="8" t="n">
        <f aca="false">INDEX(Radicals!$D$2:$D$215,MATCH(C1397,Radicals!$A$2:$A$215,0))</f>
        <v>8</v>
      </c>
      <c r="G1397" s="8" t="n">
        <v>12</v>
      </c>
    </row>
    <row r="1398" customFormat="false" ht="17.35" hidden="false" customHeight="false" outlineLevel="0" collapsed="false">
      <c r="A1398" s="8" t="n">
        <v>1397</v>
      </c>
      <c r="B1398" s="9" t="s">
        <v>2396</v>
      </c>
      <c r="C1398" s="8" t="n">
        <v>86</v>
      </c>
      <c r="D1398" s="9" t="str">
        <f aca="false">INDEX(Radicals!$B$2:$B$215,MATCH(C1398,Radicals!$A$2:$A$215,0))</f>
        <v>火</v>
      </c>
      <c r="E1398" s="10" t="str">
        <f aca="false">INDEX(Radicals!$G$2:$G$215,MATCH(C1398,Radicals!$A$2:$A$215,0))</f>
        <v>fire</v>
      </c>
      <c r="F1398" s="8" t="n">
        <f aca="false">INDEX(Radicals!$D$2:$D$215,MATCH(C1398,Radicals!$A$2:$A$215,0))</f>
        <v>4</v>
      </c>
      <c r="G1398" s="8" t="n">
        <v>10</v>
      </c>
    </row>
    <row r="1399" customFormat="false" ht="17.35" hidden="false" customHeight="false" outlineLevel="0" collapsed="false">
      <c r="A1399" s="8" t="n">
        <v>1398</v>
      </c>
      <c r="B1399" s="9" t="s">
        <v>2397</v>
      </c>
      <c r="C1399" s="8" t="n">
        <v>41</v>
      </c>
      <c r="D1399" s="9" t="str">
        <f aca="false">INDEX(Radicals!$B$2:$B$215,MATCH(C1399,Radicals!$A$2:$A$215,0))</f>
        <v>寸</v>
      </c>
      <c r="E1399" s="10" t="str">
        <f aca="false">INDEX(Radicals!$G$2:$G$215,MATCH(C1399,Radicals!$A$2:$A$215,0))</f>
        <v>inch</v>
      </c>
      <c r="F1399" s="8" t="n">
        <f aca="false">INDEX(Radicals!$D$2:$D$215,MATCH(C1399,Radicals!$A$2:$A$215,0))</f>
        <v>3</v>
      </c>
      <c r="G1399" s="8" t="n">
        <v>12</v>
      </c>
    </row>
    <row r="1400" customFormat="false" ht="17.35" hidden="false" customHeight="false" outlineLevel="0" collapsed="false">
      <c r="A1400" s="8" t="n">
        <v>1399</v>
      </c>
      <c r="B1400" s="9" t="s">
        <v>2398</v>
      </c>
      <c r="C1400" s="8" t="n">
        <v>85</v>
      </c>
      <c r="D1400" s="9" t="str">
        <f aca="false">INDEX(Radicals!$B$2:$B$215,MATCH(C1400,Radicals!$A$2:$A$215,0))</f>
        <v>水</v>
      </c>
      <c r="E1400" s="10" t="str">
        <f aca="false">INDEX(Radicals!$G$2:$G$215,MATCH(C1400,Radicals!$A$2:$A$215,0))</f>
        <v>water</v>
      </c>
      <c r="F1400" s="8" t="n">
        <f aca="false">INDEX(Radicals!$D$2:$D$215,MATCH(C1400,Radicals!$A$2:$A$215,0))</f>
        <v>4</v>
      </c>
      <c r="G1400" s="8" t="n">
        <v>11</v>
      </c>
    </row>
    <row r="1401" customFormat="false" ht="17.35" hidden="false" customHeight="false" outlineLevel="0" collapsed="false">
      <c r="A1401" s="8" t="n">
        <v>1400</v>
      </c>
      <c r="B1401" s="9" t="s">
        <v>2399</v>
      </c>
      <c r="C1401" s="8" t="n">
        <v>115</v>
      </c>
      <c r="D1401" s="9" t="str">
        <f aca="false">INDEX(Radicals!$B$2:$B$215,MATCH(C1401,Radicals!$A$2:$A$215,0))</f>
        <v>禾</v>
      </c>
      <c r="E1401" s="10" t="str">
        <f aca="false">INDEX(Radicals!$G$2:$G$215,MATCH(C1401,Radicals!$A$2:$A$215,0))</f>
        <v>grain, rice plant</v>
      </c>
      <c r="F1401" s="8" t="n">
        <f aca="false">INDEX(Radicals!$D$2:$D$215,MATCH(C1401,Radicals!$A$2:$A$215,0))</f>
        <v>5</v>
      </c>
      <c r="G1401" s="8" t="n">
        <v>15</v>
      </c>
    </row>
    <row r="1402" customFormat="false" ht="17.35" hidden="false" customHeight="false" outlineLevel="0" collapsed="false">
      <c r="A1402" s="8" t="n">
        <v>1401</v>
      </c>
      <c r="B1402" s="9" t="s">
        <v>2400</v>
      </c>
      <c r="C1402" s="8" t="n">
        <v>75</v>
      </c>
      <c r="D1402" s="9" t="str">
        <f aca="false">INDEX(Radicals!$B$2:$B$215,MATCH(C1402,Radicals!$A$2:$A$215,0))</f>
        <v>木</v>
      </c>
      <c r="E1402" s="10" t="str">
        <f aca="false">INDEX(Radicals!$G$2:$G$215,MATCH(C1402,Radicals!$A$2:$A$215,0))</f>
        <v>tree, wood</v>
      </c>
      <c r="F1402" s="8" t="n">
        <f aca="false">INDEX(Radicals!$D$2:$D$215,MATCH(C1402,Radicals!$A$2:$A$215,0))</f>
        <v>4</v>
      </c>
      <c r="G1402" s="8" t="n">
        <v>8</v>
      </c>
    </row>
    <row r="1403" customFormat="false" ht="17.35" hidden="false" customHeight="false" outlineLevel="0" collapsed="false">
      <c r="A1403" s="8" t="n">
        <v>1402</v>
      </c>
      <c r="B1403" s="9" t="s">
        <v>2401</v>
      </c>
      <c r="C1403" s="8" t="n">
        <v>3</v>
      </c>
      <c r="D1403" s="9" t="str">
        <f aca="false">INDEX(Radicals!$B$2:$B$215,MATCH(C1403,Radicals!$A$2:$A$215,0))</f>
        <v>丶</v>
      </c>
      <c r="E1403" s="10" t="str">
        <f aca="false">INDEX(Radicals!$G$2:$G$215,MATCH(C1403,Radicals!$A$2:$A$215,0))</f>
        <v>dot</v>
      </c>
      <c r="F1403" s="8" t="n">
        <f aca="false">INDEX(Radicals!$D$2:$D$215,MATCH(C1403,Radicals!$A$2:$A$215,0))</f>
        <v>1</v>
      </c>
      <c r="G1403" s="8" t="n">
        <v>4</v>
      </c>
    </row>
    <row r="1404" customFormat="false" ht="17.35" hidden="false" customHeight="false" outlineLevel="0" collapsed="false">
      <c r="A1404" s="8" t="n">
        <v>1403</v>
      </c>
      <c r="B1404" s="9" t="s">
        <v>2402</v>
      </c>
      <c r="C1404" s="8" t="n">
        <v>30</v>
      </c>
      <c r="D1404" s="9" t="str">
        <f aca="false">INDEX(Radicals!$B$2:$B$215,MATCH(C1404,Radicals!$A$2:$A$215,0))</f>
        <v>口</v>
      </c>
      <c r="E1404" s="10" t="str">
        <f aca="false">INDEX(Radicals!$G$2:$G$215,MATCH(C1404,Radicals!$A$2:$A$215,0))</f>
        <v>mouth</v>
      </c>
      <c r="F1404" s="8" t="n">
        <f aca="false">INDEX(Radicals!$D$2:$D$215,MATCH(C1404,Radicals!$A$2:$A$215,0))</f>
        <v>3</v>
      </c>
      <c r="G1404" s="8" t="n">
        <v>11</v>
      </c>
    </row>
    <row r="1405" customFormat="false" ht="17.35" hidden="false" customHeight="false" outlineLevel="0" collapsed="false">
      <c r="A1405" s="8" t="n">
        <v>1404</v>
      </c>
      <c r="B1405" s="9" t="s">
        <v>2403</v>
      </c>
      <c r="C1405" s="8" t="n">
        <v>5</v>
      </c>
      <c r="D1405" s="9" t="str">
        <f aca="false">INDEX(Radicals!$B$2:$B$215,MATCH(C1405,Radicals!$A$2:$A$215,0))</f>
        <v>乙</v>
      </c>
      <c r="E1405" s="10" t="str">
        <f aca="false">INDEX(Radicals!$G$2:$G$215,MATCH(C1405,Radicals!$A$2:$A$215,0))</f>
        <v>second, hook</v>
      </c>
      <c r="F1405" s="8" t="n">
        <f aca="false">INDEX(Radicals!$D$2:$D$215,MATCH(C1405,Radicals!$A$2:$A$215,0))</f>
        <v>1</v>
      </c>
      <c r="G1405" s="8" t="n">
        <v>3</v>
      </c>
    </row>
    <row r="1406" customFormat="false" ht="17.35" hidden="false" customHeight="false" outlineLevel="0" collapsed="false">
      <c r="A1406" s="8" t="n">
        <v>1405</v>
      </c>
      <c r="B1406" s="9" t="s">
        <v>2404</v>
      </c>
      <c r="C1406" s="8" t="n">
        <v>1</v>
      </c>
      <c r="D1406" s="9" t="str">
        <f aca="false">INDEX(Radicals!$B$2:$B$215,MATCH(C1406,Radicals!$A$2:$A$215,0))</f>
        <v>一</v>
      </c>
      <c r="E1406" s="10" t="str">
        <f aca="false">INDEX(Radicals!$G$2:$G$215,MATCH(C1406,Radicals!$A$2:$A$215,0))</f>
        <v>one</v>
      </c>
      <c r="F1406" s="8" t="n">
        <f aca="false">INDEX(Radicals!$D$2:$D$215,MATCH(C1406,Radicals!$A$2:$A$215,0))</f>
        <v>1</v>
      </c>
      <c r="G1406" s="8" t="n">
        <v>5</v>
      </c>
    </row>
    <row r="1407" customFormat="false" ht="17.35" hidden="false" customHeight="false" outlineLevel="0" collapsed="false">
      <c r="A1407" s="8" t="n">
        <v>1406</v>
      </c>
      <c r="B1407" s="9" t="s">
        <v>2405</v>
      </c>
      <c r="C1407" s="8" t="n">
        <v>75</v>
      </c>
      <c r="D1407" s="9" t="str">
        <f aca="false">INDEX(Radicals!$B$2:$B$215,MATCH(C1407,Radicals!$A$2:$A$215,0))</f>
        <v>木</v>
      </c>
      <c r="E1407" s="10" t="str">
        <f aca="false">INDEX(Radicals!$G$2:$G$215,MATCH(C1407,Radicals!$A$2:$A$215,0))</f>
        <v>tree, wood</v>
      </c>
      <c r="F1407" s="8" t="n">
        <f aca="false">INDEX(Radicals!$D$2:$D$215,MATCH(C1407,Radicals!$A$2:$A$215,0))</f>
        <v>4</v>
      </c>
      <c r="G1407" s="8" t="n">
        <v>12</v>
      </c>
    </row>
    <row r="1408" customFormat="false" ht="17.35" hidden="false" customHeight="false" outlineLevel="0" collapsed="false">
      <c r="A1408" s="8" t="n">
        <v>1407</v>
      </c>
      <c r="B1408" s="9" t="s">
        <v>2406</v>
      </c>
      <c r="C1408" s="8" t="n">
        <v>32</v>
      </c>
      <c r="D1408" s="9" t="str">
        <f aca="false">INDEX(Radicals!$B$2:$B$215,MATCH(C1408,Radicals!$A$2:$A$215,0))</f>
        <v>土</v>
      </c>
      <c r="E1408" s="10" t="str">
        <f aca="false">INDEX(Radicals!$G$2:$G$215,MATCH(C1408,Radicals!$A$2:$A$215,0))</f>
        <v>earth, soil</v>
      </c>
      <c r="F1408" s="8" t="n">
        <f aca="false">INDEX(Radicals!$D$2:$D$215,MATCH(C1408,Radicals!$A$2:$A$215,0))</f>
        <v>3</v>
      </c>
      <c r="G1408" s="8" t="n">
        <v>16</v>
      </c>
    </row>
    <row r="1409" customFormat="false" ht="17.35" hidden="false" customHeight="false" outlineLevel="0" collapsed="false">
      <c r="A1409" s="8" t="n">
        <v>1408</v>
      </c>
      <c r="B1409" s="9" t="s">
        <v>2407</v>
      </c>
      <c r="C1409" s="8" t="n">
        <v>85</v>
      </c>
      <c r="D1409" s="9" t="str">
        <f aca="false">INDEX(Radicals!$B$2:$B$215,MATCH(C1409,Radicals!$A$2:$A$215,0))</f>
        <v>水</v>
      </c>
      <c r="E1409" s="10" t="str">
        <f aca="false">INDEX(Radicals!$G$2:$G$215,MATCH(C1409,Radicals!$A$2:$A$215,0))</f>
        <v>water</v>
      </c>
      <c r="F1409" s="8" t="n">
        <f aca="false">INDEX(Radicals!$D$2:$D$215,MATCH(C1409,Radicals!$A$2:$A$215,0))</f>
        <v>4</v>
      </c>
      <c r="G1409" s="8" t="n">
        <v>14</v>
      </c>
    </row>
    <row r="1410" customFormat="false" ht="17.35" hidden="false" customHeight="false" outlineLevel="0" collapsed="false">
      <c r="A1410" s="8" t="n">
        <v>1409</v>
      </c>
      <c r="B1410" s="9" t="s">
        <v>508</v>
      </c>
      <c r="C1410" s="8" t="n">
        <v>95</v>
      </c>
      <c r="D1410" s="9" t="str">
        <f aca="false">INDEX(Radicals!$B$2:$B$215,MATCH(C1410,Radicals!$A$2:$A$215,0))</f>
        <v>玄</v>
      </c>
      <c r="E1410" s="10" t="str">
        <f aca="false">INDEX(Radicals!$G$2:$G$215,MATCH(C1410,Radicals!$A$2:$A$215,0))</f>
        <v>dark, profound</v>
      </c>
      <c r="F1410" s="8" t="n">
        <f aca="false">INDEX(Radicals!$D$2:$D$215,MATCH(C1410,Radicals!$A$2:$A$215,0))</f>
        <v>5</v>
      </c>
      <c r="G1410" s="8" t="n">
        <v>5</v>
      </c>
    </row>
    <row r="1411" customFormat="false" ht="17.35" hidden="false" customHeight="false" outlineLevel="0" collapsed="false">
      <c r="A1411" s="8" t="n">
        <v>1410</v>
      </c>
      <c r="B1411" s="9" t="s">
        <v>2408</v>
      </c>
      <c r="C1411" s="8" t="n">
        <v>119</v>
      </c>
      <c r="D1411" s="9" t="str">
        <f aca="false">INDEX(Radicals!$B$2:$B$215,MATCH(C1411,Radicals!$A$2:$A$215,0))</f>
        <v>米</v>
      </c>
      <c r="E1411" s="10" t="str">
        <f aca="false">INDEX(Radicals!$G$2:$G$215,MATCH(C1411,Radicals!$A$2:$A$215,0))</f>
        <v>rice</v>
      </c>
      <c r="F1411" s="8" t="n">
        <f aca="false">INDEX(Radicals!$D$2:$D$215,MATCH(C1411,Radicals!$A$2:$A$215,0))</f>
        <v>6</v>
      </c>
      <c r="G1411" s="8" t="n">
        <v>11</v>
      </c>
    </row>
    <row r="1412" customFormat="false" ht="17.35" hidden="false" customHeight="false" outlineLevel="0" collapsed="false">
      <c r="A1412" s="8" t="n">
        <v>1411</v>
      </c>
      <c r="B1412" s="9" t="s">
        <v>2409</v>
      </c>
      <c r="C1412" s="8" t="n">
        <v>61</v>
      </c>
      <c r="D1412" s="9" t="str">
        <f aca="false">INDEX(Radicals!$B$2:$B$215,MATCH(C1412,Radicals!$A$2:$A$215,0))</f>
        <v>心</v>
      </c>
      <c r="E1412" s="10" t="str">
        <f aca="false">INDEX(Radicals!$G$2:$G$215,MATCH(C1412,Radicals!$A$2:$A$215,0))</f>
        <v>heart, mind</v>
      </c>
      <c r="F1412" s="8" t="n">
        <f aca="false">INDEX(Radicals!$D$2:$D$215,MATCH(C1412,Radicals!$A$2:$A$215,0))</f>
        <v>4</v>
      </c>
      <c r="G1412" s="8" t="n">
        <v>10</v>
      </c>
    </row>
    <row r="1413" customFormat="false" ht="17.35" hidden="false" customHeight="false" outlineLevel="0" collapsed="false">
      <c r="A1413" s="8" t="n">
        <v>1412</v>
      </c>
      <c r="B1413" s="9" t="s">
        <v>2410</v>
      </c>
      <c r="C1413" s="8" t="n">
        <v>9</v>
      </c>
      <c r="D1413" s="9" t="str">
        <f aca="false">INDEX(Radicals!$B$2:$B$215,MATCH(C1413,Radicals!$A$2:$A$215,0))</f>
        <v>人</v>
      </c>
      <c r="E1413" s="10" t="str">
        <f aca="false">INDEX(Radicals!$G$2:$G$215,MATCH(C1413,Radicals!$A$2:$A$215,0))</f>
        <v>person</v>
      </c>
      <c r="F1413" s="8" t="n">
        <f aca="false">INDEX(Radicals!$D$2:$D$215,MATCH(C1413,Radicals!$A$2:$A$215,0))</f>
        <v>2</v>
      </c>
      <c r="G1413" s="8" t="n">
        <v>15</v>
      </c>
    </row>
    <row r="1414" customFormat="false" ht="17.35" hidden="false" customHeight="false" outlineLevel="0" collapsed="false">
      <c r="A1414" s="8" t="n">
        <v>1413</v>
      </c>
      <c r="B1414" s="9" t="s">
        <v>2411</v>
      </c>
      <c r="C1414" s="8" t="n">
        <v>38</v>
      </c>
      <c r="D1414" s="9" t="str">
        <f aca="false">INDEX(Radicals!$B$2:$B$215,MATCH(C1414,Radicals!$A$2:$A$215,0))</f>
        <v>女</v>
      </c>
      <c r="E1414" s="10" t="str">
        <f aca="false">INDEX(Radicals!$G$2:$G$215,MATCH(C1414,Radicals!$A$2:$A$215,0))</f>
        <v>woman</v>
      </c>
      <c r="F1414" s="8" t="n">
        <f aca="false">INDEX(Radicals!$D$2:$D$215,MATCH(C1414,Radicals!$A$2:$A$215,0))</f>
        <v>3</v>
      </c>
      <c r="G1414" s="8" t="n">
        <v>7</v>
      </c>
    </row>
    <row r="1415" customFormat="false" ht="17.35" hidden="false" customHeight="false" outlineLevel="0" collapsed="false">
      <c r="A1415" s="8" t="n">
        <v>1414</v>
      </c>
      <c r="B1415" s="9" t="s">
        <v>2412</v>
      </c>
      <c r="C1415" s="8" t="n">
        <v>32</v>
      </c>
      <c r="D1415" s="9" t="str">
        <f aca="false">INDEX(Radicals!$B$2:$B$215,MATCH(C1415,Radicals!$A$2:$A$215,0))</f>
        <v>土</v>
      </c>
      <c r="E1415" s="10" t="str">
        <f aca="false">INDEX(Radicals!$G$2:$G$215,MATCH(C1415,Radicals!$A$2:$A$215,0))</f>
        <v>earth, soil</v>
      </c>
      <c r="F1415" s="8" t="n">
        <f aca="false">INDEX(Radicals!$D$2:$D$215,MATCH(C1415,Radicals!$A$2:$A$215,0))</f>
        <v>3</v>
      </c>
      <c r="G1415" s="8" t="n">
        <v>13</v>
      </c>
    </row>
    <row r="1416" customFormat="false" ht="17.35" hidden="false" customHeight="false" outlineLevel="0" collapsed="false">
      <c r="A1416" s="8" t="n">
        <v>1415</v>
      </c>
      <c r="B1416" s="9" t="s">
        <v>2413</v>
      </c>
      <c r="C1416" s="8" t="n">
        <v>86</v>
      </c>
      <c r="D1416" s="9" t="str">
        <f aca="false">INDEX(Radicals!$B$2:$B$215,MATCH(C1416,Radicals!$A$2:$A$215,0))</f>
        <v>火</v>
      </c>
      <c r="E1416" s="10" t="str">
        <f aca="false">INDEX(Radicals!$G$2:$G$215,MATCH(C1416,Radicals!$A$2:$A$215,0))</f>
        <v>fire</v>
      </c>
      <c r="F1416" s="8" t="n">
        <f aca="false">INDEX(Radicals!$D$2:$D$215,MATCH(C1416,Radicals!$A$2:$A$215,0))</f>
        <v>4</v>
      </c>
      <c r="G1416" s="8" t="n">
        <v>15</v>
      </c>
    </row>
    <row r="1417" customFormat="false" ht="17.35" hidden="false" customHeight="false" outlineLevel="0" collapsed="false">
      <c r="A1417" s="8" t="n">
        <v>1416</v>
      </c>
      <c r="B1417" s="9" t="s">
        <v>2414</v>
      </c>
      <c r="C1417" s="8" t="n">
        <v>159</v>
      </c>
      <c r="D1417" s="9" t="str">
        <f aca="false">INDEX(Radicals!$B$2:$B$215,MATCH(C1417,Radicals!$A$2:$A$215,0))</f>
        <v>車</v>
      </c>
      <c r="E1417" s="10" t="str">
        <f aca="false">INDEX(Radicals!$G$2:$G$215,MATCH(C1417,Radicals!$A$2:$A$215,0))</f>
        <v>cart, vehicle</v>
      </c>
      <c r="F1417" s="8" t="n">
        <f aca="false">INDEX(Radicals!$D$2:$D$215,MATCH(C1417,Radicals!$A$2:$A$215,0))</f>
        <v>7</v>
      </c>
      <c r="G1417" s="8" t="n">
        <v>10</v>
      </c>
    </row>
    <row r="1418" customFormat="false" ht="17.35" hidden="false" customHeight="false" outlineLevel="0" collapsed="false">
      <c r="A1418" s="8" t="n">
        <v>1417</v>
      </c>
      <c r="B1418" s="9" t="s">
        <v>2415</v>
      </c>
      <c r="C1418" s="8" t="n">
        <v>72</v>
      </c>
      <c r="D1418" s="9" t="str">
        <f aca="false">INDEX(Radicals!$B$2:$B$215,MATCH(C1418,Radicals!$A$2:$A$215,0))</f>
        <v>日</v>
      </c>
      <c r="E1418" s="10" t="str">
        <f aca="false">INDEX(Radicals!$G$2:$G$215,MATCH(C1418,Radicals!$A$2:$A$215,0))</f>
        <v>sun, day</v>
      </c>
      <c r="F1418" s="8" t="n">
        <f aca="false">INDEX(Radicals!$D$2:$D$215,MATCH(C1418,Radicals!$A$2:$A$215,0))</f>
        <v>4</v>
      </c>
      <c r="G1418" s="8" t="n">
        <v>6</v>
      </c>
    </row>
    <row r="1419" customFormat="false" ht="17.35" hidden="false" customHeight="false" outlineLevel="0" collapsed="false">
      <c r="A1419" s="8" t="n">
        <v>1418</v>
      </c>
      <c r="B1419" s="9" t="s">
        <v>2416</v>
      </c>
      <c r="C1419" s="8" t="n">
        <v>61</v>
      </c>
      <c r="D1419" s="9" t="str">
        <f aca="false">INDEX(Radicals!$B$2:$B$215,MATCH(C1419,Radicals!$A$2:$A$215,0))</f>
        <v>心</v>
      </c>
      <c r="E1419" s="10" t="str">
        <f aca="false">INDEX(Radicals!$G$2:$G$215,MATCH(C1419,Radicals!$A$2:$A$215,0))</f>
        <v>heart, mind</v>
      </c>
      <c r="F1419" s="8" t="n">
        <f aca="false">INDEX(Radicals!$D$2:$D$215,MATCH(C1419,Radicals!$A$2:$A$215,0))</f>
        <v>4</v>
      </c>
      <c r="G1419" s="8" t="n">
        <v>10</v>
      </c>
    </row>
    <row r="1420" customFormat="false" ht="17.35" hidden="false" customHeight="false" outlineLevel="0" collapsed="false">
      <c r="A1420" s="8" t="n">
        <v>1419</v>
      </c>
      <c r="B1420" s="9" t="s">
        <v>2417</v>
      </c>
      <c r="C1420" s="8" t="n">
        <v>80</v>
      </c>
      <c r="D1420" s="9" t="str">
        <f aca="false">INDEX(Radicals!$B$2:$B$215,MATCH(C1420,Radicals!$A$2:$A$215,0))</f>
        <v>毋</v>
      </c>
      <c r="E1420" s="10" t="str">
        <f aca="false">INDEX(Radicals!$G$2:$G$215,MATCH(C1420,Radicals!$A$2:$A$215,0))</f>
        <v>do not, mother</v>
      </c>
      <c r="F1420" s="8" t="n">
        <f aca="false">INDEX(Radicals!$D$2:$D$215,MATCH(C1420,Radicals!$A$2:$A$215,0))</f>
        <v>4</v>
      </c>
      <c r="G1420" s="8" t="n">
        <v>8</v>
      </c>
    </row>
    <row r="1421" customFormat="false" ht="17.35" hidden="false" customHeight="false" outlineLevel="0" collapsed="false">
      <c r="A1421" s="8" t="n">
        <v>1420</v>
      </c>
      <c r="B1421" s="9" t="s">
        <v>2418</v>
      </c>
      <c r="C1421" s="8" t="n">
        <v>187</v>
      </c>
      <c r="D1421" s="9" t="str">
        <f aca="false">INDEX(Radicals!$B$2:$B$215,MATCH(C1421,Radicals!$A$2:$A$215,0))</f>
        <v>馬</v>
      </c>
      <c r="E1421" s="10" t="str">
        <f aca="false">INDEX(Radicals!$G$2:$G$215,MATCH(C1421,Radicals!$A$2:$A$215,0))</f>
        <v>horse</v>
      </c>
      <c r="F1421" s="8" t="n">
        <f aca="false">INDEX(Radicals!$D$2:$D$215,MATCH(C1421,Radicals!$A$2:$A$215,0))</f>
        <v>10</v>
      </c>
      <c r="G1421" s="8" t="n">
        <v>20</v>
      </c>
    </row>
    <row r="1422" customFormat="false" ht="17.35" hidden="false" customHeight="false" outlineLevel="0" collapsed="false">
      <c r="A1422" s="8" t="n">
        <v>1421</v>
      </c>
      <c r="B1422" s="9" t="s">
        <v>2419</v>
      </c>
      <c r="C1422" s="8" t="n">
        <v>60</v>
      </c>
      <c r="D1422" s="9" t="str">
        <f aca="false">INDEX(Radicals!$B$2:$B$215,MATCH(C1422,Radicals!$A$2:$A$215,0))</f>
        <v>彳</v>
      </c>
      <c r="E1422" s="10" t="str">
        <f aca="false">INDEX(Radicals!$G$2:$G$215,MATCH(C1422,Radicals!$A$2:$A$215,0))</f>
        <v>step, small step</v>
      </c>
      <c r="F1422" s="8" t="n">
        <f aca="false">INDEX(Radicals!$D$2:$D$215,MATCH(C1422,Radicals!$A$2:$A$215,0))</f>
        <v>3</v>
      </c>
      <c r="G1422" s="8" t="n">
        <v>8</v>
      </c>
    </row>
    <row r="1423" customFormat="false" ht="17.35" hidden="false" customHeight="false" outlineLevel="0" collapsed="false">
      <c r="A1423" s="8" t="n">
        <v>1422</v>
      </c>
      <c r="B1423" s="9" t="s">
        <v>796</v>
      </c>
      <c r="C1423" s="8" t="n">
        <v>151</v>
      </c>
      <c r="D1423" s="9" t="str">
        <f aca="false">INDEX(Radicals!$B$2:$B$215,MATCH(C1423,Radicals!$A$2:$A$215,0))</f>
        <v>豆</v>
      </c>
      <c r="E1423" s="10" t="str">
        <f aca="false">INDEX(Radicals!$G$2:$G$215,MATCH(C1423,Radicals!$A$2:$A$215,0))</f>
        <v>bean</v>
      </c>
      <c r="F1423" s="8" t="n">
        <f aca="false">INDEX(Radicals!$D$2:$D$215,MATCH(C1423,Radicals!$A$2:$A$215,0))</f>
        <v>7</v>
      </c>
      <c r="G1423" s="8" t="n">
        <v>7</v>
      </c>
    </row>
    <row r="1424" customFormat="false" ht="17.35" hidden="false" customHeight="false" outlineLevel="0" collapsed="false">
      <c r="A1424" s="8" t="n">
        <v>1423</v>
      </c>
      <c r="B1424" s="9" t="s">
        <v>2420</v>
      </c>
      <c r="C1424" s="8" t="n">
        <v>162</v>
      </c>
      <c r="D1424" s="9" t="str">
        <f aca="false">INDEX(Radicals!$B$2:$B$215,MATCH(C1424,Radicals!$A$2:$A$215,0))</f>
        <v>辵</v>
      </c>
      <c r="E1424" s="10" t="str">
        <f aca="false">INDEX(Radicals!$G$2:$G$215,MATCH(C1424,Radicals!$A$2:$A$215,0))</f>
        <v>walk, movement</v>
      </c>
      <c r="F1424" s="8" t="n">
        <f aca="false">INDEX(Radicals!$D$2:$D$215,MATCH(C1424,Radicals!$A$2:$A$215,0))</f>
        <v>7</v>
      </c>
      <c r="G1424" s="8" t="n">
        <v>12</v>
      </c>
    </row>
    <row r="1425" customFormat="false" ht="17.35" hidden="false" customHeight="false" outlineLevel="0" collapsed="false">
      <c r="A1425" s="8" t="n">
        <v>1424</v>
      </c>
      <c r="B1425" s="9" t="s">
        <v>2421</v>
      </c>
      <c r="C1425" s="8" t="n">
        <v>72</v>
      </c>
      <c r="D1425" s="9" t="str">
        <f aca="false">INDEX(Radicals!$B$2:$B$215,MATCH(C1425,Radicals!$A$2:$A$215,0))</f>
        <v>日</v>
      </c>
      <c r="E1425" s="10" t="str">
        <f aca="false">INDEX(Radicals!$G$2:$G$215,MATCH(C1425,Radicals!$A$2:$A$215,0))</f>
        <v>sun, day</v>
      </c>
      <c r="F1425" s="8" t="n">
        <f aca="false">INDEX(Radicals!$D$2:$D$215,MATCH(C1425,Radicals!$A$2:$A$215,0))</f>
        <v>4</v>
      </c>
      <c r="G1425" s="8" t="n">
        <v>12</v>
      </c>
    </row>
    <row r="1426" customFormat="false" ht="17.35" hidden="false" customHeight="false" outlineLevel="0" collapsed="false">
      <c r="A1426" s="8" t="n">
        <v>1425</v>
      </c>
      <c r="B1426" s="9" t="s">
        <v>2422</v>
      </c>
      <c r="C1426" s="8" t="n">
        <v>94</v>
      </c>
      <c r="D1426" s="9" t="str">
        <f aca="false">INDEX(Radicals!$B$2:$B$215,MATCH(C1426,Radicals!$A$2:$A$215,0))</f>
        <v>犬</v>
      </c>
      <c r="E1426" s="10" t="str">
        <f aca="false">INDEX(Radicals!$G$2:$G$215,MATCH(C1426,Radicals!$A$2:$A$215,0))</f>
        <v>dog</v>
      </c>
      <c r="F1426" s="8" t="n">
        <f aca="false">INDEX(Radicals!$D$2:$D$215,MATCH(C1426,Radicals!$A$2:$A$215,0))</f>
        <v>4</v>
      </c>
      <c r="G1426" s="8" t="n">
        <v>7</v>
      </c>
    </row>
    <row r="1427" customFormat="false" ht="17.35" hidden="false" customHeight="false" outlineLevel="0" collapsed="false">
      <c r="A1427" s="8" t="n">
        <v>1426</v>
      </c>
      <c r="B1427" s="9" t="s">
        <v>2423</v>
      </c>
      <c r="C1427" s="8" t="n">
        <v>30</v>
      </c>
      <c r="D1427" s="9" t="str">
        <f aca="false">INDEX(Radicals!$B$2:$B$215,MATCH(C1427,Radicals!$A$2:$A$215,0))</f>
        <v>口</v>
      </c>
      <c r="E1427" s="10" t="str">
        <f aca="false">INDEX(Radicals!$G$2:$G$215,MATCH(C1427,Radicals!$A$2:$A$215,0))</f>
        <v>mouth</v>
      </c>
      <c r="F1427" s="8" t="n">
        <f aca="false">INDEX(Radicals!$D$2:$D$215,MATCH(C1427,Radicals!$A$2:$A$215,0))</f>
        <v>3</v>
      </c>
      <c r="G1427" s="8" t="n">
        <v>6</v>
      </c>
    </row>
    <row r="1428" customFormat="false" ht="17.35" hidden="false" customHeight="false" outlineLevel="0" collapsed="false">
      <c r="A1428" s="8" t="n">
        <v>1427</v>
      </c>
      <c r="B1428" s="9" t="s">
        <v>2424</v>
      </c>
      <c r="C1428" s="8" t="n">
        <v>75</v>
      </c>
      <c r="D1428" s="9" t="str">
        <f aca="false">INDEX(Radicals!$B$2:$B$215,MATCH(C1428,Radicals!$A$2:$A$215,0))</f>
        <v>木</v>
      </c>
      <c r="E1428" s="10" t="str">
        <f aca="false">INDEX(Radicals!$G$2:$G$215,MATCH(C1428,Radicals!$A$2:$A$215,0))</f>
        <v>tree, wood</v>
      </c>
      <c r="F1428" s="8" t="n">
        <f aca="false">INDEX(Radicals!$D$2:$D$215,MATCH(C1428,Radicals!$A$2:$A$215,0))</f>
        <v>4</v>
      </c>
      <c r="G1428" s="8" t="n">
        <v>9</v>
      </c>
    </row>
    <row r="1429" customFormat="false" ht="17.35" hidden="false" customHeight="false" outlineLevel="0" collapsed="false">
      <c r="A1429" s="8" t="n">
        <v>1428</v>
      </c>
      <c r="B1429" s="9" t="s">
        <v>2425</v>
      </c>
      <c r="C1429" s="8" t="n">
        <v>46</v>
      </c>
      <c r="D1429" s="9" t="str">
        <f aca="false">INDEX(Radicals!$B$2:$B$215,MATCH(C1429,Radicals!$A$2:$A$215,0))</f>
        <v>山</v>
      </c>
      <c r="E1429" s="10" t="str">
        <f aca="false">INDEX(Radicals!$G$2:$G$215,MATCH(C1429,Radicals!$A$2:$A$215,0))</f>
        <v>mountain</v>
      </c>
      <c r="F1429" s="8" t="n">
        <f aca="false">INDEX(Radicals!$D$2:$D$215,MATCH(C1429,Radicals!$A$2:$A$215,0))</f>
        <v>3</v>
      </c>
      <c r="G1429" s="8" t="n">
        <v>7</v>
      </c>
    </row>
    <row r="1430" customFormat="false" ht="17.35" hidden="false" customHeight="false" outlineLevel="0" collapsed="false">
      <c r="A1430" s="8" t="n">
        <v>1429</v>
      </c>
      <c r="B1430" s="9" t="s">
        <v>2426</v>
      </c>
      <c r="C1430" s="8" t="n">
        <v>170</v>
      </c>
      <c r="D1430" s="9" t="str">
        <f aca="false">INDEX(Radicals!$B$2:$B$215,MATCH(C1430,Radicals!$A$2:$A$215,0))</f>
        <v>阜</v>
      </c>
      <c r="E1430" s="10" t="str">
        <f aca="false">INDEX(Radicals!$G$2:$G$215,MATCH(C1430,Radicals!$A$2:$A$215,0))</f>
        <v>mound, hill</v>
      </c>
      <c r="F1430" s="8" t="n">
        <f aca="false">INDEX(Radicals!$D$2:$D$215,MATCH(C1430,Radicals!$A$2:$A$215,0))</f>
        <v>8</v>
      </c>
      <c r="G1430" s="8" t="n">
        <v>10</v>
      </c>
    </row>
    <row r="1431" customFormat="false" ht="17.35" hidden="false" customHeight="false" outlineLevel="0" collapsed="false">
      <c r="A1431" s="8" t="n">
        <v>1430</v>
      </c>
      <c r="B1431" s="9" t="s">
        <v>2427</v>
      </c>
      <c r="C1431" s="8" t="n">
        <v>120</v>
      </c>
      <c r="D1431" s="9" t="str">
        <f aca="false">INDEX(Radicals!$B$2:$B$215,MATCH(C1431,Radicals!$A$2:$A$215,0))</f>
        <v>糸</v>
      </c>
      <c r="E1431" s="10" t="str">
        <f aca="false">INDEX(Radicals!$G$2:$G$215,MATCH(C1431,Radicals!$A$2:$A$215,0))</f>
        <v>thread, silk</v>
      </c>
      <c r="F1431" s="8" t="n">
        <f aca="false">INDEX(Radicals!$D$2:$D$215,MATCH(C1431,Radicals!$A$2:$A$215,0))</f>
        <v>6</v>
      </c>
      <c r="G1431" s="8" t="n">
        <v>16</v>
      </c>
    </row>
    <row r="1432" customFormat="false" ht="17.35" hidden="false" customHeight="false" outlineLevel="0" collapsed="false">
      <c r="A1432" s="8" t="n">
        <v>1431</v>
      </c>
      <c r="B1432" s="9" t="s">
        <v>2428</v>
      </c>
      <c r="C1432" s="8" t="n">
        <v>32</v>
      </c>
      <c r="D1432" s="9" t="str">
        <f aca="false">INDEX(Radicals!$B$2:$B$215,MATCH(C1432,Radicals!$A$2:$A$215,0))</f>
        <v>土</v>
      </c>
      <c r="E1432" s="10" t="str">
        <f aca="false">INDEX(Radicals!$G$2:$G$215,MATCH(C1432,Radicals!$A$2:$A$215,0))</f>
        <v>earth, soil</v>
      </c>
      <c r="F1432" s="8" t="n">
        <f aca="false">INDEX(Radicals!$D$2:$D$215,MATCH(C1432,Radicals!$A$2:$A$215,0))</f>
        <v>3</v>
      </c>
      <c r="G1432" s="8" t="n">
        <v>11</v>
      </c>
    </row>
    <row r="1433" customFormat="false" ht="17.35" hidden="false" customHeight="false" outlineLevel="0" collapsed="false">
      <c r="A1433" s="8" t="n">
        <v>1432</v>
      </c>
      <c r="B1433" s="9" t="s">
        <v>2429</v>
      </c>
      <c r="C1433" s="8" t="n">
        <v>145</v>
      </c>
      <c r="D1433" s="9" t="str">
        <f aca="false">INDEX(Radicals!$B$2:$B$215,MATCH(C1433,Radicals!$A$2:$A$215,0))</f>
        <v>衣</v>
      </c>
      <c r="E1433" s="10" t="str">
        <f aca="false">INDEX(Radicals!$G$2:$G$215,MATCH(C1433,Radicals!$A$2:$A$215,0))</f>
        <v>clothes</v>
      </c>
      <c r="F1433" s="8" t="n">
        <f aca="false">INDEX(Radicals!$D$2:$D$215,MATCH(C1433,Radicals!$A$2:$A$215,0))</f>
        <v>6</v>
      </c>
      <c r="G1433" s="8" t="n">
        <v>10</v>
      </c>
    </row>
    <row r="1434" customFormat="false" ht="17.35" hidden="false" customHeight="false" outlineLevel="0" collapsed="false">
      <c r="A1434" s="8" t="n">
        <v>1433</v>
      </c>
      <c r="B1434" s="9" t="s">
        <v>2430</v>
      </c>
      <c r="C1434" s="8" t="n">
        <v>137</v>
      </c>
      <c r="D1434" s="9" t="str">
        <f aca="false">INDEX(Radicals!$B$2:$B$215,MATCH(C1434,Radicals!$A$2:$A$215,0))</f>
        <v>舟</v>
      </c>
      <c r="E1434" s="10" t="str">
        <f aca="false">INDEX(Radicals!$G$2:$G$215,MATCH(C1434,Radicals!$A$2:$A$215,0))</f>
        <v>boat</v>
      </c>
      <c r="F1434" s="8" t="n">
        <f aca="false">INDEX(Radicals!$D$2:$D$215,MATCH(C1434,Radicals!$A$2:$A$215,0))</f>
        <v>6</v>
      </c>
      <c r="G1434" s="8" t="n">
        <v>13</v>
      </c>
    </row>
    <row r="1435" customFormat="false" ht="17.35" hidden="false" customHeight="false" outlineLevel="0" collapsed="false">
      <c r="A1435" s="8" t="n">
        <v>1434</v>
      </c>
      <c r="B1435" s="9" t="s">
        <v>2431</v>
      </c>
      <c r="C1435" s="8" t="n">
        <v>44</v>
      </c>
      <c r="D1435" s="9" t="str">
        <f aca="false">INDEX(Radicals!$B$2:$B$215,MATCH(C1435,Radicals!$A$2:$A$215,0))</f>
        <v>尸</v>
      </c>
      <c r="E1435" s="10" t="str">
        <f aca="false">INDEX(Radicals!$G$2:$G$215,MATCH(C1435,Radicals!$A$2:$A$215,0))</f>
        <v>corpse, body</v>
      </c>
      <c r="F1435" s="8" t="n">
        <f aca="false">INDEX(Radicals!$D$2:$D$215,MATCH(C1435,Radicals!$A$2:$A$215,0))</f>
        <v>3</v>
      </c>
      <c r="G1435" s="8" t="n">
        <v>8</v>
      </c>
    </row>
    <row r="1436" customFormat="false" ht="17.35" hidden="false" customHeight="false" outlineLevel="0" collapsed="false">
      <c r="A1436" s="8" t="n">
        <v>1435</v>
      </c>
      <c r="B1436" s="9" t="s">
        <v>2432</v>
      </c>
      <c r="C1436" s="8" t="n">
        <v>60</v>
      </c>
      <c r="D1436" s="9" t="str">
        <f aca="false">INDEX(Radicals!$B$2:$B$215,MATCH(C1436,Radicals!$A$2:$A$215,0))</f>
        <v>彳</v>
      </c>
      <c r="E1436" s="10" t="str">
        <f aca="false">INDEX(Radicals!$G$2:$G$215,MATCH(C1436,Radicals!$A$2:$A$215,0))</f>
        <v>step, small step</v>
      </c>
      <c r="F1436" s="8" t="n">
        <f aca="false">INDEX(Radicals!$D$2:$D$215,MATCH(C1436,Radicals!$A$2:$A$215,0))</f>
        <v>3</v>
      </c>
      <c r="G1436" s="8" t="n">
        <v>8</v>
      </c>
    </row>
    <row r="1437" customFormat="false" ht="17.35" hidden="false" customHeight="false" outlineLevel="0" collapsed="false">
      <c r="A1437" s="8" t="n">
        <v>1436</v>
      </c>
      <c r="B1437" s="9" t="s">
        <v>2433</v>
      </c>
      <c r="C1437" s="8" t="n">
        <v>85</v>
      </c>
      <c r="D1437" s="9" t="str">
        <f aca="false">INDEX(Radicals!$B$2:$B$215,MATCH(C1437,Radicals!$A$2:$A$215,0))</f>
        <v>水</v>
      </c>
      <c r="E1437" s="10" t="str">
        <f aca="false">INDEX(Radicals!$G$2:$G$215,MATCH(C1437,Radicals!$A$2:$A$215,0))</f>
        <v>water</v>
      </c>
      <c r="F1437" s="8" t="n">
        <f aca="false">INDEX(Radicals!$D$2:$D$215,MATCH(C1437,Radicals!$A$2:$A$215,0))</f>
        <v>4</v>
      </c>
      <c r="G1437" s="8" t="n">
        <v>11</v>
      </c>
    </row>
    <row r="1438" customFormat="false" ht="17.35" hidden="false" customHeight="false" outlineLevel="0" collapsed="false">
      <c r="A1438" s="8" t="n">
        <v>1437</v>
      </c>
      <c r="B1438" s="9" t="s">
        <v>2434</v>
      </c>
      <c r="C1438" s="8" t="n">
        <v>64</v>
      </c>
      <c r="D1438" s="9" t="str">
        <f aca="false">INDEX(Radicals!$B$2:$B$215,MATCH(C1438,Radicals!$A$2:$A$215,0))</f>
        <v>手</v>
      </c>
      <c r="E1438" s="10" t="str">
        <f aca="false">INDEX(Radicals!$G$2:$G$215,MATCH(C1438,Radicals!$A$2:$A$215,0))</f>
        <v>hand</v>
      </c>
      <c r="F1438" s="8" t="n">
        <f aca="false">INDEX(Radicals!$D$2:$D$215,MATCH(C1438,Radicals!$A$2:$A$215,0))</f>
        <v>4</v>
      </c>
      <c r="G1438" s="8" t="n">
        <v>8</v>
      </c>
    </row>
    <row r="1439" customFormat="false" ht="17.35" hidden="false" customHeight="false" outlineLevel="0" collapsed="false">
      <c r="A1439" s="8" t="n">
        <v>1438</v>
      </c>
      <c r="B1439" s="9" t="s">
        <v>2435</v>
      </c>
      <c r="C1439" s="8" t="n">
        <v>64</v>
      </c>
      <c r="D1439" s="9" t="str">
        <f aca="false">INDEX(Radicals!$B$2:$B$215,MATCH(C1439,Radicals!$A$2:$A$215,0))</f>
        <v>手</v>
      </c>
      <c r="E1439" s="10" t="str">
        <f aca="false">INDEX(Radicals!$G$2:$G$215,MATCH(C1439,Radicals!$A$2:$A$215,0))</f>
        <v>hand</v>
      </c>
      <c r="F1439" s="8" t="n">
        <f aca="false">INDEX(Radicals!$D$2:$D$215,MATCH(C1439,Radicals!$A$2:$A$215,0))</f>
        <v>4</v>
      </c>
      <c r="G1439" s="8" t="n">
        <v>8</v>
      </c>
    </row>
    <row r="1440" customFormat="false" ht="17.35" hidden="false" customHeight="false" outlineLevel="0" collapsed="false">
      <c r="A1440" s="8" t="n">
        <v>1439</v>
      </c>
      <c r="B1440" s="9" t="s">
        <v>2436</v>
      </c>
      <c r="C1440" s="8" t="n">
        <v>54</v>
      </c>
      <c r="D1440" s="9" t="str">
        <f aca="false">INDEX(Radicals!$B$2:$B$215,MATCH(C1440,Radicals!$A$2:$A$215,0))</f>
        <v>廴</v>
      </c>
      <c r="E1440" s="10" t="str">
        <f aca="false">INDEX(Radicals!$G$2:$G$215,MATCH(C1440,Radicals!$A$2:$A$215,0))</f>
        <v>long stride</v>
      </c>
      <c r="F1440" s="8" t="n">
        <f aca="false">INDEX(Radicals!$D$2:$D$215,MATCH(C1440,Radicals!$A$2:$A$215,0))</f>
        <v>3</v>
      </c>
      <c r="G1440" s="8" t="n">
        <v>7</v>
      </c>
    </row>
    <row r="1441" customFormat="false" ht="17.35" hidden="false" customHeight="false" outlineLevel="0" collapsed="false">
      <c r="A1441" s="8" t="n">
        <v>1440</v>
      </c>
      <c r="B1441" s="9" t="s">
        <v>2437</v>
      </c>
      <c r="C1441" s="8" t="n">
        <v>167</v>
      </c>
      <c r="D1441" s="9" t="str">
        <f aca="false">INDEX(Radicals!$B$2:$B$215,MATCH(C1441,Radicals!$A$2:$A$215,0))</f>
        <v>金</v>
      </c>
      <c r="E1441" s="10" t="str">
        <f aca="false">INDEX(Radicals!$G$2:$G$215,MATCH(C1441,Radicals!$A$2:$A$215,0))</f>
        <v>metal, gold</v>
      </c>
      <c r="F1441" s="8" t="n">
        <f aca="false">INDEX(Radicals!$D$2:$D$215,MATCH(C1441,Radicals!$A$2:$A$215,0))</f>
        <v>8</v>
      </c>
      <c r="G1441" s="8" t="n">
        <v>16</v>
      </c>
    </row>
    <row r="1442" customFormat="false" ht="17.35" hidden="false" customHeight="false" outlineLevel="0" collapsed="false">
      <c r="A1442" s="8" t="n">
        <v>1441</v>
      </c>
      <c r="B1442" s="9" t="s">
        <v>2438</v>
      </c>
      <c r="C1442" s="8" t="n">
        <v>15</v>
      </c>
      <c r="D1442" s="9" t="str">
        <f aca="false">INDEX(Radicals!$B$2:$B$215,MATCH(C1442,Radicals!$A$2:$A$215,0))</f>
        <v>冫</v>
      </c>
      <c r="E1442" s="10" t="str">
        <f aca="false">INDEX(Radicals!$G$2:$G$215,MATCH(C1442,Radicals!$A$2:$A$215,0))</f>
        <v>ice</v>
      </c>
      <c r="F1442" s="8" t="n">
        <f aca="false">INDEX(Radicals!$D$2:$D$215,MATCH(C1442,Radicals!$A$2:$A$215,0))</f>
        <v>2</v>
      </c>
      <c r="G1442" s="8" t="n">
        <v>10</v>
      </c>
    </row>
    <row r="1443" customFormat="false" ht="17.35" hidden="false" customHeight="false" outlineLevel="0" collapsed="false">
      <c r="A1443" s="8" t="n">
        <v>1442</v>
      </c>
      <c r="B1443" s="9" t="s">
        <v>2439</v>
      </c>
      <c r="C1443" s="8" t="n">
        <v>72</v>
      </c>
      <c r="D1443" s="9" t="str">
        <f aca="false">INDEX(Radicals!$B$2:$B$215,MATCH(C1443,Radicals!$A$2:$A$215,0))</f>
        <v>日</v>
      </c>
      <c r="E1443" s="10" t="str">
        <f aca="false">INDEX(Radicals!$G$2:$G$215,MATCH(C1443,Radicals!$A$2:$A$215,0))</f>
        <v>sun, day</v>
      </c>
      <c r="F1443" s="8" t="n">
        <f aca="false">INDEX(Radicals!$D$2:$D$215,MATCH(C1443,Radicals!$A$2:$A$215,0))</f>
        <v>4</v>
      </c>
      <c r="G1443" s="8" t="n">
        <v>12</v>
      </c>
    </row>
    <row r="1444" customFormat="false" ht="17.35" hidden="false" customHeight="false" outlineLevel="0" collapsed="false">
      <c r="A1444" s="8" t="n">
        <v>1443</v>
      </c>
      <c r="B1444" s="9" t="s">
        <v>2440</v>
      </c>
      <c r="C1444" s="8" t="n">
        <v>64</v>
      </c>
      <c r="D1444" s="9" t="str">
        <f aca="false">INDEX(Radicals!$B$2:$B$215,MATCH(C1444,Radicals!$A$2:$A$215,0))</f>
        <v>手</v>
      </c>
      <c r="E1444" s="10" t="str">
        <f aca="false">INDEX(Radicals!$G$2:$G$215,MATCH(C1444,Radicals!$A$2:$A$215,0))</f>
        <v>hand</v>
      </c>
      <c r="F1444" s="8" t="n">
        <f aca="false">INDEX(Radicals!$D$2:$D$215,MATCH(C1444,Radicals!$A$2:$A$215,0))</f>
        <v>4</v>
      </c>
      <c r="G1444" s="8" t="n">
        <v>8</v>
      </c>
    </row>
    <row r="1445" customFormat="false" ht="17.35" hidden="false" customHeight="false" outlineLevel="0" collapsed="false">
      <c r="A1445" s="8" t="n">
        <v>1444</v>
      </c>
      <c r="B1445" s="9" t="s">
        <v>2441</v>
      </c>
      <c r="C1445" s="8" t="n">
        <v>112</v>
      </c>
      <c r="D1445" s="9" t="str">
        <f aca="false">INDEX(Radicals!$B$2:$B$215,MATCH(C1445,Radicals!$A$2:$A$215,0))</f>
        <v>石</v>
      </c>
      <c r="E1445" s="10" t="str">
        <f aca="false">INDEX(Radicals!$G$2:$G$215,MATCH(C1445,Radicals!$A$2:$A$215,0))</f>
        <v>stone</v>
      </c>
      <c r="F1445" s="8" t="n">
        <f aca="false">INDEX(Radicals!$D$2:$D$215,MATCH(C1445,Radicals!$A$2:$A$215,0))</f>
        <v>5</v>
      </c>
      <c r="G1445" s="8" t="n">
        <v>17</v>
      </c>
    </row>
    <row r="1446" customFormat="false" ht="17.35" hidden="false" customHeight="false" outlineLevel="0" collapsed="false">
      <c r="A1446" s="8" t="n">
        <v>1445</v>
      </c>
      <c r="B1446" s="9" t="s">
        <v>2442</v>
      </c>
      <c r="C1446" s="8" t="n">
        <v>37</v>
      </c>
      <c r="D1446" s="9" t="str">
        <f aca="false">INDEX(Radicals!$B$2:$B$215,MATCH(C1446,Radicals!$A$2:$A$215,0))</f>
        <v>大</v>
      </c>
      <c r="E1446" s="10" t="str">
        <f aca="false">INDEX(Radicals!$G$2:$G$215,MATCH(C1446,Radicals!$A$2:$A$215,0))</f>
        <v>big</v>
      </c>
      <c r="F1446" s="8" t="n">
        <f aca="false">INDEX(Radicals!$D$2:$D$215,MATCH(C1446,Radicals!$A$2:$A$215,0))</f>
        <v>3</v>
      </c>
      <c r="G1446" s="8" t="n">
        <v>13</v>
      </c>
    </row>
    <row r="1447" customFormat="false" ht="17.35" hidden="false" customHeight="false" outlineLevel="0" collapsed="false">
      <c r="A1447" s="8" t="n">
        <v>1446</v>
      </c>
      <c r="B1447" s="9" t="s">
        <v>2443</v>
      </c>
      <c r="C1447" s="8" t="n">
        <v>38</v>
      </c>
      <c r="D1447" s="9" t="str">
        <f aca="false">INDEX(Radicals!$B$2:$B$215,MATCH(C1447,Radicals!$A$2:$A$215,0))</f>
        <v>女</v>
      </c>
      <c r="E1447" s="10" t="str">
        <f aca="false">INDEX(Radicals!$G$2:$G$215,MATCH(C1447,Radicals!$A$2:$A$215,0))</f>
        <v>woman</v>
      </c>
      <c r="F1447" s="8" t="n">
        <f aca="false">INDEX(Radicals!$D$2:$D$215,MATCH(C1447,Radicals!$A$2:$A$215,0))</f>
        <v>3</v>
      </c>
      <c r="G1447" s="8" t="n">
        <v>8</v>
      </c>
    </row>
    <row r="1448" customFormat="false" ht="17.35" hidden="false" customHeight="false" outlineLevel="0" collapsed="false">
      <c r="A1448" s="8" t="n">
        <v>1447</v>
      </c>
      <c r="B1448" s="9" t="s">
        <v>2444</v>
      </c>
      <c r="C1448" s="8" t="n">
        <v>85</v>
      </c>
      <c r="D1448" s="9" t="str">
        <f aca="false">INDEX(Radicals!$B$2:$B$215,MATCH(C1448,Radicals!$A$2:$A$215,0))</f>
        <v>水</v>
      </c>
      <c r="E1448" s="10" t="str">
        <f aca="false">INDEX(Radicals!$G$2:$G$215,MATCH(C1448,Radicals!$A$2:$A$215,0))</f>
        <v>water</v>
      </c>
      <c r="F1448" s="8" t="n">
        <f aca="false">INDEX(Radicals!$D$2:$D$215,MATCH(C1448,Radicals!$A$2:$A$215,0))</f>
        <v>4</v>
      </c>
      <c r="G1448" s="8" t="n">
        <v>10</v>
      </c>
    </row>
    <row r="1449" customFormat="false" ht="17.35" hidden="false" customHeight="false" outlineLevel="0" collapsed="false">
      <c r="A1449" s="8" t="n">
        <v>1448</v>
      </c>
      <c r="B1449" s="9" t="s">
        <v>2445</v>
      </c>
      <c r="C1449" s="8" t="n">
        <v>18</v>
      </c>
      <c r="D1449" s="9" t="str">
        <f aca="false">INDEX(Radicals!$B$2:$B$215,MATCH(C1449,Radicals!$A$2:$A$215,0))</f>
        <v>刀</v>
      </c>
      <c r="E1449" s="10" t="str">
        <f aca="false">INDEX(Radicals!$G$2:$G$215,MATCH(C1449,Radicals!$A$2:$A$215,0))</f>
        <v>knife, sword</v>
      </c>
      <c r="F1449" s="8" t="n">
        <f aca="false">INDEX(Radicals!$D$2:$D$215,MATCH(C1449,Radicals!$A$2:$A$215,0))</f>
        <v>2</v>
      </c>
      <c r="G1449" s="8" t="n">
        <v>11</v>
      </c>
    </row>
    <row r="1450" customFormat="false" ht="17.35" hidden="false" customHeight="false" outlineLevel="0" collapsed="false">
      <c r="A1450" s="8" t="n">
        <v>1449</v>
      </c>
      <c r="B1450" s="9" t="s">
        <v>2446</v>
      </c>
      <c r="C1450" s="8" t="n">
        <v>130</v>
      </c>
      <c r="D1450" s="9" t="str">
        <f aca="false">INDEX(Radicals!$B$2:$B$215,MATCH(C1450,Radicals!$A$2:$A$215,0))</f>
        <v>肉</v>
      </c>
      <c r="E1450" s="10" t="str">
        <f aca="false">INDEX(Radicals!$G$2:$G$215,MATCH(C1450,Radicals!$A$2:$A$215,0))</f>
        <v>meat, flesh</v>
      </c>
      <c r="F1450" s="8" t="n">
        <f aca="false">INDEX(Radicals!$D$2:$D$215,MATCH(C1450,Radicals!$A$2:$A$215,0))</f>
        <v>6</v>
      </c>
      <c r="G1450" s="8" t="n">
        <v>9</v>
      </c>
    </row>
    <row r="1451" customFormat="false" ht="17.35" hidden="false" customHeight="false" outlineLevel="0" collapsed="false">
      <c r="A1451" s="8" t="n">
        <v>1450</v>
      </c>
      <c r="B1451" s="9" t="s">
        <v>2447</v>
      </c>
      <c r="C1451" s="8" t="n">
        <v>85</v>
      </c>
      <c r="D1451" s="9" t="str">
        <f aca="false">INDEX(Radicals!$B$2:$B$215,MATCH(C1451,Radicals!$A$2:$A$215,0))</f>
        <v>水</v>
      </c>
      <c r="E1451" s="10" t="str">
        <f aca="false">INDEX(Radicals!$G$2:$G$215,MATCH(C1451,Radicals!$A$2:$A$215,0))</f>
        <v>water</v>
      </c>
      <c r="F1451" s="8" t="n">
        <f aca="false">INDEX(Radicals!$D$2:$D$215,MATCH(C1451,Radicals!$A$2:$A$215,0))</f>
        <v>4</v>
      </c>
      <c r="G1451" s="8" t="n">
        <v>5</v>
      </c>
    </row>
    <row r="1452" customFormat="false" ht="17.35" hidden="false" customHeight="false" outlineLevel="0" collapsed="false">
      <c r="A1452" s="8" t="n">
        <v>1451</v>
      </c>
      <c r="B1452" s="9" t="s">
        <v>2448</v>
      </c>
      <c r="C1452" s="8" t="n">
        <v>120</v>
      </c>
      <c r="D1452" s="9" t="str">
        <f aca="false">INDEX(Radicals!$B$2:$B$215,MATCH(C1452,Radicals!$A$2:$A$215,0))</f>
        <v>糸</v>
      </c>
      <c r="E1452" s="10" t="str">
        <f aca="false">INDEX(Radicals!$G$2:$G$215,MATCH(C1452,Radicals!$A$2:$A$215,0))</f>
        <v>thread, silk</v>
      </c>
      <c r="F1452" s="8" t="n">
        <f aca="false">INDEX(Radicals!$D$2:$D$215,MATCH(C1452,Radicals!$A$2:$A$215,0))</f>
        <v>6</v>
      </c>
      <c r="G1452" s="8" t="n">
        <v>17</v>
      </c>
    </row>
    <row r="1453" customFormat="false" ht="17.35" hidden="false" customHeight="false" outlineLevel="0" collapsed="false">
      <c r="A1453" s="8" t="n">
        <v>1452</v>
      </c>
      <c r="B1453" s="9" t="s">
        <v>2449</v>
      </c>
      <c r="C1453" s="8" t="n">
        <v>187</v>
      </c>
      <c r="D1453" s="9" t="str">
        <f aca="false">INDEX(Radicals!$B$2:$B$215,MATCH(C1453,Radicals!$A$2:$A$215,0))</f>
        <v>馬</v>
      </c>
      <c r="E1453" s="10" t="str">
        <f aca="false">INDEX(Radicals!$G$2:$G$215,MATCH(C1453,Radicals!$A$2:$A$215,0))</f>
        <v>horse</v>
      </c>
      <c r="F1453" s="8" t="n">
        <f aca="false">INDEX(Radicals!$D$2:$D$215,MATCH(C1453,Radicals!$A$2:$A$215,0))</f>
        <v>10</v>
      </c>
      <c r="G1453" s="8" t="n">
        <v>15</v>
      </c>
    </row>
    <row r="1454" customFormat="false" ht="17.35" hidden="false" customHeight="false" outlineLevel="0" collapsed="false">
      <c r="A1454" s="8" t="n">
        <v>1453</v>
      </c>
      <c r="B1454" s="9" t="s">
        <v>2450</v>
      </c>
      <c r="C1454" s="8" t="n">
        <v>5</v>
      </c>
      <c r="D1454" s="9" t="str">
        <f aca="false">INDEX(Radicals!$B$2:$B$215,MATCH(C1454,Radicals!$A$2:$A$215,0))</f>
        <v>乙</v>
      </c>
      <c r="E1454" s="10" t="str">
        <f aca="false">INDEX(Radicals!$G$2:$G$215,MATCH(C1454,Radicals!$A$2:$A$215,0))</f>
        <v>second, hook</v>
      </c>
      <c r="F1454" s="8" t="n">
        <f aca="false">INDEX(Radicals!$D$2:$D$215,MATCH(C1454,Radicals!$A$2:$A$215,0))</f>
        <v>1</v>
      </c>
      <c r="G1454" s="8" t="n">
        <v>11</v>
      </c>
    </row>
    <row r="1455" customFormat="false" ht="17.35" hidden="false" customHeight="false" outlineLevel="0" collapsed="false">
      <c r="A1455" s="8" t="n">
        <v>1454</v>
      </c>
      <c r="B1455" s="9" t="s">
        <v>2451</v>
      </c>
      <c r="C1455" s="8" t="n">
        <v>141</v>
      </c>
      <c r="D1455" s="9" t="str">
        <f aca="false">INDEX(Radicals!$B$2:$B$215,MATCH(C1455,Radicals!$A$2:$A$215,0))</f>
        <v>虍</v>
      </c>
      <c r="E1455" s="10" t="str">
        <f aca="false">INDEX(Radicals!$G$2:$G$215,MATCH(C1455,Radicals!$A$2:$A$215,0))</f>
        <v>tiger stripes</v>
      </c>
      <c r="F1455" s="8" t="n">
        <f aca="false">INDEX(Radicals!$D$2:$D$215,MATCH(C1455,Radicals!$A$2:$A$215,0))</f>
        <v>6</v>
      </c>
      <c r="G1455" s="8" t="n">
        <v>11</v>
      </c>
    </row>
    <row r="1456" customFormat="false" ht="17.35" hidden="false" customHeight="false" outlineLevel="0" collapsed="false">
      <c r="A1456" s="8" t="n">
        <v>1455</v>
      </c>
      <c r="B1456" s="9" t="s">
        <v>2452</v>
      </c>
      <c r="C1456" s="8" t="n">
        <v>75</v>
      </c>
      <c r="D1456" s="9" t="str">
        <f aca="false">INDEX(Radicals!$B$2:$B$215,MATCH(C1456,Radicals!$A$2:$A$215,0))</f>
        <v>木</v>
      </c>
      <c r="E1456" s="10" t="str">
        <f aca="false">INDEX(Radicals!$G$2:$G$215,MATCH(C1456,Radicals!$A$2:$A$215,0))</f>
        <v>tree, wood</v>
      </c>
      <c r="F1456" s="8" t="n">
        <f aca="false">INDEX(Radicals!$D$2:$D$215,MATCH(C1456,Radicals!$A$2:$A$215,0))</f>
        <v>4</v>
      </c>
      <c r="G1456" s="8" t="n">
        <v>12</v>
      </c>
    </row>
    <row r="1457" customFormat="false" ht="17.35" hidden="false" customHeight="false" outlineLevel="0" collapsed="false">
      <c r="A1457" s="8" t="n">
        <v>1456</v>
      </c>
      <c r="B1457" s="9" t="s">
        <v>2453</v>
      </c>
      <c r="C1457" s="8" t="n">
        <v>40</v>
      </c>
      <c r="D1457" s="9" t="str">
        <f aca="false">INDEX(Radicals!$B$2:$B$215,MATCH(C1457,Radicals!$A$2:$A$215,0))</f>
        <v>宀</v>
      </c>
      <c r="E1457" s="10" t="str">
        <f aca="false">INDEX(Radicals!$G$2:$G$215,MATCH(C1457,Radicals!$A$2:$A$215,0))</f>
        <v>roof</v>
      </c>
      <c r="F1457" s="8" t="n">
        <f aca="false">INDEX(Radicals!$D$2:$D$215,MATCH(C1457,Radicals!$A$2:$A$215,0))</f>
        <v>3</v>
      </c>
      <c r="G1457" s="8" t="n">
        <v>12</v>
      </c>
    </row>
    <row r="1458" customFormat="false" ht="17.35" hidden="false" customHeight="false" outlineLevel="0" collapsed="false">
      <c r="A1458" s="8" t="n">
        <v>1457</v>
      </c>
      <c r="B1458" s="9" t="s">
        <v>2454</v>
      </c>
      <c r="C1458" s="8" t="n">
        <v>39</v>
      </c>
      <c r="D1458" s="9" t="str">
        <f aca="false">INDEX(Radicals!$B$2:$B$215,MATCH(C1458,Radicals!$A$2:$A$215,0))</f>
        <v>子</v>
      </c>
      <c r="E1458" s="10" t="str">
        <f aca="false">INDEX(Radicals!$G$2:$G$215,MATCH(C1458,Radicals!$A$2:$A$215,0))</f>
        <v>child</v>
      </c>
      <c r="F1458" s="8" t="n">
        <f aca="false">INDEX(Radicals!$D$2:$D$215,MATCH(C1458,Radicals!$A$2:$A$215,0))</f>
        <v>3</v>
      </c>
      <c r="G1458" s="8" t="n">
        <v>7</v>
      </c>
    </row>
    <row r="1459" customFormat="false" ht="17.35" hidden="false" customHeight="false" outlineLevel="0" collapsed="false">
      <c r="A1459" s="8" t="n">
        <v>1458</v>
      </c>
      <c r="B1459" s="9" t="s">
        <v>2455</v>
      </c>
      <c r="C1459" s="8" t="n">
        <v>173</v>
      </c>
      <c r="D1459" s="9" t="str">
        <f aca="false">INDEX(Radicals!$B$2:$B$215,MATCH(C1459,Radicals!$A$2:$A$215,0))</f>
        <v>雨</v>
      </c>
      <c r="E1459" s="10" t="str">
        <f aca="false">INDEX(Radicals!$G$2:$G$215,MATCH(C1459,Radicals!$A$2:$A$215,0))</f>
        <v>rain</v>
      </c>
      <c r="F1459" s="8" t="n">
        <f aca="false">INDEX(Radicals!$D$2:$D$215,MATCH(C1459,Radicals!$A$2:$A$215,0))</f>
        <v>8</v>
      </c>
      <c r="G1459" s="8" t="n">
        <v>15</v>
      </c>
    </row>
    <row r="1460" customFormat="false" ht="17.35" hidden="false" customHeight="false" outlineLevel="0" collapsed="false">
      <c r="A1460" s="8" t="n">
        <v>1459</v>
      </c>
      <c r="B1460" s="9" t="s">
        <v>2456</v>
      </c>
      <c r="C1460" s="8" t="n">
        <v>50</v>
      </c>
      <c r="D1460" s="9" t="str">
        <f aca="false">INDEX(Radicals!$B$2:$B$215,MATCH(C1460,Radicals!$A$2:$A$215,0))</f>
        <v>巾</v>
      </c>
      <c r="E1460" s="10" t="str">
        <f aca="false">INDEX(Radicals!$G$2:$G$215,MATCH(C1460,Radicals!$A$2:$A$215,0))</f>
        <v>turban, cloth</v>
      </c>
      <c r="F1460" s="8" t="n">
        <f aca="false">INDEX(Radicals!$D$2:$D$215,MATCH(C1460,Radicals!$A$2:$A$215,0))</f>
        <v>3</v>
      </c>
      <c r="G1460" s="8" t="n">
        <v>11</v>
      </c>
    </row>
    <row r="1461" customFormat="false" ht="17.35" hidden="false" customHeight="false" outlineLevel="0" collapsed="false">
      <c r="A1461" s="8" t="n">
        <v>1460</v>
      </c>
      <c r="B1461" s="9" t="s">
        <v>2457</v>
      </c>
      <c r="C1461" s="8" t="n">
        <v>61</v>
      </c>
      <c r="D1461" s="9" t="str">
        <f aca="false">INDEX(Radicals!$B$2:$B$215,MATCH(C1461,Radicals!$A$2:$A$215,0))</f>
        <v>心</v>
      </c>
      <c r="E1461" s="10" t="str">
        <f aca="false">INDEX(Radicals!$G$2:$G$215,MATCH(C1461,Radicals!$A$2:$A$215,0))</f>
        <v>heart, mind</v>
      </c>
      <c r="F1461" s="8" t="n">
        <f aca="false">INDEX(Radicals!$D$2:$D$215,MATCH(C1461,Radicals!$A$2:$A$215,0))</f>
        <v>4</v>
      </c>
      <c r="G1461" s="8" t="n">
        <v>9</v>
      </c>
    </row>
    <row r="1462" customFormat="false" ht="17.35" hidden="false" customHeight="false" outlineLevel="0" collapsed="false">
      <c r="A1462" s="8" t="n">
        <v>1461</v>
      </c>
      <c r="B1462" s="9" t="s">
        <v>2458</v>
      </c>
      <c r="C1462" s="8" t="n">
        <v>149</v>
      </c>
      <c r="D1462" s="9" t="str">
        <f aca="false">INDEX(Radicals!$B$2:$B$215,MATCH(C1462,Radicals!$A$2:$A$215,0))</f>
        <v>言</v>
      </c>
      <c r="E1462" s="10" t="str">
        <f aca="false">INDEX(Radicals!$G$2:$G$215,MATCH(C1462,Radicals!$A$2:$A$215,0))</f>
        <v>speech, say</v>
      </c>
      <c r="F1462" s="8" t="n">
        <f aca="false">INDEX(Radicals!$D$2:$D$215,MATCH(C1462,Radicals!$A$2:$A$215,0))</f>
        <v>7</v>
      </c>
      <c r="G1462" s="8" t="n">
        <v>16</v>
      </c>
    </row>
    <row r="1463" customFormat="false" ht="17.35" hidden="false" customHeight="false" outlineLevel="0" collapsed="false">
      <c r="A1463" s="8" t="n">
        <v>1462</v>
      </c>
      <c r="B1463" s="9" t="s">
        <v>2459</v>
      </c>
      <c r="C1463" s="8" t="n">
        <v>113</v>
      </c>
      <c r="D1463" s="9" t="str">
        <f aca="false">INDEX(Radicals!$B$2:$B$215,MATCH(C1463,Radicals!$A$2:$A$215,0))</f>
        <v>示</v>
      </c>
      <c r="E1463" s="10" t="str">
        <f aca="false">INDEX(Radicals!$G$2:$G$215,MATCH(C1463,Radicals!$A$2:$A$215,0))</f>
        <v>spirit, altar, show</v>
      </c>
      <c r="F1463" s="8" t="n">
        <f aca="false">INDEX(Radicals!$D$2:$D$215,MATCH(C1463,Radicals!$A$2:$A$215,0))</f>
        <v>5</v>
      </c>
      <c r="G1463" s="8" t="n">
        <v>8</v>
      </c>
    </row>
    <row r="1464" customFormat="false" ht="17.35" hidden="false" customHeight="false" outlineLevel="0" collapsed="false">
      <c r="A1464" s="8" t="n">
        <v>1463</v>
      </c>
      <c r="B1464" s="9" t="s">
        <v>2460</v>
      </c>
      <c r="C1464" s="8" t="n">
        <v>61</v>
      </c>
      <c r="D1464" s="9" t="str">
        <f aca="false">INDEX(Radicals!$B$2:$B$215,MATCH(C1464,Radicals!$A$2:$A$215,0))</f>
        <v>心</v>
      </c>
      <c r="E1464" s="10" t="str">
        <f aca="false">INDEX(Radicals!$G$2:$G$215,MATCH(C1464,Radicals!$A$2:$A$215,0))</f>
        <v>heart, mind</v>
      </c>
      <c r="F1464" s="8" t="n">
        <f aca="false">INDEX(Radicals!$D$2:$D$215,MATCH(C1464,Radicals!$A$2:$A$215,0))</f>
        <v>4</v>
      </c>
      <c r="G1464" s="8" t="n">
        <v>11</v>
      </c>
    </row>
    <row r="1465" customFormat="false" ht="17.35" hidden="false" customHeight="false" outlineLevel="0" collapsed="false">
      <c r="A1465" s="8" t="n">
        <v>1464</v>
      </c>
      <c r="B1465" s="9" t="s">
        <v>2461</v>
      </c>
      <c r="C1465" s="8" t="n">
        <v>141</v>
      </c>
      <c r="D1465" s="9" t="str">
        <f aca="false">INDEX(Radicals!$B$2:$B$215,MATCH(C1465,Radicals!$A$2:$A$215,0))</f>
        <v>虍</v>
      </c>
      <c r="E1465" s="10" t="str">
        <f aca="false">INDEX(Radicals!$G$2:$G$215,MATCH(C1465,Radicals!$A$2:$A$215,0))</f>
        <v>tiger stripes</v>
      </c>
      <c r="F1465" s="8" t="n">
        <f aca="false">INDEX(Radicals!$D$2:$D$215,MATCH(C1465,Radicals!$A$2:$A$215,0))</f>
        <v>6</v>
      </c>
      <c r="G1465" s="8" t="n">
        <v>9</v>
      </c>
    </row>
    <row r="1466" customFormat="false" ht="17.35" hidden="false" customHeight="false" outlineLevel="0" collapsed="false">
      <c r="A1466" s="8" t="n">
        <v>1465</v>
      </c>
      <c r="B1466" s="9" t="s">
        <v>2462</v>
      </c>
      <c r="C1466" s="8" t="n">
        <v>124</v>
      </c>
      <c r="D1466" s="9" t="str">
        <f aca="false">INDEX(Radicals!$B$2:$B$215,MATCH(C1466,Radicals!$A$2:$A$215,0))</f>
        <v>羽</v>
      </c>
      <c r="E1466" s="10" t="str">
        <f aca="false">INDEX(Radicals!$G$2:$G$215,MATCH(C1466,Radicals!$A$2:$A$215,0))</f>
        <v>feather, wing</v>
      </c>
      <c r="F1466" s="8" t="n">
        <f aca="false">INDEX(Radicals!$D$2:$D$215,MATCH(C1466,Radicals!$A$2:$A$215,0))</f>
        <v>6</v>
      </c>
      <c r="G1466" s="8" t="n">
        <v>18</v>
      </c>
    </row>
    <row r="1467" customFormat="false" ht="17.35" hidden="false" customHeight="false" outlineLevel="0" collapsed="false">
      <c r="A1467" s="8" t="n">
        <v>1466</v>
      </c>
      <c r="B1467" s="9" t="s">
        <v>2463</v>
      </c>
      <c r="C1467" s="8" t="n">
        <v>32</v>
      </c>
      <c r="D1467" s="9" t="str">
        <f aca="false">INDEX(Radicals!$B$2:$B$215,MATCH(C1467,Radicals!$A$2:$A$215,0))</f>
        <v>土</v>
      </c>
      <c r="E1467" s="10" t="str">
        <f aca="false">INDEX(Radicals!$G$2:$G$215,MATCH(C1467,Radicals!$A$2:$A$215,0))</f>
        <v>earth, soil</v>
      </c>
      <c r="F1467" s="8" t="n">
        <f aca="false">INDEX(Radicals!$D$2:$D$215,MATCH(C1467,Radicals!$A$2:$A$215,0))</f>
        <v>3</v>
      </c>
      <c r="G1467" s="8" t="n">
        <v>15</v>
      </c>
    </row>
    <row r="1468" customFormat="false" ht="17.35" hidden="false" customHeight="false" outlineLevel="0" collapsed="false">
      <c r="A1468" s="8" t="n">
        <v>1467</v>
      </c>
      <c r="B1468" s="9" t="s">
        <v>2464</v>
      </c>
      <c r="C1468" s="8" t="n">
        <v>85</v>
      </c>
      <c r="D1468" s="9" t="str">
        <f aca="false">INDEX(Radicals!$B$2:$B$215,MATCH(C1468,Radicals!$A$2:$A$215,0))</f>
        <v>水</v>
      </c>
      <c r="E1468" s="10" t="str">
        <f aca="false">INDEX(Radicals!$G$2:$G$215,MATCH(C1468,Radicals!$A$2:$A$215,0))</f>
        <v>water</v>
      </c>
      <c r="F1468" s="8" t="n">
        <f aca="false">INDEX(Radicals!$D$2:$D$215,MATCH(C1468,Radicals!$A$2:$A$215,0))</f>
        <v>4</v>
      </c>
      <c r="G1468" s="8" t="n">
        <v>8</v>
      </c>
    </row>
    <row r="1469" customFormat="false" ht="17.35" hidden="false" customHeight="false" outlineLevel="0" collapsed="false">
      <c r="A1469" s="8" t="n">
        <v>1468</v>
      </c>
      <c r="B1469" s="9" t="s">
        <v>2465</v>
      </c>
      <c r="C1469" s="8" t="n">
        <v>64</v>
      </c>
      <c r="D1469" s="9" t="str">
        <f aca="false">INDEX(Radicals!$B$2:$B$215,MATCH(C1469,Radicals!$A$2:$A$215,0))</f>
        <v>手</v>
      </c>
      <c r="E1469" s="10" t="str">
        <f aca="false">INDEX(Radicals!$G$2:$G$215,MATCH(C1469,Radicals!$A$2:$A$215,0))</f>
        <v>hand</v>
      </c>
      <c r="F1469" s="8" t="n">
        <f aca="false">INDEX(Radicals!$D$2:$D$215,MATCH(C1469,Radicals!$A$2:$A$215,0))</f>
        <v>4</v>
      </c>
      <c r="G1469" s="8" t="n">
        <v>11</v>
      </c>
    </row>
    <row r="1470" customFormat="false" ht="17.35" hidden="false" customHeight="false" outlineLevel="0" collapsed="false">
      <c r="A1470" s="8" t="n">
        <v>1469</v>
      </c>
      <c r="B1470" s="9" t="s">
        <v>2466</v>
      </c>
      <c r="C1470" s="8" t="n">
        <v>130</v>
      </c>
      <c r="D1470" s="9" t="str">
        <f aca="false">INDEX(Radicals!$B$2:$B$215,MATCH(C1470,Radicals!$A$2:$A$215,0))</f>
        <v>肉</v>
      </c>
      <c r="E1470" s="10" t="str">
        <f aca="false">INDEX(Radicals!$G$2:$G$215,MATCH(C1470,Radicals!$A$2:$A$215,0))</f>
        <v>meat, flesh</v>
      </c>
      <c r="F1470" s="8" t="n">
        <f aca="false">INDEX(Radicals!$D$2:$D$215,MATCH(C1470,Radicals!$A$2:$A$215,0))</f>
        <v>6</v>
      </c>
      <c r="G1470" s="8" t="n">
        <v>8</v>
      </c>
    </row>
    <row r="1471" customFormat="false" ht="17.35" hidden="false" customHeight="false" outlineLevel="0" collapsed="false">
      <c r="A1471" s="8" t="n">
        <v>1470</v>
      </c>
      <c r="B1471" s="9" t="s">
        <v>2467</v>
      </c>
      <c r="C1471" s="8" t="n">
        <v>60</v>
      </c>
      <c r="D1471" s="9" t="str">
        <f aca="false">INDEX(Radicals!$B$2:$B$215,MATCH(C1471,Radicals!$A$2:$A$215,0))</f>
        <v>彳</v>
      </c>
      <c r="E1471" s="10" t="str">
        <f aca="false">INDEX(Radicals!$G$2:$G$215,MATCH(C1471,Radicals!$A$2:$A$215,0))</f>
        <v>step, small step</v>
      </c>
      <c r="F1471" s="8" t="n">
        <f aca="false">INDEX(Radicals!$D$2:$D$215,MATCH(C1471,Radicals!$A$2:$A$215,0))</f>
        <v>3</v>
      </c>
      <c r="G1471" s="8" t="n">
        <v>10</v>
      </c>
    </row>
    <row r="1472" customFormat="false" ht="17.35" hidden="false" customHeight="false" outlineLevel="0" collapsed="false">
      <c r="A1472" s="8" t="n">
        <v>1471</v>
      </c>
      <c r="B1472" s="9" t="s">
        <v>2468</v>
      </c>
      <c r="C1472" s="8" t="n">
        <v>119</v>
      </c>
      <c r="D1472" s="9" t="str">
        <f aca="false">INDEX(Radicals!$B$2:$B$215,MATCH(C1472,Radicals!$A$2:$A$215,0))</f>
        <v>米</v>
      </c>
      <c r="E1472" s="10" t="str">
        <f aca="false">INDEX(Radicals!$G$2:$G$215,MATCH(C1472,Radicals!$A$2:$A$215,0))</f>
        <v>rice</v>
      </c>
      <c r="F1472" s="8" t="n">
        <f aca="false">INDEX(Radicals!$D$2:$D$215,MATCH(C1472,Radicals!$A$2:$A$215,0))</f>
        <v>6</v>
      </c>
      <c r="G1472" s="8" t="n">
        <v>16</v>
      </c>
    </row>
    <row r="1473" customFormat="false" ht="17.35" hidden="false" customHeight="false" outlineLevel="0" collapsed="false">
      <c r="A1473" s="8" t="n">
        <v>1472</v>
      </c>
      <c r="B1473" s="9" t="s">
        <v>2469</v>
      </c>
      <c r="C1473" s="8" t="n">
        <v>64</v>
      </c>
      <c r="D1473" s="9" t="str">
        <f aca="false">INDEX(Radicals!$B$2:$B$215,MATCH(C1473,Radicals!$A$2:$A$215,0))</f>
        <v>手</v>
      </c>
      <c r="E1473" s="10" t="str">
        <f aca="false">INDEX(Radicals!$G$2:$G$215,MATCH(C1473,Radicals!$A$2:$A$215,0))</f>
        <v>hand</v>
      </c>
      <c r="F1473" s="8" t="n">
        <f aca="false">INDEX(Radicals!$D$2:$D$215,MATCH(C1473,Radicals!$A$2:$A$215,0))</f>
        <v>4</v>
      </c>
      <c r="G1473" s="8" t="n">
        <v>12</v>
      </c>
    </row>
    <row r="1474" customFormat="false" ht="17.35" hidden="false" customHeight="false" outlineLevel="0" collapsed="false">
      <c r="A1474" s="8" t="n">
        <v>1473</v>
      </c>
      <c r="B1474" s="9" t="s">
        <v>2470</v>
      </c>
      <c r="C1474" s="8" t="n">
        <v>38</v>
      </c>
      <c r="D1474" s="9" t="str">
        <f aca="false">INDEX(Radicals!$B$2:$B$215,MATCH(C1474,Radicals!$A$2:$A$215,0))</f>
        <v>女</v>
      </c>
      <c r="E1474" s="10" t="str">
        <f aca="false">INDEX(Radicals!$G$2:$G$215,MATCH(C1474,Radicals!$A$2:$A$215,0))</f>
        <v>woman</v>
      </c>
      <c r="F1474" s="8" t="n">
        <f aca="false">INDEX(Radicals!$D$2:$D$215,MATCH(C1474,Radicals!$A$2:$A$215,0))</f>
        <v>3</v>
      </c>
      <c r="G1474" s="8" t="n">
        <v>8</v>
      </c>
    </row>
    <row r="1475" customFormat="false" ht="17.35" hidden="false" customHeight="false" outlineLevel="0" collapsed="false">
      <c r="A1475" s="8" t="n">
        <v>1474</v>
      </c>
      <c r="B1475" s="9" t="s">
        <v>995</v>
      </c>
      <c r="C1475" s="8" t="n">
        <v>190</v>
      </c>
      <c r="D1475" s="9" t="str">
        <f aca="false">INDEX(Radicals!$B$2:$B$215,MATCH(C1475,Radicals!$A$2:$A$215,0))</f>
        <v>髟</v>
      </c>
      <c r="E1475" s="10" t="str">
        <f aca="false">INDEX(Radicals!$G$2:$G$215,MATCH(C1475,Radicals!$A$2:$A$215,0))</f>
        <v>long hair</v>
      </c>
      <c r="F1475" s="8" t="n">
        <f aca="false">INDEX(Radicals!$D$2:$D$215,MATCH(C1475,Radicals!$A$2:$A$215,0))</f>
        <v>10</v>
      </c>
      <c r="G1475" s="8" t="n">
        <v>14</v>
      </c>
    </row>
    <row r="1476" customFormat="false" ht="17.35" hidden="false" customHeight="false" outlineLevel="0" collapsed="false">
      <c r="A1476" s="8" t="n">
        <v>1475</v>
      </c>
      <c r="B1476" s="9" t="s">
        <v>2471</v>
      </c>
      <c r="C1476" s="8" t="n">
        <v>61</v>
      </c>
      <c r="D1476" s="9" t="str">
        <f aca="false">INDEX(Radicals!$B$2:$B$215,MATCH(C1476,Radicals!$A$2:$A$215,0))</f>
        <v>心</v>
      </c>
      <c r="E1476" s="10" t="str">
        <f aca="false">INDEX(Radicals!$G$2:$G$215,MATCH(C1476,Radicals!$A$2:$A$215,0))</f>
        <v>heart, mind</v>
      </c>
      <c r="F1476" s="8" t="n">
        <f aca="false">INDEX(Radicals!$D$2:$D$215,MATCH(C1476,Radicals!$A$2:$A$215,0))</f>
        <v>4</v>
      </c>
      <c r="G1476" s="8" t="n">
        <v>6</v>
      </c>
    </row>
    <row r="1477" customFormat="false" ht="17.35" hidden="false" customHeight="false" outlineLevel="0" collapsed="false">
      <c r="A1477" s="8" t="n">
        <v>1476</v>
      </c>
      <c r="B1477" s="9" t="s">
        <v>2472</v>
      </c>
      <c r="C1477" s="8" t="n">
        <v>109</v>
      </c>
      <c r="D1477" s="9" t="str">
        <f aca="false">INDEX(Radicals!$B$2:$B$215,MATCH(C1477,Radicals!$A$2:$A$215,0))</f>
        <v>目</v>
      </c>
      <c r="E1477" s="10" t="str">
        <f aca="false">INDEX(Radicals!$G$2:$G$215,MATCH(C1477,Radicals!$A$2:$A$215,0))</f>
        <v>eye</v>
      </c>
      <c r="F1477" s="8" t="n">
        <f aca="false">INDEX(Radicals!$D$2:$D$215,MATCH(C1477,Radicals!$A$2:$A$215,0))</f>
        <v>5</v>
      </c>
      <c r="G1477" s="8" t="n">
        <v>9</v>
      </c>
    </row>
    <row r="1478" customFormat="false" ht="17.35" hidden="false" customHeight="false" outlineLevel="0" collapsed="false">
      <c r="A1478" s="8" t="n">
        <v>1477</v>
      </c>
      <c r="B1478" s="9" t="s">
        <v>2473</v>
      </c>
      <c r="C1478" s="8" t="n">
        <v>130</v>
      </c>
      <c r="D1478" s="9" t="str">
        <f aca="false">INDEX(Radicals!$B$2:$B$215,MATCH(C1478,Radicals!$A$2:$A$215,0))</f>
        <v>肉</v>
      </c>
      <c r="E1478" s="10" t="str">
        <f aca="false">INDEX(Radicals!$G$2:$G$215,MATCH(C1478,Radicals!$A$2:$A$215,0))</f>
        <v>meat, flesh</v>
      </c>
      <c r="F1478" s="8" t="n">
        <f aca="false">INDEX(Radicals!$D$2:$D$215,MATCH(C1478,Radicals!$A$2:$A$215,0))</f>
        <v>6</v>
      </c>
      <c r="G1478" s="8" t="n">
        <v>10</v>
      </c>
    </row>
    <row r="1479" customFormat="false" ht="17.35" hidden="false" customHeight="false" outlineLevel="0" collapsed="false">
      <c r="A1479" s="8" t="n">
        <v>1478</v>
      </c>
      <c r="B1479" s="9" t="s">
        <v>2474</v>
      </c>
      <c r="C1479" s="8" t="n">
        <v>85</v>
      </c>
      <c r="D1479" s="9" t="str">
        <f aca="false">INDEX(Radicals!$B$2:$B$215,MATCH(C1479,Radicals!$A$2:$A$215,0))</f>
        <v>水</v>
      </c>
      <c r="E1479" s="10" t="str">
        <f aca="false">INDEX(Radicals!$G$2:$G$215,MATCH(C1479,Radicals!$A$2:$A$215,0))</f>
        <v>water</v>
      </c>
      <c r="F1479" s="8" t="n">
        <f aca="false">INDEX(Radicals!$D$2:$D$215,MATCH(C1479,Radicals!$A$2:$A$215,0))</f>
        <v>4</v>
      </c>
      <c r="G1479" s="8" t="n">
        <v>13</v>
      </c>
    </row>
    <row r="1480" customFormat="false" ht="17.35" hidden="false" customHeight="false" outlineLevel="0" collapsed="false">
      <c r="A1480" s="8" t="n">
        <v>1479</v>
      </c>
      <c r="B1480" s="9" t="s">
        <v>2475</v>
      </c>
      <c r="C1480" s="8" t="n">
        <v>64</v>
      </c>
      <c r="D1480" s="9" t="str">
        <f aca="false">INDEX(Radicals!$B$2:$B$215,MATCH(C1480,Radicals!$A$2:$A$215,0))</f>
        <v>手</v>
      </c>
      <c r="E1480" s="10" t="str">
        <f aca="false">INDEX(Radicals!$G$2:$G$215,MATCH(C1480,Radicals!$A$2:$A$215,0))</f>
        <v>hand</v>
      </c>
      <c r="F1480" s="8" t="n">
        <f aca="false">INDEX(Radicals!$D$2:$D$215,MATCH(C1480,Radicals!$A$2:$A$215,0))</f>
        <v>4</v>
      </c>
      <c r="G1480" s="8" t="n">
        <v>9</v>
      </c>
    </row>
    <row r="1481" customFormat="false" ht="17.35" hidden="false" customHeight="false" outlineLevel="0" collapsed="false">
      <c r="A1481" s="8" t="n">
        <v>1480</v>
      </c>
      <c r="B1481" s="9" t="s">
        <v>2476</v>
      </c>
      <c r="C1481" s="8" t="n">
        <v>159</v>
      </c>
      <c r="D1481" s="9" t="str">
        <f aca="false">INDEX(Radicals!$B$2:$B$215,MATCH(C1481,Radicals!$A$2:$A$215,0))</f>
        <v>車</v>
      </c>
      <c r="E1481" s="10" t="str">
        <f aca="false">INDEX(Radicals!$G$2:$G$215,MATCH(C1481,Radicals!$A$2:$A$215,0))</f>
        <v>cart, vehicle</v>
      </c>
      <c r="F1481" s="8" t="n">
        <f aca="false">INDEX(Radicals!$D$2:$D$215,MATCH(C1481,Radicals!$A$2:$A$215,0))</f>
        <v>7</v>
      </c>
      <c r="G1481" s="8" t="n">
        <v>9</v>
      </c>
    </row>
    <row r="1482" customFormat="false" ht="17.35" hidden="false" customHeight="false" outlineLevel="0" collapsed="false">
      <c r="A1482" s="8" t="n">
        <v>1481</v>
      </c>
      <c r="B1482" s="9" t="s">
        <v>2477</v>
      </c>
      <c r="C1482" s="8" t="n">
        <v>9</v>
      </c>
      <c r="D1482" s="9" t="str">
        <f aca="false">INDEX(Radicals!$B$2:$B$215,MATCH(C1482,Radicals!$A$2:$A$215,0))</f>
        <v>人</v>
      </c>
      <c r="E1482" s="10" t="str">
        <f aca="false">INDEX(Radicals!$G$2:$G$215,MATCH(C1482,Radicals!$A$2:$A$215,0))</f>
        <v>person</v>
      </c>
      <c r="F1482" s="8" t="n">
        <f aca="false">INDEX(Radicals!$D$2:$D$215,MATCH(C1482,Radicals!$A$2:$A$215,0))</f>
        <v>2</v>
      </c>
      <c r="G1482" s="8" t="n">
        <v>10</v>
      </c>
    </row>
    <row r="1483" customFormat="false" ht="17.35" hidden="false" customHeight="false" outlineLevel="0" collapsed="false">
      <c r="A1483" s="8" t="n">
        <v>1482</v>
      </c>
      <c r="B1483" s="9" t="s">
        <v>2478</v>
      </c>
      <c r="C1483" s="8" t="n">
        <v>38</v>
      </c>
      <c r="D1483" s="9" t="str">
        <f aca="false">INDEX(Radicals!$B$2:$B$215,MATCH(C1483,Radicals!$A$2:$A$215,0))</f>
        <v>女</v>
      </c>
      <c r="E1483" s="10" t="str">
        <f aca="false">INDEX(Radicals!$G$2:$G$215,MATCH(C1483,Radicals!$A$2:$A$215,0))</f>
        <v>woman</v>
      </c>
      <c r="F1483" s="8" t="n">
        <f aca="false">INDEX(Radicals!$D$2:$D$215,MATCH(C1483,Radicals!$A$2:$A$215,0))</f>
        <v>3</v>
      </c>
      <c r="G1483" s="8" t="n">
        <v>7</v>
      </c>
    </row>
    <row r="1484" customFormat="false" ht="17.35" hidden="false" customHeight="false" outlineLevel="0" collapsed="false">
      <c r="A1484" s="8" t="n">
        <v>1483</v>
      </c>
      <c r="B1484" s="9" t="s">
        <v>2479</v>
      </c>
      <c r="C1484" s="8" t="n">
        <v>108</v>
      </c>
      <c r="D1484" s="9" t="str">
        <f aca="false">INDEX(Radicals!$B$2:$B$215,MATCH(C1484,Radicals!$A$2:$A$215,0))</f>
        <v>皿</v>
      </c>
      <c r="E1484" s="10" t="str">
        <f aca="false">INDEX(Radicals!$G$2:$G$215,MATCH(C1484,Radicals!$A$2:$A$215,0))</f>
        <v>dish</v>
      </c>
      <c r="F1484" s="8" t="n">
        <f aca="false">INDEX(Radicals!$D$2:$D$215,MATCH(C1484,Radicals!$A$2:$A$215,0))</f>
        <v>5</v>
      </c>
      <c r="G1484" s="8" t="n">
        <v>16</v>
      </c>
    </row>
    <row r="1485" customFormat="false" ht="17.35" hidden="false" customHeight="false" outlineLevel="0" collapsed="false">
      <c r="A1485" s="8" t="n">
        <v>1484</v>
      </c>
      <c r="B1485" s="9" t="s">
        <v>2480</v>
      </c>
      <c r="C1485" s="8" t="n">
        <v>119</v>
      </c>
      <c r="D1485" s="9" t="str">
        <f aca="false">INDEX(Radicals!$B$2:$B$215,MATCH(C1485,Radicals!$A$2:$A$215,0))</f>
        <v>米</v>
      </c>
      <c r="E1485" s="10" t="str">
        <f aca="false">INDEX(Radicals!$G$2:$G$215,MATCH(C1485,Radicals!$A$2:$A$215,0))</f>
        <v>rice</v>
      </c>
      <c r="F1485" s="8" t="n">
        <f aca="false">INDEX(Radicals!$D$2:$D$215,MATCH(C1485,Radicals!$A$2:$A$215,0))</f>
        <v>6</v>
      </c>
      <c r="G1485" s="8" t="n">
        <v>10</v>
      </c>
    </row>
    <row r="1486" customFormat="false" ht="17.35" hidden="false" customHeight="false" outlineLevel="0" collapsed="false">
      <c r="A1486" s="8" t="n">
        <v>1485</v>
      </c>
      <c r="B1486" s="9" t="s">
        <v>2481</v>
      </c>
      <c r="C1486" s="8" t="n">
        <v>64</v>
      </c>
      <c r="D1486" s="9" t="str">
        <f aca="false">INDEX(Radicals!$B$2:$B$215,MATCH(C1486,Radicals!$A$2:$A$215,0))</f>
        <v>手</v>
      </c>
      <c r="E1486" s="10" t="str">
        <f aca="false">INDEX(Radicals!$G$2:$G$215,MATCH(C1486,Radicals!$A$2:$A$215,0))</f>
        <v>hand</v>
      </c>
      <c r="F1486" s="8" t="n">
        <f aca="false">INDEX(Radicals!$D$2:$D$215,MATCH(C1486,Radicals!$A$2:$A$215,0))</f>
        <v>4</v>
      </c>
      <c r="G1486" s="8" t="n">
        <v>17</v>
      </c>
    </row>
    <row r="1487" customFormat="false" ht="17.35" hidden="false" customHeight="false" outlineLevel="0" collapsed="false">
      <c r="A1487" s="8" t="n">
        <v>1486</v>
      </c>
      <c r="B1487" s="9" t="s">
        <v>2482</v>
      </c>
      <c r="C1487" s="8" t="n">
        <v>195</v>
      </c>
      <c r="D1487" s="9" t="str">
        <f aca="false">INDEX(Radicals!$B$2:$B$215,MATCH(C1487,Radicals!$A$2:$A$215,0))</f>
        <v>魚</v>
      </c>
      <c r="E1487" s="10" t="str">
        <f aca="false">INDEX(Radicals!$G$2:$G$215,MATCH(C1487,Radicals!$A$2:$A$215,0))</f>
        <v>fish</v>
      </c>
      <c r="F1487" s="8" t="n">
        <f aca="false">INDEX(Radicals!$D$2:$D$215,MATCH(C1487,Radicals!$A$2:$A$215,0))</f>
        <v>11</v>
      </c>
      <c r="G1487" s="8" t="n">
        <v>19</v>
      </c>
    </row>
    <row r="1488" customFormat="false" ht="17.35" hidden="false" customHeight="false" outlineLevel="0" collapsed="false">
      <c r="A1488" s="8" t="n">
        <v>1487</v>
      </c>
      <c r="B1488" s="9" t="s">
        <v>2483</v>
      </c>
      <c r="C1488" s="8" t="n">
        <v>85</v>
      </c>
      <c r="D1488" s="9" t="str">
        <f aca="false">INDEX(Radicals!$B$2:$B$215,MATCH(C1488,Radicals!$A$2:$A$215,0))</f>
        <v>水</v>
      </c>
      <c r="E1488" s="10" t="str">
        <f aca="false">INDEX(Radicals!$G$2:$G$215,MATCH(C1488,Radicals!$A$2:$A$215,0))</f>
        <v>water</v>
      </c>
      <c r="F1488" s="8" t="n">
        <f aca="false">INDEX(Radicals!$D$2:$D$215,MATCH(C1488,Radicals!$A$2:$A$215,0))</f>
        <v>4</v>
      </c>
      <c r="G1488" s="8" t="n">
        <v>13</v>
      </c>
    </row>
    <row r="1489" customFormat="false" ht="17.35" hidden="false" customHeight="false" outlineLevel="0" collapsed="false">
      <c r="A1489" s="8" t="n">
        <v>1488</v>
      </c>
      <c r="B1489" s="9" t="s">
        <v>633</v>
      </c>
      <c r="C1489" s="8" t="n">
        <v>120</v>
      </c>
      <c r="D1489" s="9" t="str">
        <f aca="false">INDEX(Radicals!$B$2:$B$215,MATCH(C1489,Radicals!$A$2:$A$215,0))</f>
        <v>糸</v>
      </c>
      <c r="E1489" s="10" t="str">
        <f aca="false">INDEX(Radicals!$G$2:$G$215,MATCH(C1489,Radicals!$A$2:$A$215,0))</f>
        <v>thread, silk</v>
      </c>
      <c r="F1489" s="8" t="n">
        <f aca="false">INDEX(Radicals!$D$2:$D$215,MATCH(C1489,Radicals!$A$2:$A$215,0))</f>
        <v>6</v>
      </c>
      <c r="G1489" s="8" t="n">
        <v>6</v>
      </c>
    </row>
    <row r="1490" customFormat="false" ht="17.35" hidden="false" customHeight="false" outlineLevel="0" collapsed="false">
      <c r="A1490" s="8" t="n">
        <v>1489</v>
      </c>
      <c r="B1490" s="9" t="s">
        <v>2484</v>
      </c>
      <c r="C1490" s="8" t="n">
        <v>140</v>
      </c>
      <c r="D1490" s="9" t="str">
        <f aca="false">INDEX(Radicals!$B$2:$B$215,MATCH(C1490,Radicals!$A$2:$A$215,0))</f>
        <v>艸</v>
      </c>
      <c r="E1490" s="10" t="str">
        <f aca="false">INDEX(Radicals!$G$2:$G$215,MATCH(C1490,Radicals!$A$2:$A$215,0))</f>
        <v>grass, plant</v>
      </c>
      <c r="F1490" s="8" t="n">
        <f aca="false">INDEX(Radicals!$D$2:$D$215,MATCH(C1490,Radicals!$A$2:$A$215,0))</f>
        <v>6</v>
      </c>
      <c r="G1490" s="8" t="n">
        <v>9</v>
      </c>
    </row>
    <row r="1491" customFormat="false" ht="17.35" hidden="false" customHeight="false" outlineLevel="0" collapsed="false">
      <c r="A1491" s="8" t="n">
        <v>1490</v>
      </c>
      <c r="B1491" s="9" t="s">
        <v>2485</v>
      </c>
      <c r="C1491" s="8" t="n">
        <v>149</v>
      </c>
      <c r="D1491" s="9" t="str">
        <f aca="false">INDEX(Radicals!$B$2:$B$215,MATCH(C1491,Radicals!$A$2:$A$215,0))</f>
        <v>言</v>
      </c>
      <c r="E1491" s="10" t="str">
        <f aca="false">INDEX(Radicals!$G$2:$G$215,MATCH(C1491,Radicals!$A$2:$A$215,0))</f>
        <v>speech, say</v>
      </c>
      <c r="F1491" s="8" t="n">
        <f aca="false">INDEX(Radicals!$D$2:$D$215,MATCH(C1491,Radicals!$A$2:$A$215,0))</f>
        <v>7</v>
      </c>
      <c r="G1491" s="8" t="n">
        <v>15</v>
      </c>
    </row>
    <row r="1492" customFormat="false" ht="17.35" hidden="false" customHeight="false" outlineLevel="0" collapsed="false">
      <c r="A1492" s="8" t="n">
        <v>1491</v>
      </c>
      <c r="B1492" s="9" t="s">
        <v>2486</v>
      </c>
      <c r="C1492" s="8" t="n">
        <v>173</v>
      </c>
      <c r="D1492" s="9" t="str">
        <f aca="false">INDEX(Radicals!$B$2:$B$215,MATCH(C1492,Radicals!$A$2:$A$215,0))</f>
        <v>雨</v>
      </c>
      <c r="E1492" s="10" t="str">
        <f aca="false">INDEX(Radicals!$G$2:$G$215,MATCH(C1492,Radicals!$A$2:$A$215,0))</f>
        <v>rain</v>
      </c>
      <c r="F1492" s="8" t="n">
        <f aca="false">INDEX(Radicals!$D$2:$D$215,MATCH(C1492,Radicals!$A$2:$A$215,0))</f>
        <v>8</v>
      </c>
      <c r="G1492" s="8" t="n">
        <v>13</v>
      </c>
    </row>
    <row r="1493" customFormat="false" ht="17.35" hidden="false" customHeight="false" outlineLevel="0" collapsed="false">
      <c r="A1493" s="8" t="n">
        <v>1492</v>
      </c>
      <c r="B1493" s="9" t="s">
        <v>2487</v>
      </c>
      <c r="C1493" s="8" t="n">
        <v>85</v>
      </c>
      <c r="D1493" s="9" t="str">
        <f aca="false">INDEX(Radicals!$B$2:$B$215,MATCH(C1493,Radicals!$A$2:$A$215,0))</f>
        <v>水</v>
      </c>
      <c r="E1493" s="10" t="str">
        <f aca="false">INDEX(Radicals!$G$2:$G$215,MATCH(C1493,Radicals!$A$2:$A$215,0))</f>
        <v>water</v>
      </c>
      <c r="F1493" s="8" t="n">
        <f aca="false">INDEX(Radicals!$D$2:$D$215,MATCH(C1493,Radicals!$A$2:$A$215,0))</f>
        <v>4</v>
      </c>
      <c r="G1493" s="8" t="n">
        <v>14</v>
      </c>
    </row>
    <row r="1494" customFormat="false" ht="17.35" hidden="false" customHeight="false" outlineLevel="0" collapsed="false">
      <c r="A1494" s="8" t="n">
        <v>1493</v>
      </c>
      <c r="B1494" s="9" t="s">
        <v>2488</v>
      </c>
      <c r="C1494" s="8" t="n">
        <v>61</v>
      </c>
      <c r="D1494" s="9" t="str">
        <f aca="false">INDEX(Radicals!$B$2:$B$215,MATCH(C1494,Radicals!$A$2:$A$215,0))</f>
        <v>心</v>
      </c>
      <c r="E1494" s="10" t="str">
        <f aca="false">INDEX(Radicals!$G$2:$G$215,MATCH(C1494,Radicals!$A$2:$A$215,0))</f>
        <v>heart, mind</v>
      </c>
      <c r="F1494" s="8" t="n">
        <f aca="false">INDEX(Radicals!$D$2:$D$215,MATCH(C1494,Radicals!$A$2:$A$215,0))</f>
        <v>4</v>
      </c>
      <c r="G1494" s="8" t="n">
        <v>16</v>
      </c>
    </row>
    <row r="1495" customFormat="false" ht="17.35" hidden="false" customHeight="false" outlineLevel="0" collapsed="false">
      <c r="A1495" s="8" t="n">
        <v>1494</v>
      </c>
      <c r="B1495" s="9" t="s">
        <v>2489</v>
      </c>
      <c r="C1495" s="8" t="n">
        <v>19</v>
      </c>
      <c r="D1495" s="9" t="str">
        <f aca="false">INDEX(Radicals!$B$2:$B$215,MATCH(C1495,Radicals!$A$2:$A$215,0))</f>
        <v>力</v>
      </c>
      <c r="E1495" s="10" t="str">
        <f aca="false">INDEX(Radicals!$G$2:$G$215,MATCH(C1495,Radicals!$A$2:$A$215,0))</f>
        <v>power, strength</v>
      </c>
      <c r="F1495" s="8" t="n">
        <f aca="false">INDEX(Radicals!$D$2:$D$215,MATCH(C1495,Radicals!$A$2:$A$215,0))</f>
        <v>2</v>
      </c>
      <c r="G1495" s="8" t="n">
        <v>11</v>
      </c>
    </row>
    <row r="1496" customFormat="false" ht="17.35" hidden="false" customHeight="false" outlineLevel="0" collapsed="false">
      <c r="A1496" s="8" t="n">
        <v>1495</v>
      </c>
      <c r="B1496" s="9" t="s">
        <v>2490</v>
      </c>
      <c r="C1496" s="8" t="n">
        <v>120</v>
      </c>
      <c r="D1496" s="9" t="str">
        <f aca="false">INDEX(Radicals!$B$2:$B$215,MATCH(C1496,Radicals!$A$2:$A$215,0))</f>
        <v>糸</v>
      </c>
      <c r="E1496" s="10" t="str">
        <f aca="false">INDEX(Radicals!$G$2:$G$215,MATCH(C1496,Radicals!$A$2:$A$215,0))</f>
        <v>thread, silk</v>
      </c>
      <c r="F1496" s="8" t="n">
        <f aca="false">INDEX(Radicals!$D$2:$D$215,MATCH(C1496,Radicals!$A$2:$A$215,0))</f>
        <v>6</v>
      </c>
      <c r="G1496" s="8" t="n">
        <v>14</v>
      </c>
    </row>
    <row r="1497" customFormat="false" ht="17.35" hidden="false" customHeight="false" outlineLevel="0" collapsed="false">
      <c r="A1497" s="8" t="n">
        <v>1496</v>
      </c>
      <c r="B1497" s="9" t="s">
        <v>2491</v>
      </c>
      <c r="C1497" s="8" t="n">
        <v>75</v>
      </c>
      <c r="D1497" s="9" t="str">
        <f aca="false">INDEX(Radicals!$B$2:$B$215,MATCH(C1497,Radicals!$A$2:$A$215,0))</f>
        <v>木</v>
      </c>
      <c r="E1497" s="10" t="str">
        <f aca="false">INDEX(Radicals!$G$2:$G$215,MATCH(C1497,Radicals!$A$2:$A$215,0))</f>
        <v>tree, wood</v>
      </c>
      <c r="F1497" s="8" t="n">
        <f aca="false">INDEX(Radicals!$D$2:$D$215,MATCH(C1497,Radicals!$A$2:$A$215,0))</f>
        <v>4</v>
      </c>
      <c r="G1497" s="8" t="n">
        <v>10</v>
      </c>
    </row>
    <row r="1498" customFormat="false" ht="17.35" hidden="false" customHeight="false" outlineLevel="0" collapsed="false">
      <c r="A1498" s="8" t="n">
        <v>1497</v>
      </c>
      <c r="B1498" s="9" t="s">
        <v>2492</v>
      </c>
      <c r="C1498" s="8" t="n">
        <v>64</v>
      </c>
      <c r="D1498" s="9" t="str">
        <f aca="false">INDEX(Radicals!$B$2:$B$215,MATCH(C1498,Radicals!$A$2:$A$215,0))</f>
        <v>手</v>
      </c>
      <c r="E1498" s="10" t="str">
        <f aca="false">INDEX(Radicals!$G$2:$G$215,MATCH(C1498,Radicals!$A$2:$A$215,0))</f>
        <v>hand</v>
      </c>
      <c r="F1498" s="8" t="n">
        <f aca="false">INDEX(Radicals!$D$2:$D$215,MATCH(C1498,Radicals!$A$2:$A$215,0))</f>
        <v>4</v>
      </c>
      <c r="G1498" s="8" t="n">
        <v>3</v>
      </c>
    </row>
    <row r="1499" customFormat="false" ht="17.35" hidden="false" customHeight="false" outlineLevel="0" collapsed="false">
      <c r="A1499" s="8" t="n">
        <v>1498</v>
      </c>
      <c r="B1499" s="9" t="s">
        <v>2493</v>
      </c>
      <c r="C1499" s="8" t="n">
        <v>64</v>
      </c>
      <c r="D1499" s="9" t="str">
        <f aca="false">INDEX(Radicals!$B$2:$B$215,MATCH(C1499,Radicals!$A$2:$A$215,0))</f>
        <v>手</v>
      </c>
      <c r="E1499" s="10" t="str">
        <f aca="false">INDEX(Radicals!$G$2:$G$215,MATCH(C1499,Radicals!$A$2:$A$215,0))</f>
        <v>hand</v>
      </c>
      <c r="F1499" s="8" t="n">
        <f aca="false">INDEX(Radicals!$D$2:$D$215,MATCH(C1499,Radicals!$A$2:$A$215,0))</f>
        <v>4</v>
      </c>
      <c r="G1499" s="8" t="n">
        <v>8</v>
      </c>
    </row>
    <row r="1500" customFormat="false" ht="17.35" hidden="false" customHeight="false" outlineLevel="0" collapsed="false">
      <c r="A1500" s="8" t="n">
        <v>1499</v>
      </c>
      <c r="B1500" s="9" t="s">
        <v>2494</v>
      </c>
      <c r="C1500" s="8" t="n">
        <v>118</v>
      </c>
      <c r="D1500" s="9" t="str">
        <f aca="false">INDEX(Radicals!$B$2:$B$215,MATCH(C1500,Radicals!$A$2:$A$215,0))</f>
        <v>竹</v>
      </c>
      <c r="E1500" s="10" t="str">
        <f aca="false">INDEX(Radicals!$G$2:$G$215,MATCH(C1500,Radicals!$A$2:$A$215,0))</f>
        <v>bamboo</v>
      </c>
      <c r="F1500" s="8" t="n">
        <f aca="false">INDEX(Radicals!$D$2:$D$215,MATCH(C1500,Radicals!$A$2:$A$215,0))</f>
        <v>6</v>
      </c>
      <c r="G1500" s="8" t="n">
        <v>11</v>
      </c>
    </row>
    <row r="1501" customFormat="false" ht="17.35" hidden="false" customHeight="false" outlineLevel="0" collapsed="false">
      <c r="A1501" s="8" t="n">
        <v>1500</v>
      </c>
      <c r="B1501" s="9" t="s">
        <v>2495</v>
      </c>
      <c r="C1501" s="8" t="n">
        <v>187</v>
      </c>
      <c r="D1501" s="9" t="str">
        <f aca="false">INDEX(Radicals!$B$2:$B$215,MATCH(C1501,Radicals!$A$2:$A$215,0))</f>
        <v>馬</v>
      </c>
      <c r="E1501" s="10" t="str">
        <f aca="false">INDEX(Radicals!$G$2:$G$215,MATCH(C1501,Radicals!$A$2:$A$215,0))</f>
        <v>horse</v>
      </c>
      <c r="F1501" s="8" t="n">
        <f aca="false">INDEX(Radicals!$D$2:$D$215,MATCH(C1501,Radicals!$A$2:$A$215,0))</f>
        <v>10</v>
      </c>
      <c r="G1501" s="8" t="n">
        <v>14</v>
      </c>
    </row>
    <row r="1502" customFormat="false" ht="17.35" hidden="false" customHeight="false" outlineLevel="0" collapsed="false">
      <c r="A1502" s="8" t="n">
        <v>1501</v>
      </c>
      <c r="B1502" s="9" t="s">
        <v>2496</v>
      </c>
      <c r="C1502" s="8" t="n">
        <v>85</v>
      </c>
      <c r="D1502" s="9" t="str">
        <f aca="false">INDEX(Radicals!$B$2:$B$215,MATCH(C1502,Radicals!$A$2:$A$215,0))</f>
        <v>水</v>
      </c>
      <c r="E1502" s="10" t="str">
        <f aca="false">INDEX(Radicals!$G$2:$G$215,MATCH(C1502,Radicals!$A$2:$A$215,0))</f>
        <v>water</v>
      </c>
      <c r="F1502" s="8" t="n">
        <f aca="false">INDEX(Radicals!$D$2:$D$215,MATCH(C1502,Radicals!$A$2:$A$215,0))</f>
        <v>4</v>
      </c>
      <c r="G1502" s="8" t="n">
        <v>11</v>
      </c>
    </row>
    <row r="1503" customFormat="false" ht="17.35" hidden="false" customHeight="false" outlineLevel="0" collapsed="false">
      <c r="A1503" s="8" t="n">
        <v>1502</v>
      </c>
      <c r="B1503" s="9" t="s">
        <v>2497</v>
      </c>
      <c r="C1503" s="8" t="n">
        <v>85</v>
      </c>
      <c r="D1503" s="9" t="str">
        <f aca="false">INDEX(Radicals!$B$2:$B$215,MATCH(C1503,Radicals!$A$2:$A$215,0))</f>
        <v>水</v>
      </c>
      <c r="E1503" s="10" t="str">
        <f aca="false">INDEX(Radicals!$G$2:$G$215,MATCH(C1503,Radicals!$A$2:$A$215,0))</f>
        <v>water</v>
      </c>
      <c r="F1503" s="8" t="n">
        <f aca="false">INDEX(Radicals!$D$2:$D$215,MATCH(C1503,Radicals!$A$2:$A$215,0))</f>
        <v>4</v>
      </c>
      <c r="G1503" s="8" t="n">
        <v>6</v>
      </c>
    </row>
    <row r="1504" customFormat="false" ht="17.35" hidden="false" customHeight="false" outlineLevel="0" collapsed="false">
      <c r="A1504" s="8" t="n">
        <v>1503</v>
      </c>
      <c r="B1504" s="9" t="s">
        <v>2498</v>
      </c>
      <c r="C1504" s="8" t="n">
        <v>14</v>
      </c>
      <c r="D1504" s="9" t="str">
        <f aca="false">INDEX(Radicals!$B$2:$B$215,MATCH(C1504,Radicals!$A$2:$A$215,0))</f>
        <v>冖</v>
      </c>
      <c r="E1504" s="10" t="str">
        <f aca="false">INDEX(Radicals!$G$2:$G$215,MATCH(C1504,Radicals!$A$2:$A$215,0))</f>
        <v>cover, crown</v>
      </c>
      <c r="F1504" s="8" t="n">
        <f aca="false">INDEX(Radicals!$D$2:$D$215,MATCH(C1504,Radicals!$A$2:$A$215,0))</f>
        <v>2</v>
      </c>
      <c r="G1504" s="8" t="n">
        <v>9</v>
      </c>
    </row>
    <row r="1505" customFormat="false" ht="17.35" hidden="false" customHeight="false" outlineLevel="0" collapsed="false">
      <c r="A1505" s="8" t="n">
        <v>1504</v>
      </c>
      <c r="B1505" s="9" t="s">
        <v>2499</v>
      </c>
      <c r="C1505" s="8" t="n">
        <v>68</v>
      </c>
      <c r="D1505" s="9" t="str">
        <f aca="false">INDEX(Radicals!$B$2:$B$215,MATCH(C1505,Radicals!$A$2:$A$215,0))</f>
        <v>斗</v>
      </c>
      <c r="E1505" s="10" t="str">
        <f aca="false">INDEX(Radicals!$G$2:$G$215,MATCH(C1505,Radicals!$A$2:$A$215,0))</f>
        <v>dipper, measure</v>
      </c>
      <c r="F1505" s="8" t="n">
        <f aca="false">INDEX(Radicals!$D$2:$D$215,MATCH(C1505,Radicals!$A$2:$A$215,0))</f>
        <v>4</v>
      </c>
      <c r="G1505" s="8" t="n">
        <v>11</v>
      </c>
    </row>
    <row r="1506" customFormat="false" ht="17.35" hidden="false" customHeight="false" outlineLevel="0" collapsed="false">
      <c r="A1506" s="8" t="n">
        <v>1505</v>
      </c>
      <c r="B1506" s="9" t="s">
        <v>2500</v>
      </c>
      <c r="C1506" s="8" t="n">
        <v>167</v>
      </c>
      <c r="D1506" s="9" t="str">
        <f aca="false">INDEX(Radicals!$B$2:$B$215,MATCH(C1506,Radicals!$A$2:$A$215,0))</f>
        <v>金</v>
      </c>
      <c r="E1506" s="10" t="str">
        <f aca="false">INDEX(Radicals!$G$2:$G$215,MATCH(C1506,Radicals!$A$2:$A$215,0))</f>
        <v>metal, gold</v>
      </c>
      <c r="F1506" s="8" t="n">
        <f aca="false">INDEX(Radicals!$D$2:$D$215,MATCH(C1506,Radicals!$A$2:$A$215,0))</f>
        <v>8</v>
      </c>
      <c r="G1506" s="8" t="n">
        <v>14</v>
      </c>
    </row>
    <row r="1507" customFormat="false" ht="17.35" hidden="false" customHeight="false" outlineLevel="0" collapsed="false">
      <c r="A1507" s="8" t="n">
        <v>1506</v>
      </c>
      <c r="B1507" s="9" t="s">
        <v>2501</v>
      </c>
      <c r="C1507" s="8" t="n">
        <v>167</v>
      </c>
      <c r="D1507" s="9" t="str">
        <f aca="false">INDEX(Radicals!$B$2:$B$215,MATCH(C1507,Radicals!$A$2:$A$215,0))</f>
        <v>金</v>
      </c>
      <c r="E1507" s="10" t="str">
        <f aca="false">INDEX(Radicals!$G$2:$G$215,MATCH(C1507,Radicals!$A$2:$A$215,0))</f>
        <v>metal, gold</v>
      </c>
      <c r="F1507" s="8" t="n">
        <f aca="false">INDEX(Radicals!$D$2:$D$215,MATCH(C1507,Radicals!$A$2:$A$215,0))</f>
        <v>8</v>
      </c>
      <c r="G1507" s="8" t="n">
        <v>19</v>
      </c>
    </row>
    <row r="1508" customFormat="false" ht="17.35" hidden="false" customHeight="false" outlineLevel="0" collapsed="false">
      <c r="A1508" s="8" t="n">
        <v>1507</v>
      </c>
      <c r="B1508" s="9" t="s">
        <v>2502</v>
      </c>
      <c r="C1508" s="8" t="n">
        <v>128</v>
      </c>
      <c r="D1508" s="9" t="str">
        <f aca="false">INDEX(Radicals!$B$2:$B$215,MATCH(C1508,Radicals!$A$2:$A$215,0))</f>
        <v>耳</v>
      </c>
      <c r="E1508" s="10" t="str">
        <f aca="false">INDEX(Radicals!$G$2:$G$215,MATCH(C1508,Radicals!$A$2:$A$215,0))</f>
        <v>ear</v>
      </c>
      <c r="F1508" s="8" t="n">
        <f aca="false">INDEX(Radicals!$D$2:$D$215,MATCH(C1508,Radicals!$A$2:$A$215,0))</f>
        <v>6</v>
      </c>
      <c r="G1508" s="8" t="n">
        <v>14</v>
      </c>
    </row>
    <row r="1509" customFormat="false" ht="17.35" hidden="false" customHeight="false" outlineLevel="0" collapsed="false">
      <c r="A1509" s="8" t="n">
        <v>1508</v>
      </c>
      <c r="B1509" s="9" t="s">
        <v>2503</v>
      </c>
      <c r="C1509" s="8" t="n">
        <v>85</v>
      </c>
      <c r="D1509" s="9" t="str">
        <f aca="false">INDEX(Radicals!$B$2:$B$215,MATCH(C1509,Radicals!$A$2:$A$215,0))</f>
        <v>水</v>
      </c>
      <c r="E1509" s="10" t="str">
        <f aca="false">INDEX(Radicals!$G$2:$G$215,MATCH(C1509,Radicals!$A$2:$A$215,0))</f>
        <v>water</v>
      </c>
      <c r="F1509" s="8" t="n">
        <f aca="false">INDEX(Radicals!$D$2:$D$215,MATCH(C1509,Radicals!$A$2:$A$215,0))</f>
        <v>4</v>
      </c>
      <c r="G1509" s="8" t="n">
        <v>10</v>
      </c>
    </row>
    <row r="1510" customFormat="false" ht="17.35" hidden="false" customHeight="false" outlineLevel="0" collapsed="false">
      <c r="A1510" s="8" t="n">
        <v>1509</v>
      </c>
      <c r="B1510" s="9" t="s">
        <v>2504</v>
      </c>
      <c r="C1510" s="8" t="n">
        <v>7</v>
      </c>
      <c r="D1510" s="9" t="str">
        <f aca="false">INDEX(Radicals!$B$2:$B$215,MATCH(C1510,Radicals!$A$2:$A$215,0))</f>
        <v>二</v>
      </c>
      <c r="E1510" s="10" t="str">
        <f aca="false">INDEX(Radicals!$G$2:$G$215,MATCH(C1510,Radicals!$A$2:$A$215,0))</f>
        <v>two</v>
      </c>
      <c r="F1510" s="8" t="n">
        <f aca="false">INDEX(Radicals!$D$2:$D$215,MATCH(C1510,Radicals!$A$2:$A$215,0))</f>
        <v>2</v>
      </c>
      <c r="G1510" s="8" t="n">
        <v>7</v>
      </c>
    </row>
    <row r="1511" customFormat="false" ht="17.35" hidden="false" customHeight="false" outlineLevel="0" collapsed="false">
      <c r="A1511" s="8" t="n">
        <v>1510</v>
      </c>
      <c r="B1511" s="9" t="s">
        <v>2505</v>
      </c>
      <c r="C1511" s="8" t="n">
        <v>147</v>
      </c>
      <c r="D1511" s="9" t="str">
        <f aca="false">INDEX(Radicals!$B$2:$B$215,MATCH(C1511,Radicals!$A$2:$A$215,0))</f>
        <v>見</v>
      </c>
      <c r="E1511" s="10" t="str">
        <f aca="false">INDEX(Radicals!$G$2:$G$215,MATCH(C1511,Radicals!$A$2:$A$215,0))</f>
        <v>see</v>
      </c>
      <c r="F1511" s="8" t="n">
        <f aca="false">INDEX(Radicals!$D$2:$D$215,MATCH(C1511,Radicals!$A$2:$A$215,0))</f>
        <v>7</v>
      </c>
      <c r="G1511" s="8" t="n">
        <v>17</v>
      </c>
    </row>
    <row r="1512" customFormat="false" ht="17.35" hidden="false" customHeight="false" outlineLevel="0" collapsed="false">
      <c r="A1512" s="8" t="n">
        <v>1511</v>
      </c>
      <c r="B1512" s="9" t="s">
        <v>2506</v>
      </c>
      <c r="C1512" s="8" t="n">
        <v>149</v>
      </c>
      <c r="D1512" s="9" t="str">
        <f aca="false">INDEX(Radicals!$B$2:$B$215,MATCH(C1512,Radicals!$A$2:$A$215,0))</f>
        <v>言</v>
      </c>
      <c r="E1512" s="10" t="str">
        <f aca="false">INDEX(Radicals!$G$2:$G$215,MATCH(C1512,Radicals!$A$2:$A$215,0))</f>
        <v>speech, say</v>
      </c>
      <c r="F1512" s="8" t="n">
        <f aca="false">INDEX(Radicals!$D$2:$D$215,MATCH(C1512,Radicals!$A$2:$A$215,0))</f>
        <v>7</v>
      </c>
      <c r="G1512" s="8" t="n">
        <v>12</v>
      </c>
    </row>
    <row r="1513" customFormat="false" ht="17.35" hidden="false" customHeight="false" outlineLevel="0" collapsed="false">
      <c r="A1513" s="8" t="n">
        <v>1512</v>
      </c>
      <c r="B1513" s="9" t="s">
        <v>2507</v>
      </c>
      <c r="C1513" s="8" t="n">
        <v>32</v>
      </c>
      <c r="D1513" s="9" t="str">
        <f aca="false">INDEX(Radicals!$B$2:$B$215,MATCH(C1513,Radicals!$A$2:$A$215,0))</f>
        <v>土</v>
      </c>
      <c r="E1513" s="10" t="str">
        <f aca="false">INDEX(Radicals!$G$2:$G$215,MATCH(C1513,Radicals!$A$2:$A$215,0))</f>
        <v>earth, soil</v>
      </c>
      <c r="F1513" s="8" t="n">
        <f aca="false">INDEX(Radicals!$D$2:$D$215,MATCH(C1513,Radicals!$A$2:$A$215,0))</f>
        <v>3</v>
      </c>
      <c r="G1513" s="8" t="n">
        <v>16</v>
      </c>
    </row>
    <row r="1514" customFormat="false" ht="17.35" hidden="false" customHeight="false" outlineLevel="0" collapsed="false">
      <c r="A1514" s="8" t="n">
        <v>1513</v>
      </c>
      <c r="B1514" s="9" t="s">
        <v>2508</v>
      </c>
      <c r="C1514" s="8" t="n">
        <v>19</v>
      </c>
      <c r="D1514" s="9" t="str">
        <f aca="false">INDEX(Radicals!$B$2:$B$215,MATCH(C1514,Radicals!$A$2:$A$215,0))</f>
        <v>力</v>
      </c>
      <c r="E1514" s="10" t="str">
        <f aca="false">INDEX(Radicals!$G$2:$G$215,MATCH(C1514,Radicals!$A$2:$A$215,0))</f>
        <v>power, strength</v>
      </c>
      <c r="F1514" s="8" t="n">
        <f aca="false">INDEX(Radicals!$D$2:$D$215,MATCH(C1514,Radicals!$A$2:$A$215,0))</f>
        <v>2</v>
      </c>
      <c r="G1514" s="8" t="n">
        <v>15</v>
      </c>
    </row>
    <row r="1515" customFormat="false" ht="17.35" hidden="false" customHeight="false" outlineLevel="0" collapsed="false">
      <c r="A1515" s="8" t="n">
        <v>1514</v>
      </c>
      <c r="B1515" s="9" t="s">
        <v>2509</v>
      </c>
      <c r="C1515" s="8" t="n">
        <v>194</v>
      </c>
      <c r="D1515" s="9" t="str">
        <f aca="false">INDEX(Radicals!$B$2:$B$215,MATCH(C1515,Radicals!$A$2:$A$215,0))</f>
        <v>鬼</v>
      </c>
      <c r="E1515" s="10" t="str">
        <f aca="false">INDEX(Radicals!$G$2:$G$215,MATCH(C1515,Radicals!$A$2:$A$215,0))</f>
        <v>ghost, demon</v>
      </c>
      <c r="F1515" s="8" t="n">
        <f aca="false">INDEX(Radicals!$D$2:$D$215,MATCH(C1515,Radicals!$A$2:$A$215,0))</f>
        <v>10</v>
      </c>
      <c r="G1515" s="8" t="n">
        <v>21</v>
      </c>
    </row>
    <row r="1516" customFormat="false" ht="17.35" hidden="false" customHeight="false" outlineLevel="0" collapsed="false">
      <c r="A1516" s="8" t="n">
        <v>1515</v>
      </c>
      <c r="B1516" s="9" t="s">
        <v>2510</v>
      </c>
      <c r="C1516" s="8" t="n">
        <v>164</v>
      </c>
      <c r="D1516" s="9" t="str">
        <f aca="false">INDEX(Radicals!$B$2:$B$215,MATCH(C1516,Radicals!$A$2:$A$215,0))</f>
        <v>酉</v>
      </c>
      <c r="E1516" s="10" t="str">
        <f aca="false">INDEX(Radicals!$G$2:$G$215,MATCH(C1516,Radicals!$A$2:$A$215,0))</f>
        <v>wine, 10th zodiac sign (rooster)</v>
      </c>
      <c r="F1516" s="8" t="n">
        <f aca="false">INDEX(Radicals!$D$2:$D$215,MATCH(C1516,Radicals!$A$2:$A$215,0))</f>
        <v>7</v>
      </c>
      <c r="G1516" s="8" t="n">
        <v>13</v>
      </c>
    </row>
    <row r="1517" customFormat="false" ht="17.35" hidden="false" customHeight="false" outlineLevel="0" collapsed="false">
      <c r="A1517" s="8" t="n">
        <v>1516</v>
      </c>
      <c r="B1517" s="9" t="s">
        <v>2511</v>
      </c>
      <c r="C1517" s="8" t="n">
        <v>120</v>
      </c>
      <c r="D1517" s="9" t="str">
        <f aca="false">INDEX(Radicals!$B$2:$B$215,MATCH(C1517,Radicals!$A$2:$A$215,0))</f>
        <v>糸</v>
      </c>
      <c r="E1517" s="10" t="str">
        <f aca="false">INDEX(Radicals!$G$2:$G$215,MATCH(C1517,Radicals!$A$2:$A$215,0))</f>
        <v>thread, silk</v>
      </c>
      <c r="F1517" s="8" t="n">
        <f aca="false">INDEX(Radicals!$D$2:$D$215,MATCH(C1517,Radicals!$A$2:$A$215,0))</f>
        <v>6</v>
      </c>
      <c r="G1517" s="8" t="n">
        <v>12</v>
      </c>
    </row>
    <row r="1518" customFormat="false" ht="17.35" hidden="false" customHeight="false" outlineLevel="0" collapsed="false">
      <c r="A1518" s="8" t="n">
        <v>1517</v>
      </c>
      <c r="B1518" s="9" t="s">
        <v>2512</v>
      </c>
      <c r="C1518" s="8" t="n">
        <v>85</v>
      </c>
      <c r="D1518" s="9" t="str">
        <f aca="false">INDEX(Radicals!$B$2:$B$215,MATCH(C1518,Radicals!$A$2:$A$215,0))</f>
        <v>水</v>
      </c>
      <c r="E1518" s="10" t="str">
        <f aca="false">INDEX(Radicals!$G$2:$G$215,MATCH(C1518,Radicals!$A$2:$A$215,0))</f>
        <v>water</v>
      </c>
      <c r="F1518" s="8" t="n">
        <f aca="false">INDEX(Radicals!$D$2:$D$215,MATCH(C1518,Radicals!$A$2:$A$215,0))</f>
        <v>4</v>
      </c>
      <c r="G1518" s="8" t="n">
        <v>12</v>
      </c>
    </row>
    <row r="1519" customFormat="false" ht="17.35" hidden="false" customHeight="false" outlineLevel="0" collapsed="false">
      <c r="A1519" s="8" t="n">
        <v>1518</v>
      </c>
      <c r="B1519" s="9" t="s">
        <v>2513</v>
      </c>
      <c r="C1519" s="8" t="n">
        <v>72</v>
      </c>
      <c r="D1519" s="9" t="str">
        <f aca="false">INDEX(Radicals!$B$2:$B$215,MATCH(C1519,Radicals!$A$2:$A$215,0))</f>
        <v>日</v>
      </c>
      <c r="E1519" s="10" t="str">
        <f aca="false">INDEX(Radicals!$G$2:$G$215,MATCH(C1519,Radicals!$A$2:$A$215,0))</f>
        <v>sun, day</v>
      </c>
      <c r="F1519" s="8" t="n">
        <f aca="false">INDEX(Radicals!$D$2:$D$215,MATCH(C1519,Radicals!$A$2:$A$215,0))</f>
        <v>4</v>
      </c>
      <c r="G1519" s="8" t="n">
        <v>17</v>
      </c>
    </row>
    <row r="1520" customFormat="false" ht="17.35" hidden="false" customHeight="false" outlineLevel="0" collapsed="false">
      <c r="A1520" s="8" t="n">
        <v>1519</v>
      </c>
      <c r="B1520" s="9" t="s">
        <v>2514</v>
      </c>
      <c r="C1520" s="8" t="n">
        <v>120</v>
      </c>
      <c r="D1520" s="9" t="str">
        <f aca="false">INDEX(Radicals!$B$2:$B$215,MATCH(C1520,Radicals!$A$2:$A$215,0))</f>
        <v>糸</v>
      </c>
      <c r="E1520" s="10" t="str">
        <f aca="false">INDEX(Radicals!$G$2:$G$215,MATCH(C1520,Radicals!$A$2:$A$215,0))</f>
        <v>thread, silk</v>
      </c>
      <c r="F1520" s="8" t="n">
        <f aca="false">INDEX(Radicals!$D$2:$D$215,MATCH(C1520,Radicals!$A$2:$A$215,0))</f>
        <v>6</v>
      </c>
      <c r="G1520" s="8" t="n">
        <v>10</v>
      </c>
    </row>
    <row r="1521" customFormat="false" ht="17.35" hidden="false" customHeight="false" outlineLevel="0" collapsed="false">
      <c r="A1521" s="8" t="n">
        <v>1520</v>
      </c>
      <c r="B1521" s="9" t="s">
        <v>2515</v>
      </c>
      <c r="C1521" s="8" t="n">
        <v>26</v>
      </c>
      <c r="D1521" s="9" t="str">
        <f aca="false">INDEX(Radicals!$B$2:$B$215,MATCH(C1521,Radicals!$A$2:$A$215,0))</f>
        <v>卩</v>
      </c>
      <c r="E1521" s="10" t="str">
        <f aca="false">INDEX(Radicals!$G$2:$G$215,MATCH(C1521,Radicals!$A$2:$A$215,0))</f>
        <v>seal, kneeling person</v>
      </c>
      <c r="F1521" s="8" t="n">
        <f aca="false">INDEX(Radicals!$D$2:$D$215,MATCH(C1521,Radicals!$A$2:$A$215,0))</f>
        <v>2</v>
      </c>
      <c r="G1521" s="8" t="n">
        <v>9</v>
      </c>
    </row>
    <row r="1522" customFormat="false" ht="17.35" hidden="false" customHeight="false" outlineLevel="0" collapsed="false">
      <c r="A1522" s="8" t="n">
        <v>1521</v>
      </c>
      <c r="B1522" s="9" t="s">
        <v>2516</v>
      </c>
      <c r="C1522" s="8" t="n">
        <v>37</v>
      </c>
      <c r="D1522" s="9" t="str">
        <f aca="false">INDEX(Radicals!$B$2:$B$215,MATCH(C1522,Radicals!$A$2:$A$215,0))</f>
        <v>大</v>
      </c>
      <c r="E1522" s="10" t="str">
        <f aca="false">INDEX(Radicals!$G$2:$G$215,MATCH(C1522,Radicals!$A$2:$A$215,0))</f>
        <v>big</v>
      </c>
      <c r="F1522" s="8" t="n">
        <f aca="false">INDEX(Radicals!$D$2:$D$215,MATCH(C1522,Radicals!$A$2:$A$215,0))</f>
        <v>3</v>
      </c>
      <c r="G1522" s="8" t="n">
        <v>16</v>
      </c>
    </row>
    <row r="1523" customFormat="false" ht="17.35" hidden="false" customHeight="false" outlineLevel="0" collapsed="false">
      <c r="A1523" s="8" t="n">
        <v>1522</v>
      </c>
      <c r="B1523" s="9" t="s">
        <v>2517</v>
      </c>
      <c r="C1523" s="8" t="n">
        <v>156</v>
      </c>
      <c r="D1523" s="9" t="str">
        <f aca="false">INDEX(Radicals!$B$2:$B$215,MATCH(C1523,Radicals!$A$2:$A$215,0))</f>
        <v>走</v>
      </c>
      <c r="E1523" s="10" t="str">
        <f aca="false">INDEX(Radicals!$G$2:$G$215,MATCH(C1523,Radicals!$A$2:$A$215,0))</f>
        <v>run</v>
      </c>
      <c r="F1523" s="8" t="n">
        <f aca="false">INDEX(Radicals!$D$2:$D$215,MATCH(C1523,Radicals!$A$2:$A$215,0))</f>
        <v>7</v>
      </c>
      <c r="G1523" s="8" t="n">
        <v>14</v>
      </c>
    </row>
    <row r="1524" customFormat="false" ht="17.35" hidden="false" customHeight="false" outlineLevel="0" collapsed="false">
      <c r="A1524" s="8" t="n">
        <v>1523</v>
      </c>
      <c r="B1524" s="9" t="s">
        <v>2518</v>
      </c>
      <c r="C1524" s="8" t="n">
        <v>75</v>
      </c>
      <c r="D1524" s="9" t="str">
        <f aca="false">INDEX(Radicals!$B$2:$B$215,MATCH(C1524,Radicals!$A$2:$A$215,0))</f>
        <v>木</v>
      </c>
      <c r="E1524" s="10" t="str">
        <f aca="false">INDEX(Radicals!$G$2:$G$215,MATCH(C1524,Radicals!$A$2:$A$215,0))</f>
        <v>tree, wood</v>
      </c>
      <c r="F1524" s="8" t="n">
        <f aca="false">INDEX(Radicals!$D$2:$D$215,MATCH(C1524,Radicals!$A$2:$A$215,0))</f>
        <v>4</v>
      </c>
      <c r="G1524" s="8" t="n">
        <v>20</v>
      </c>
    </row>
    <row r="1525" customFormat="false" ht="17.35" hidden="false" customHeight="false" outlineLevel="0" collapsed="false">
      <c r="A1525" s="8" t="n">
        <v>1524</v>
      </c>
      <c r="B1525" s="9" t="s">
        <v>2519</v>
      </c>
      <c r="C1525" s="8" t="n">
        <v>162</v>
      </c>
      <c r="D1525" s="9" t="str">
        <f aca="false">INDEX(Radicals!$B$2:$B$215,MATCH(C1525,Radicals!$A$2:$A$215,0))</f>
        <v>辵</v>
      </c>
      <c r="E1525" s="10" t="str">
        <f aca="false">INDEX(Radicals!$G$2:$G$215,MATCH(C1525,Radicals!$A$2:$A$215,0))</f>
        <v>walk, movement</v>
      </c>
      <c r="F1525" s="8" t="n">
        <f aca="false">INDEX(Radicals!$D$2:$D$215,MATCH(C1525,Radicals!$A$2:$A$215,0))</f>
        <v>7</v>
      </c>
      <c r="G1525" s="8" t="n">
        <v>11</v>
      </c>
    </row>
    <row r="1526" customFormat="false" ht="17.35" hidden="false" customHeight="false" outlineLevel="0" collapsed="false">
      <c r="A1526" s="8" t="n">
        <v>1525</v>
      </c>
      <c r="B1526" s="9" t="s">
        <v>2520</v>
      </c>
      <c r="C1526" s="8" t="n">
        <v>85</v>
      </c>
      <c r="D1526" s="9" t="str">
        <f aca="false">INDEX(Radicals!$B$2:$B$215,MATCH(C1526,Radicals!$A$2:$A$215,0))</f>
        <v>水</v>
      </c>
      <c r="E1526" s="10" t="str">
        <f aca="false">INDEX(Radicals!$G$2:$G$215,MATCH(C1526,Radicals!$A$2:$A$215,0))</f>
        <v>water</v>
      </c>
      <c r="F1526" s="8" t="n">
        <f aca="false">INDEX(Radicals!$D$2:$D$215,MATCH(C1526,Radicals!$A$2:$A$215,0))</f>
        <v>4</v>
      </c>
      <c r="G1526" s="8" t="n">
        <v>11</v>
      </c>
    </row>
    <row r="1527" customFormat="false" ht="17.35" hidden="false" customHeight="false" outlineLevel="0" collapsed="false">
      <c r="A1527" s="8" t="n">
        <v>1526</v>
      </c>
      <c r="B1527" s="9" t="s">
        <v>2521</v>
      </c>
      <c r="C1527" s="8" t="n">
        <v>64</v>
      </c>
      <c r="D1527" s="9" t="str">
        <f aca="false">INDEX(Radicals!$B$2:$B$215,MATCH(C1527,Radicals!$A$2:$A$215,0))</f>
        <v>手</v>
      </c>
      <c r="E1527" s="10" t="str">
        <f aca="false">INDEX(Radicals!$G$2:$G$215,MATCH(C1527,Radicals!$A$2:$A$215,0))</f>
        <v>hand</v>
      </c>
      <c r="F1527" s="8" t="n">
        <f aca="false">INDEX(Radicals!$D$2:$D$215,MATCH(C1527,Radicals!$A$2:$A$215,0))</f>
        <v>4</v>
      </c>
      <c r="G1527" s="8" t="n">
        <v>8</v>
      </c>
    </row>
    <row r="1528" customFormat="false" ht="17.35" hidden="false" customHeight="false" outlineLevel="0" collapsed="false">
      <c r="A1528" s="8" t="n">
        <v>1527</v>
      </c>
      <c r="B1528" s="9" t="s">
        <v>2522</v>
      </c>
      <c r="C1528" s="8" t="n">
        <v>109</v>
      </c>
      <c r="D1528" s="9" t="str">
        <f aca="false">INDEX(Radicals!$B$2:$B$215,MATCH(C1528,Radicals!$A$2:$A$215,0))</f>
        <v>目</v>
      </c>
      <c r="E1528" s="10" t="str">
        <f aca="false">INDEX(Radicals!$G$2:$G$215,MATCH(C1528,Radicals!$A$2:$A$215,0))</f>
        <v>eye</v>
      </c>
      <c r="F1528" s="8" t="n">
        <f aca="false">INDEX(Radicals!$D$2:$D$215,MATCH(C1528,Radicals!$A$2:$A$215,0))</f>
        <v>5</v>
      </c>
      <c r="G1528" s="8" t="n">
        <v>11</v>
      </c>
    </row>
    <row r="1529" customFormat="false" ht="17.35" hidden="false" customHeight="false" outlineLevel="0" collapsed="false">
      <c r="A1529" s="8" t="n">
        <v>1528</v>
      </c>
      <c r="B1529" s="9" t="s">
        <v>2523</v>
      </c>
      <c r="C1529" s="8" t="n">
        <v>98</v>
      </c>
      <c r="D1529" s="9" t="str">
        <f aca="false">INDEX(Radicals!$B$2:$B$215,MATCH(C1529,Radicals!$A$2:$A$215,0))</f>
        <v>瓦</v>
      </c>
      <c r="E1529" s="10" t="str">
        <f aca="false">INDEX(Radicals!$G$2:$G$215,MATCH(C1529,Radicals!$A$2:$A$215,0))</f>
        <v>tile</v>
      </c>
      <c r="F1529" s="8" t="n">
        <f aca="false">INDEX(Radicals!$D$2:$D$215,MATCH(C1529,Radicals!$A$2:$A$215,0))</f>
        <v>5</v>
      </c>
      <c r="G1529" s="8" t="n">
        <v>11</v>
      </c>
    </row>
    <row r="1530" customFormat="false" ht="17.35" hidden="false" customHeight="false" outlineLevel="0" collapsed="false">
      <c r="A1530" s="8" t="n">
        <v>1529</v>
      </c>
      <c r="B1530" s="9" t="s">
        <v>2524</v>
      </c>
      <c r="C1530" s="8" t="n">
        <v>94</v>
      </c>
      <c r="D1530" s="9" t="str">
        <f aca="false">INDEX(Radicals!$B$2:$B$215,MATCH(C1530,Radicals!$A$2:$A$215,0))</f>
        <v>犬</v>
      </c>
      <c r="E1530" s="10" t="str">
        <f aca="false">INDEX(Radicals!$G$2:$G$215,MATCH(C1530,Radicals!$A$2:$A$215,0))</f>
        <v>dog</v>
      </c>
      <c r="F1530" s="8" t="n">
        <f aca="false">INDEX(Radicals!$D$2:$D$215,MATCH(C1530,Radicals!$A$2:$A$215,0))</f>
        <v>4</v>
      </c>
      <c r="G1530" s="8" t="n">
        <v>14</v>
      </c>
    </row>
    <row r="1531" customFormat="false" ht="17.35" hidden="false" customHeight="false" outlineLevel="0" collapsed="false">
      <c r="A1531" s="8" t="n">
        <v>1530</v>
      </c>
      <c r="B1531" s="9" t="s">
        <v>2525</v>
      </c>
      <c r="C1531" s="8" t="n">
        <v>118</v>
      </c>
      <c r="D1531" s="9" t="str">
        <f aca="false">INDEX(Radicals!$B$2:$B$215,MATCH(C1531,Radicals!$A$2:$A$215,0))</f>
        <v>竹</v>
      </c>
      <c r="E1531" s="10" t="str">
        <f aca="false">INDEX(Radicals!$G$2:$G$215,MATCH(C1531,Radicals!$A$2:$A$215,0))</f>
        <v>bamboo</v>
      </c>
      <c r="F1531" s="8" t="n">
        <f aca="false">INDEX(Radicals!$D$2:$D$215,MATCH(C1531,Radicals!$A$2:$A$215,0))</f>
        <v>6</v>
      </c>
      <c r="G1531" s="8" t="n">
        <v>12</v>
      </c>
    </row>
    <row r="1532" customFormat="false" ht="17.35" hidden="false" customHeight="false" outlineLevel="0" collapsed="false">
      <c r="A1532" s="8" t="n">
        <v>1531</v>
      </c>
      <c r="B1532" s="9" t="s">
        <v>2526</v>
      </c>
      <c r="C1532" s="8" t="n">
        <v>42</v>
      </c>
      <c r="D1532" s="9" t="str">
        <f aca="false">INDEX(Radicals!$B$2:$B$215,MATCH(C1532,Radicals!$A$2:$A$215,0))</f>
        <v>小</v>
      </c>
      <c r="E1532" s="10" t="str">
        <f aca="false">INDEX(Radicals!$G$2:$G$215,MATCH(C1532,Radicals!$A$2:$A$215,0))</f>
        <v>small</v>
      </c>
      <c r="F1532" s="8" t="n">
        <f aca="false">INDEX(Radicals!$D$2:$D$215,MATCH(C1532,Radicals!$A$2:$A$215,0))</f>
        <v>3</v>
      </c>
      <c r="G1532" s="8" t="n">
        <v>8</v>
      </c>
    </row>
    <row r="1533" customFormat="false" ht="17.35" hidden="false" customHeight="false" outlineLevel="0" collapsed="false">
      <c r="A1533" s="8" t="n">
        <v>1532</v>
      </c>
      <c r="B1533" s="9" t="s">
        <v>893</v>
      </c>
      <c r="C1533" s="8" t="n">
        <v>170</v>
      </c>
      <c r="D1533" s="9" t="str">
        <f aca="false">INDEX(Radicals!$B$2:$B$215,MATCH(C1533,Radicals!$A$2:$A$215,0))</f>
        <v>阜</v>
      </c>
      <c r="E1533" s="10" t="str">
        <f aca="false">INDEX(Radicals!$G$2:$G$215,MATCH(C1533,Radicals!$A$2:$A$215,0))</f>
        <v>mound, hill</v>
      </c>
      <c r="F1533" s="8" t="n">
        <f aca="false">INDEX(Radicals!$D$2:$D$215,MATCH(C1533,Radicals!$A$2:$A$215,0))</f>
        <v>8</v>
      </c>
      <c r="G1533" s="8" t="n">
        <v>8</v>
      </c>
    </row>
    <row r="1534" customFormat="false" ht="17.35" hidden="false" customHeight="false" outlineLevel="0" collapsed="false">
      <c r="A1534" s="8" t="n">
        <v>1533</v>
      </c>
      <c r="B1534" s="9" t="s">
        <v>2527</v>
      </c>
      <c r="C1534" s="8" t="n">
        <v>59</v>
      </c>
      <c r="D1534" s="9" t="str">
        <f aca="false">INDEX(Radicals!$B$2:$B$215,MATCH(C1534,Radicals!$A$2:$A$215,0))</f>
        <v>彡</v>
      </c>
      <c r="E1534" s="10" t="str">
        <f aca="false">INDEX(Radicals!$G$2:$G$215,MATCH(C1534,Radicals!$A$2:$A$215,0))</f>
        <v>bristle, hair, shadow</v>
      </c>
      <c r="F1534" s="8" t="n">
        <f aca="false">INDEX(Radicals!$D$2:$D$215,MATCH(C1534,Radicals!$A$2:$A$215,0))</f>
        <v>3</v>
      </c>
      <c r="G1534" s="8" t="n">
        <v>11</v>
      </c>
    </row>
    <row r="1535" customFormat="false" ht="17.35" hidden="false" customHeight="false" outlineLevel="0" collapsed="false">
      <c r="A1535" s="8" t="n">
        <v>1534</v>
      </c>
      <c r="B1535" s="9" t="s">
        <v>2528</v>
      </c>
      <c r="C1535" s="8" t="n">
        <v>30</v>
      </c>
      <c r="D1535" s="9" t="str">
        <f aca="false">INDEX(Radicals!$B$2:$B$215,MATCH(C1535,Radicals!$A$2:$A$215,0))</f>
        <v>口</v>
      </c>
      <c r="E1535" s="10" t="str">
        <f aca="false">INDEX(Radicals!$G$2:$G$215,MATCH(C1535,Radicals!$A$2:$A$215,0))</f>
        <v>mouth</v>
      </c>
      <c r="F1535" s="8" t="n">
        <f aca="false">INDEX(Radicals!$D$2:$D$215,MATCH(C1535,Radicals!$A$2:$A$215,0))</f>
        <v>3</v>
      </c>
      <c r="G1535" s="8" t="n">
        <v>9</v>
      </c>
    </row>
    <row r="1536" customFormat="false" ht="17.35" hidden="false" customHeight="false" outlineLevel="0" collapsed="false">
      <c r="A1536" s="8" t="n">
        <v>1535</v>
      </c>
      <c r="B1536" s="9" t="s">
        <v>2529</v>
      </c>
      <c r="C1536" s="8" t="n">
        <v>115</v>
      </c>
      <c r="D1536" s="9" t="str">
        <f aca="false">INDEX(Radicals!$B$2:$B$215,MATCH(C1536,Radicals!$A$2:$A$215,0))</f>
        <v>禾</v>
      </c>
      <c r="E1536" s="10" t="str">
        <f aca="false">INDEX(Radicals!$G$2:$G$215,MATCH(C1536,Radicals!$A$2:$A$215,0))</f>
        <v>grain, rice plant</v>
      </c>
      <c r="F1536" s="8" t="n">
        <f aca="false">INDEX(Radicals!$D$2:$D$215,MATCH(C1536,Radicals!$A$2:$A$215,0))</f>
        <v>5</v>
      </c>
      <c r="G1536" s="8" t="n">
        <v>16</v>
      </c>
    </row>
    <row r="1537" customFormat="false" ht="17.35" hidden="false" customHeight="false" outlineLevel="0" collapsed="false">
      <c r="A1537" s="8" t="n">
        <v>1536</v>
      </c>
      <c r="B1537" s="9" t="s">
        <v>2530</v>
      </c>
      <c r="C1537" s="8" t="n">
        <v>181</v>
      </c>
      <c r="D1537" s="9" t="str">
        <f aca="false">INDEX(Radicals!$B$2:$B$215,MATCH(C1537,Radicals!$A$2:$A$215,0))</f>
        <v>頁</v>
      </c>
      <c r="E1537" s="10" t="str">
        <f aca="false">INDEX(Radicals!$G$2:$G$215,MATCH(C1537,Radicals!$A$2:$A$215,0))</f>
        <v>page, leaf (head)</v>
      </c>
      <c r="F1537" s="8" t="n">
        <f aca="false">INDEX(Radicals!$D$2:$D$215,MATCH(C1537,Radicals!$A$2:$A$215,0))</f>
        <v>9</v>
      </c>
      <c r="G1537" s="8" t="n">
        <v>18</v>
      </c>
    </row>
    <row r="1538" customFormat="false" ht="17.35" hidden="false" customHeight="false" outlineLevel="0" collapsed="false">
      <c r="A1538" s="8" t="n">
        <v>1537</v>
      </c>
      <c r="B1538" s="9" t="s">
        <v>2531</v>
      </c>
      <c r="C1538" s="8" t="n">
        <v>48</v>
      </c>
      <c r="D1538" s="9" t="str">
        <f aca="false">INDEX(Radicals!$B$2:$B$215,MATCH(C1538,Radicals!$A$2:$A$215,0))</f>
        <v>工</v>
      </c>
      <c r="E1538" s="10" t="str">
        <f aca="false">INDEX(Radicals!$G$2:$G$215,MATCH(C1538,Radicals!$A$2:$A$215,0))</f>
        <v>work, craftsman</v>
      </c>
      <c r="F1538" s="8" t="n">
        <f aca="false">INDEX(Radicals!$D$2:$D$215,MATCH(C1538,Radicals!$A$2:$A$215,0))</f>
        <v>3</v>
      </c>
      <c r="G1538" s="8" t="n">
        <v>5</v>
      </c>
    </row>
    <row r="1539" customFormat="false" ht="17.35" hidden="false" customHeight="false" outlineLevel="0" collapsed="false">
      <c r="A1539" s="8" t="n">
        <v>1538</v>
      </c>
      <c r="B1539" s="9" t="s">
        <v>583</v>
      </c>
      <c r="C1539" s="8" t="n">
        <v>110</v>
      </c>
      <c r="D1539" s="9" t="str">
        <f aca="false">INDEX(Radicals!$B$2:$B$215,MATCH(C1539,Radicals!$A$2:$A$215,0))</f>
        <v>矛</v>
      </c>
      <c r="E1539" s="10" t="str">
        <f aca="false">INDEX(Radicals!$G$2:$G$215,MATCH(C1539,Radicals!$A$2:$A$215,0))</f>
        <v>spear</v>
      </c>
      <c r="F1539" s="8" t="n">
        <f aca="false">INDEX(Radicals!$D$2:$D$215,MATCH(C1539,Radicals!$A$2:$A$215,0))</f>
        <v>5</v>
      </c>
      <c r="G1539" s="8" t="n">
        <v>5</v>
      </c>
    </row>
    <row r="1540" customFormat="false" ht="17.35" hidden="false" customHeight="false" outlineLevel="0" collapsed="false">
      <c r="A1540" s="8" t="n">
        <v>1539</v>
      </c>
      <c r="B1540" s="9" t="s">
        <v>2532</v>
      </c>
      <c r="C1540" s="8" t="n">
        <v>32</v>
      </c>
      <c r="D1540" s="9" t="str">
        <f aca="false">INDEX(Radicals!$B$2:$B$215,MATCH(C1540,Radicals!$A$2:$A$215,0))</f>
        <v>土</v>
      </c>
      <c r="E1540" s="10" t="str">
        <f aca="false">INDEX(Radicals!$G$2:$G$215,MATCH(C1540,Radicals!$A$2:$A$215,0))</f>
        <v>earth, soil</v>
      </c>
      <c r="F1540" s="8" t="n">
        <f aca="false">INDEX(Radicals!$D$2:$D$215,MATCH(C1540,Radicals!$A$2:$A$215,0))</f>
        <v>3</v>
      </c>
      <c r="G1540" s="8" t="n">
        <v>9</v>
      </c>
    </row>
    <row r="1541" customFormat="false" ht="17.35" hidden="false" customHeight="false" outlineLevel="0" collapsed="false">
      <c r="A1541" s="8" t="n">
        <v>1540</v>
      </c>
      <c r="B1541" s="9" t="s">
        <v>2533</v>
      </c>
      <c r="C1541" s="8" t="n">
        <v>30</v>
      </c>
      <c r="D1541" s="9" t="str">
        <f aca="false">INDEX(Radicals!$B$2:$B$215,MATCH(C1541,Radicals!$A$2:$A$215,0))</f>
        <v>口</v>
      </c>
      <c r="E1541" s="10" t="str">
        <f aca="false">INDEX(Radicals!$G$2:$G$215,MATCH(C1541,Radicals!$A$2:$A$215,0))</f>
        <v>mouth</v>
      </c>
      <c r="F1541" s="8" t="n">
        <f aca="false">INDEX(Radicals!$D$2:$D$215,MATCH(C1541,Radicals!$A$2:$A$215,0))</f>
        <v>3</v>
      </c>
      <c r="G1541" s="8" t="n">
        <v>5</v>
      </c>
    </row>
    <row r="1542" customFormat="false" ht="17.35" hidden="false" customHeight="false" outlineLevel="0" collapsed="false">
      <c r="A1542" s="8" t="n">
        <v>1541</v>
      </c>
      <c r="B1542" s="9" t="s">
        <v>2534</v>
      </c>
      <c r="C1542" s="8" t="n">
        <v>76</v>
      </c>
      <c r="D1542" s="9" t="str">
        <f aca="false">INDEX(Radicals!$B$2:$B$215,MATCH(C1542,Radicals!$A$2:$A$215,0))</f>
        <v>欠</v>
      </c>
      <c r="E1542" s="10" t="str">
        <f aca="false">INDEX(Radicals!$G$2:$G$215,MATCH(C1542,Radicals!$A$2:$A$215,0))</f>
        <v>lack, yawn</v>
      </c>
      <c r="F1542" s="8" t="n">
        <f aca="false">INDEX(Radicals!$D$2:$D$215,MATCH(C1542,Radicals!$A$2:$A$215,0))</f>
        <v>4</v>
      </c>
      <c r="G1542" s="8" t="n">
        <v>12</v>
      </c>
    </row>
    <row r="1543" customFormat="false" ht="17.35" hidden="false" customHeight="false" outlineLevel="0" collapsed="false">
      <c r="A1543" s="8" t="n">
        <v>1542</v>
      </c>
      <c r="B1543" s="9" t="s">
        <v>2535</v>
      </c>
      <c r="C1543" s="8" t="n">
        <v>167</v>
      </c>
      <c r="D1543" s="9" t="str">
        <f aca="false">INDEX(Radicals!$B$2:$B$215,MATCH(C1543,Radicals!$A$2:$A$215,0))</f>
        <v>金</v>
      </c>
      <c r="E1543" s="10" t="str">
        <f aca="false">INDEX(Radicals!$G$2:$G$215,MATCH(C1543,Radicals!$A$2:$A$215,0))</f>
        <v>metal, gold</v>
      </c>
      <c r="F1543" s="8" t="n">
        <f aca="false">INDEX(Radicals!$D$2:$D$215,MATCH(C1543,Radicals!$A$2:$A$215,0))</f>
        <v>8</v>
      </c>
      <c r="G1543" s="8" t="n">
        <v>11</v>
      </c>
    </row>
    <row r="1544" customFormat="false" ht="17.35" hidden="false" customHeight="false" outlineLevel="0" collapsed="false">
      <c r="A1544" s="8" t="n">
        <v>1543</v>
      </c>
      <c r="B1544" s="9" t="s">
        <v>639</v>
      </c>
      <c r="C1544" s="8" t="n">
        <v>121</v>
      </c>
      <c r="D1544" s="9" t="str">
        <f aca="false">INDEX(Radicals!$B$2:$B$215,MATCH(C1544,Radicals!$A$2:$A$215,0))</f>
        <v>缶</v>
      </c>
      <c r="E1544" s="10" t="str">
        <f aca="false">INDEX(Radicals!$G$2:$G$215,MATCH(C1544,Radicals!$A$2:$A$215,0))</f>
        <v>jar, can</v>
      </c>
      <c r="F1544" s="8" t="n">
        <f aca="false">INDEX(Radicals!$D$2:$D$215,MATCH(C1544,Radicals!$A$2:$A$215,0))</f>
        <v>6</v>
      </c>
      <c r="G1544" s="8" t="n">
        <v>6</v>
      </c>
    </row>
    <row r="1545" customFormat="false" ht="17.35" hidden="false" customHeight="false" outlineLevel="0" collapsed="false">
      <c r="A1545" s="8" t="n">
        <v>1544</v>
      </c>
      <c r="B1545" s="9" t="s">
        <v>2536</v>
      </c>
      <c r="C1545" s="8" t="n">
        <v>140</v>
      </c>
      <c r="D1545" s="9" t="str">
        <f aca="false">INDEX(Radicals!$B$2:$B$215,MATCH(C1545,Radicals!$A$2:$A$215,0))</f>
        <v>艸</v>
      </c>
      <c r="E1545" s="10" t="str">
        <f aca="false">INDEX(Radicals!$G$2:$G$215,MATCH(C1545,Radicals!$A$2:$A$215,0))</f>
        <v>grass, plant</v>
      </c>
      <c r="F1545" s="8" t="n">
        <f aca="false">INDEX(Radicals!$D$2:$D$215,MATCH(C1545,Radicals!$A$2:$A$215,0))</f>
        <v>6</v>
      </c>
      <c r="G1545" s="8" t="n">
        <v>12</v>
      </c>
    </row>
    <row r="1546" customFormat="false" ht="17.35" hidden="false" customHeight="false" outlineLevel="0" collapsed="false">
      <c r="A1546" s="8" t="n">
        <v>1545</v>
      </c>
      <c r="B1546" s="9" t="s">
        <v>2537</v>
      </c>
      <c r="C1546" s="8" t="n">
        <v>119</v>
      </c>
      <c r="D1546" s="9" t="str">
        <f aca="false">INDEX(Radicals!$B$2:$B$215,MATCH(C1546,Radicals!$A$2:$A$215,0))</f>
        <v>米</v>
      </c>
      <c r="E1546" s="10" t="str">
        <f aca="false">INDEX(Radicals!$G$2:$G$215,MATCH(C1546,Radicals!$A$2:$A$215,0))</f>
        <v>rice</v>
      </c>
      <c r="F1546" s="8" t="n">
        <f aca="false">INDEX(Radicals!$D$2:$D$215,MATCH(C1546,Radicals!$A$2:$A$215,0))</f>
        <v>6</v>
      </c>
      <c r="G1546" s="8" t="n">
        <v>12</v>
      </c>
    </row>
    <row r="1547" customFormat="false" ht="17.35" hidden="false" customHeight="false" outlineLevel="0" collapsed="false">
      <c r="A1547" s="8" t="n">
        <v>1546</v>
      </c>
      <c r="B1547" s="9" t="s">
        <v>2538</v>
      </c>
      <c r="C1547" s="8" t="n">
        <v>172</v>
      </c>
      <c r="D1547" s="9" t="str">
        <f aca="false">INDEX(Radicals!$B$2:$B$215,MATCH(C1547,Radicals!$A$2:$A$215,0))</f>
        <v>隹</v>
      </c>
      <c r="E1547" s="10" t="str">
        <f aca="false">INDEX(Radicals!$G$2:$G$215,MATCH(C1547,Radicals!$A$2:$A$215,0))</f>
        <v>short-tailed bird</v>
      </c>
      <c r="F1547" s="8" t="n">
        <f aca="false">INDEX(Radicals!$D$2:$D$215,MATCH(C1547,Radicals!$A$2:$A$215,0))</f>
        <v>8</v>
      </c>
      <c r="G1547" s="8" t="n">
        <v>10</v>
      </c>
    </row>
    <row r="1548" customFormat="false" ht="17.35" hidden="false" customHeight="false" outlineLevel="0" collapsed="false">
      <c r="A1548" s="8" t="n">
        <v>1547</v>
      </c>
      <c r="B1548" s="9" t="s">
        <v>2539</v>
      </c>
      <c r="C1548" s="8" t="n">
        <v>140</v>
      </c>
      <c r="D1548" s="9" t="str">
        <f aca="false">INDEX(Radicals!$B$2:$B$215,MATCH(C1548,Radicals!$A$2:$A$215,0))</f>
        <v>艸</v>
      </c>
      <c r="E1548" s="10" t="str">
        <f aca="false">INDEX(Radicals!$G$2:$G$215,MATCH(C1548,Radicals!$A$2:$A$215,0))</f>
        <v>grass, plant</v>
      </c>
      <c r="F1548" s="8" t="n">
        <f aca="false">INDEX(Radicals!$D$2:$D$215,MATCH(C1548,Radicals!$A$2:$A$215,0))</f>
        <v>6</v>
      </c>
      <c r="G1548" s="8" t="n">
        <v>11</v>
      </c>
    </row>
    <row r="1549" customFormat="false" ht="17.35" hidden="false" customHeight="false" outlineLevel="0" collapsed="false">
      <c r="A1549" s="8" t="n">
        <v>1548</v>
      </c>
      <c r="B1549" s="9" t="s">
        <v>2540</v>
      </c>
      <c r="C1549" s="8" t="n">
        <v>130</v>
      </c>
      <c r="D1549" s="9" t="str">
        <f aca="false">INDEX(Radicals!$B$2:$B$215,MATCH(C1549,Radicals!$A$2:$A$215,0))</f>
        <v>肉</v>
      </c>
      <c r="E1549" s="10" t="str">
        <f aca="false">INDEX(Radicals!$G$2:$G$215,MATCH(C1549,Radicals!$A$2:$A$215,0))</f>
        <v>meat, flesh</v>
      </c>
      <c r="F1549" s="8" t="n">
        <f aca="false">INDEX(Radicals!$D$2:$D$215,MATCH(C1549,Radicals!$A$2:$A$215,0))</f>
        <v>6</v>
      </c>
      <c r="G1549" s="8" t="n">
        <v>10</v>
      </c>
    </row>
    <row r="1550" customFormat="false" ht="17.35" hidden="false" customHeight="false" outlineLevel="0" collapsed="false">
      <c r="A1550" s="8" t="n">
        <v>1549</v>
      </c>
      <c r="B1550" s="9" t="s">
        <v>2541</v>
      </c>
      <c r="C1550" s="8" t="n">
        <v>129</v>
      </c>
      <c r="D1550" s="9" t="str">
        <f aca="false">INDEX(Radicals!$B$2:$B$215,MATCH(C1550,Radicals!$A$2:$A$215,0))</f>
        <v>聿</v>
      </c>
      <c r="E1550" s="10" t="str">
        <f aca="false">INDEX(Radicals!$G$2:$G$215,MATCH(C1550,Radicals!$A$2:$A$215,0))</f>
        <v>brush</v>
      </c>
      <c r="F1550" s="8" t="n">
        <f aca="false">INDEX(Radicals!$D$2:$D$215,MATCH(C1550,Radicals!$A$2:$A$215,0))</f>
        <v>6</v>
      </c>
      <c r="G1550" s="8" t="n">
        <v>11</v>
      </c>
    </row>
    <row r="1551" customFormat="false" ht="17.35" hidden="false" customHeight="false" outlineLevel="0" collapsed="false">
      <c r="A1551" s="8" t="n">
        <v>1550</v>
      </c>
      <c r="B1551" s="9" t="s">
        <v>2542</v>
      </c>
      <c r="C1551" s="8" t="n">
        <v>75</v>
      </c>
      <c r="D1551" s="9" t="str">
        <f aca="false">INDEX(Radicals!$B$2:$B$215,MATCH(C1551,Radicals!$A$2:$A$215,0))</f>
        <v>木</v>
      </c>
      <c r="E1551" s="10" t="str">
        <f aca="false">INDEX(Radicals!$G$2:$G$215,MATCH(C1551,Radicals!$A$2:$A$215,0))</f>
        <v>tree, wood</v>
      </c>
      <c r="F1551" s="8" t="n">
        <f aca="false">INDEX(Radicals!$D$2:$D$215,MATCH(C1551,Radicals!$A$2:$A$215,0))</f>
        <v>4</v>
      </c>
      <c r="G1551" s="8" t="n">
        <v>10</v>
      </c>
    </row>
    <row r="1552" customFormat="false" ht="17.35" hidden="false" customHeight="false" outlineLevel="0" collapsed="false">
      <c r="A1552" s="8" t="n">
        <v>1551</v>
      </c>
      <c r="B1552" s="9" t="s">
        <v>2543</v>
      </c>
      <c r="C1552" s="8" t="n">
        <v>61</v>
      </c>
      <c r="D1552" s="9" t="str">
        <f aca="false">INDEX(Radicals!$B$2:$B$215,MATCH(C1552,Radicals!$A$2:$A$215,0))</f>
        <v>心</v>
      </c>
      <c r="E1552" s="10" t="str">
        <f aca="false">INDEX(Radicals!$G$2:$G$215,MATCH(C1552,Radicals!$A$2:$A$215,0))</f>
        <v>heart, mind</v>
      </c>
      <c r="F1552" s="8" t="n">
        <f aca="false">INDEX(Radicals!$D$2:$D$215,MATCH(C1552,Radicals!$A$2:$A$215,0))</f>
        <v>4</v>
      </c>
      <c r="G1552" s="8" t="n">
        <v>13</v>
      </c>
    </row>
    <row r="1553" customFormat="false" ht="17.35" hidden="false" customHeight="false" outlineLevel="0" collapsed="false">
      <c r="A1553" s="8" t="n">
        <v>1552</v>
      </c>
      <c r="B1553" s="9" t="s">
        <v>2544</v>
      </c>
      <c r="C1553" s="8" t="n">
        <v>140</v>
      </c>
      <c r="D1553" s="9" t="str">
        <f aca="false">INDEX(Radicals!$B$2:$B$215,MATCH(C1553,Radicals!$A$2:$A$215,0))</f>
        <v>艸</v>
      </c>
      <c r="E1553" s="10" t="str">
        <f aca="false">INDEX(Radicals!$G$2:$G$215,MATCH(C1553,Radicals!$A$2:$A$215,0))</f>
        <v>grass, plant</v>
      </c>
      <c r="F1553" s="8" t="n">
        <f aca="false">INDEX(Radicals!$D$2:$D$215,MATCH(C1553,Radicals!$A$2:$A$215,0))</f>
        <v>6</v>
      </c>
      <c r="G1553" s="8" t="n">
        <v>13</v>
      </c>
    </row>
    <row r="1554" customFormat="false" ht="17.35" hidden="false" customHeight="false" outlineLevel="0" collapsed="false">
      <c r="A1554" s="8" t="n">
        <v>1553</v>
      </c>
      <c r="B1554" s="9" t="s">
        <v>2545</v>
      </c>
      <c r="C1554" s="8" t="n">
        <v>30</v>
      </c>
      <c r="D1554" s="9" t="str">
        <f aca="false">INDEX(Radicals!$B$2:$B$215,MATCH(C1554,Radicals!$A$2:$A$215,0))</f>
        <v>口</v>
      </c>
      <c r="E1554" s="10" t="str">
        <f aca="false">INDEX(Radicals!$G$2:$G$215,MATCH(C1554,Radicals!$A$2:$A$215,0))</f>
        <v>mouth</v>
      </c>
      <c r="F1554" s="8" t="n">
        <f aca="false">INDEX(Radicals!$D$2:$D$215,MATCH(C1554,Radicals!$A$2:$A$215,0))</f>
        <v>3</v>
      </c>
      <c r="G1554" s="8" t="n">
        <v>14</v>
      </c>
    </row>
    <row r="1555" customFormat="false" ht="17.35" hidden="false" customHeight="false" outlineLevel="0" collapsed="false">
      <c r="A1555" s="8" t="n">
        <v>1554</v>
      </c>
      <c r="B1555" s="9" t="s">
        <v>2546</v>
      </c>
      <c r="C1555" s="8" t="n">
        <v>162</v>
      </c>
      <c r="D1555" s="9" t="str">
        <f aca="false">INDEX(Radicals!$B$2:$B$215,MATCH(C1555,Radicals!$A$2:$A$215,0))</f>
        <v>辵</v>
      </c>
      <c r="E1555" s="10" t="str">
        <f aca="false">INDEX(Radicals!$G$2:$G$215,MATCH(C1555,Radicals!$A$2:$A$215,0))</f>
        <v>walk, movement</v>
      </c>
      <c r="F1555" s="8" t="n">
        <f aca="false">INDEX(Radicals!$D$2:$D$215,MATCH(C1555,Radicals!$A$2:$A$215,0))</f>
        <v>7</v>
      </c>
      <c r="G1555" s="8" t="n">
        <v>14</v>
      </c>
    </row>
    <row r="1556" customFormat="false" ht="17.35" hidden="false" customHeight="false" outlineLevel="0" collapsed="false">
      <c r="A1556" s="8" t="n">
        <v>1555</v>
      </c>
      <c r="B1556" s="9" t="s">
        <v>2547</v>
      </c>
      <c r="C1556" s="8" t="n">
        <v>75</v>
      </c>
      <c r="D1556" s="9" t="str">
        <f aca="false">INDEX(Radicals!$B$2:$B$215,MATCH(C1556,Radicals!$A$2:$A$215,0))</f>
        <v>木</v>
      </c>
      <c r="E1556" s="10" t="str">
        <f aca="false">INDEX(Radicals!$G$2:$G$215,MATCH(C1556,Radicals!$A$2:$A$215,0))</f>
        <v>tree, wood</v>
      </c>
      <c r="F1556" s="8" t="n">
        <f aca="false">INDEX(Radicals!$D$2:$D$215,MATCH(C1556,Radicals!$A$2:$A$215,0))</f>
        <v>4</v>
      </c>
      <c r="G1556" s="8" t="n">
        <v>9</v>
      </c>
    </row>
    <row r="1557" customFormat="false" ht="17.35" hidden="false" customHeight="false" outlineLevel="0" collapsed="false">
      <c r="A1557" s="8" t="n">
        <v>1556</v>
      </c>
      <c r="B1557" s="9" t="s">
        <v>2548</v>
      </c>
      <c r="C1557" s="8" t="n">
        <v>118</v>
      </c>
      <c r="D1557" s="9" t="str">
        <f aca="false">INDEX(Radicals!$B$2:$B$215,MATCH(C1557,Radicals!$A$2:$A$215,0))</f>
        <v>竹</v>
      </c>
      <c r="E1557" s="10" t="str">
        <f aca="false">INDEX(Radicals!$G$2:$G$215,MATCH(C1557,Radicals!$A$2:$A$215,0))</f>
        <v>bamboo</v>
      </c>
      <c r="F1557" s="8" t="n">
        <f aca="false">INDEX(Radicals!$D$2:$D$215,MATCH(C1557,Radicals!$A$2:$A$215,0))</f>
        <v>6</v>
      </c>
      <c r="G1557" s="8" t="n">
        <v>17</v>
      </c>
    </row>
    <row r="1558" customFormat="false" ht="17.35" hidden="false" customHeight="false" outlineLevel="0" collapsed="false">
      <c r="A1558" s="8" t="n">
        <v>1557</v>
      </c>
      <c r="B1558" s="9" t="s">
        <v>1008</v>
      </c>
      <c r="C1558" s="8" t="n">
        <v>194</v>
      </c>
      <c r="D1558" s="9" t="str">
        <f aca="false">INDEX(Radicals!$B$2:$B$215,MATCH(C1558,Radicals!$A$2:$A$215,0))</f>
        <v>鬼</v>
      </c>
      <c r="E1558" s="10" t="str">
        <f aca="false">INDEX(Radicals!$G$2:$G$215,MATCH(C1558,Radicals!$A$2:$A$215,0))</f>
        <v>ghost, demon</v>
      </c>
      <c r="F1558" s="8" t="n">
        <f aca="false">INDEX(Radicals!$D$2:$D$215,MATCH(C1558,Radicals!$A$2:$A$215,0))</f>
        <v>10</v>
      </c>
      <c r="G1558" s="8" t="n">
        <v>10</v>
      </c>
    </row>
    <row r="1559" customFormat="false" ht="17.35" hidden="false" customHeight="false" outlineLevel="0" collapsed="false">
      <c r="A1559" s="8" t="n">
        <v>1558</v>
      </c>
      <c r="B1559" s="9" t="s">
        <v>2549</v>
      </c>
      <c r="C1559" s="8" t="n">
        <v>53</v>
      </c>
      <c r="D1559" s="9" t="str">
        <f aca="false">INDEX(Radicals!$B$2:$B$215,MATCH(C1559,Radicals!$A$2:$A$215,0))</f>
        <v>广</v>
      </c>
      <c r="E1559" s="10" t="str">
        <f aca="false">INDEX(Radicals!$G$2:$G$215,MATCH(C1559,Radicals!$A$2:$A$215,0))</f>
        <v>dotted cliff, building</v>
      </c>
      <c r="F1559" s="8" t="n">
        <f aca="false">INDEX(Radicals!$D$2:$D$215,MATCH(C1559,Radicals!$A$2:$A$215,0))</f>
        <v>3</v>
      </c>
      <c r="G1559" s="8" t="n">
        <v>11</v>
      </c>
    </row>
    <row r="1560" customFormat="false" ht="17.35" hidden="false" customHeight="false" outlineLevel="0" collapsed="false">
      <c r="A1560" s="8" t="n">
        <v>1559</v>
      </c>
      <c r="B1560" s="9" t="s">
        <v>2550</v>
      </c>
      <c r="C1560" s="8" t="n">
        <v>130</v>
      </c>
      <c r="D1560" s="9" t="str">
        <f aca="false">INDEX(Radicals!$B$2:$B$215,MATCH(C1560,Radicals!$A$2:$A$215,0))</f>
        <v>肉</v>
      </c>
      <c r="E1560" s="10" t="str">
        <f aca="false">INDEX(Radicals!$G$2:$G$215,MATCH(C1560,Radicals!$A$2:$A$215,0))</f>
        <v>meat, flesh</v>
      </c>
      <c r="F1560" s="8" t="n">
        <f aca="false">INDEX(Radicals!$D$2:$D$215,MATCH(C1560,Radicals!$A$2:$A$215,0))</f>
        <v>6</v>
      </c>
      <c r="G1560" s="8" t="n">
        <v>6</v>
      </c>
    </row>
    <row r="1561" customFormat="false" ht="17.35" hidden="false" customHeight="false" outlineLevel="0" collapsed="false">
      <c r="A1561" s="8" t="n">
        <v>1560</v>
      </c>
      <c r="B1561" s="9" t="s">
        <v>2551</v>
      </c>
      <c r="C1561" s="8" t="n">
        <v>115</v>
      </c>
      <c r="D1561" s="9" t="str">
        <f aca="false">INDEX(Radicals!$B$2:$B$215,MATCH(C1561,Radicals!$A$2:$A$215,0))</f>
        <v>禾</v>
      </c>
      <c r="E1561" s="10" t="str">
        <f aca="false">INDEX(Radicals!$G$2:$G$215,MATCH(C1561,Radicals!$A$2:$A$215,0))</f>
        <v>grain, rice plant</v>
      </c>
      <c r="F1561" s="8" t="n">
        <f aca="false">INDEX(Radicals!$D$2:$D$215,MATCH(C1561,Radicals!$A$2:$A$215,0))</f>
        <v>5</v>
      </c>
      <c r="G1561" s="8" t="n">
        <v>13</v>
      </c>
    </row>
    <row r="1562" customFormat="false" ht="17.35" hidden="false" customHeight="false" outlineLevel="0" collapsed="false">
      <c r="A1562" s="8" t="n">
        <v>1561</v>
      </c>
      <c r="B1562" s="9" t="s">
        <v>2552</v>
      </c>
      <c r="C1562" s="8" t="n">
        <v>177</v>
      </c>
      <c r="D1562" s="9" t="str">
        <f aca="false">INDEX(Radicals!$B$2:$B$215,MATCH(C1562,Radicals!$A$2:$A$215,0))</f>
        <v>革</v>
      </c>
      <c r="E1562" s="10" t="str">
        <f aca="false">INDEX(Radicals!$G$2:$G$215,MATCH(C1562,Radicals!$A$2:$A$215,0))</f>
        <v>leather, to change</v>
      </c>
      <c r="F1562" s="8" t="n">
        <f aca="false">INDEX(Radicals!$D$2:$D$215,MATCH(C1562,Radicals!$A$2:$A$215,0))</f>
        <v>9</v>
      </c>
      <c r="G1562" s="8" t="n">
        <v>13</v>
      </c>
    </row>
    <row r="1563" customFormat="false" ht="17.35" hidden="false" customHeight="false" outlineLevel="0" collapsed="false">
      <c r="A1563" s="8" t="n">
        <v>1562</v>
      </c>
      <c r="B1563" s="9" t="s">
        <v>2553</v>
      </c>
      <c r="C1563" s="8" t="n">
        <v>140</v>
      </c>
      <c r="D1563" s="9" t="str">
        <f aca="false">INDEX(Radicals!$B$2:$B$215,MATCH(C1563,Radicals!$A$2:$A$215,0))</f>
        <v>艸</v>
      </c>
      <c r="E1563" s="10" t="str">
        <f aca="false">INDEX(Radicals!$G$2:$G$215,MATCH(C1563,Radicals!$A$2:$A$215,0))</f>
        <v>grass, plant</v>
      </c>
      <c r="F1563" s="8" t="n">
        <f aca="false">INDEX(Radicals!$D$2:$D$215,MATCH(C1563,Radicals!$A$2:$A$215,0))</f>
        <v>6</v>
      </c>
      <c r="G1563" s="8" t="n">
        <v>11</v>
      </c>
    </row>
    <row r="1564" customFormat="false" ht="17.35" hidden="false" customHeight="false" outlineLevel="0" collapsed="false">
      <c r="A1564" s="8" t="n">
        <v>1563</v>
      </c>
      <c r="B1564" s="9" t="s">
        <v>2554</v>
      </c>
      <c r="C1564" s="8" t="n">
        <v>85</v>
      </c>
      <c r="D1564" s="9" t="str">
        <f aca="false">INDEX(Radicals!$B$2:$B$215,MATCH(C1564,Radicals!$A$2:$A$215,0))</f>
        <v>水</v>
      </c>
      <c r="E1564" s="10" t="str">
        <f aca="false">INDEX(Radicals!$G$2:$G$215,MATCH(C1564,Radicals!$A$2:$A$215,0))</f>
        <v>water</v>
      </c>
      <c r="F1564" s="8" t="n">
        <f aca="false">INDEX(Radicals!$D$2:$D$215,MATCH(C1564,Radicals!$A$2:$A$215,0))</f>
        <v>4</v>
      </c>
      <c r="G1564" s="8" t="n">
        <v>12</v>
      </c>
    </row>
    <row r="1565" customFormat="false" ht="17.35" hidden="false" customHeight="false" outlineLevel="0" collapsed="false">
      <c r="A1565" s="8" t="n">
        <v>1564</v>
      </c>
      <c r="B1565" s="9" t="s">
        <v>2555</v>
      </c>
      <c r="C1565" s="8" t="n">
        <v>52</v>
      </c>
      <c r="D1565" s="9" t="str">
        <f aca="false">INDEX(Radicals!$B$2:$B$215,MATCH(C1565,Radicals!$A$2:$A$215,0))</f>
        <v>幺</v>
      </c>
      <c r="E1565" s="10" t="str">
        <f aca="false">INDEX(Radicals!$G$2:$G$215,MATCH(C1565,Radicals!$A$2:$A$215,0))</f>
        <v>short thread, tiny</v>
      </c>
      <c r="F1565" s="8" t="n">
        <f aca="false">INDEX(Radicals!$D$2:$D$215,MATCH(C1565,Radicals!$A$2:$A$215,0))</f>
        <v>3</v>
      </c>
      <c r="G1565" s="8" t="n">
        <v>4</v>
      </c>
    </row>
    <row r="1566" customFormat="false" ht="17.35" hidden="false" customHeight="false" outlineLevel="0" collapsed="false">
      <c r="A1566" s="8" t="n">
        <v>1565</v>
      </c>
      <c r="B1566" s="9" t="s">
        <v>2556</v>
      </c>
      <c r="C1566" s="8" t="n">
        <v>86</v>
      </c>
      <c r="D1566" s="9" t="str">
        <f aca="false">INDEX(Radicals!$B$2:$B$215,MATCH(C1566,Radicals!$A$2:$A$215,0))</f>
        <v>火</v>
      </c>
      <c r="E1566" s="10" t="str">
        <f aca="false">INDEX(Radicals!$G$2:$G$215,MATCH(C1566,Radicals!$A$2:$A$215,0))</f>
        <v>fire</v>
      </c>
      <c r="F1566" s="8" t="n">
        <f aca="false">INDEX(Radicals!$D$2:$D$215,MATCH(C1566,Radicals!$A$2:$A$215,0))</f>
        <v>4</v>
      </c>
      <c r="G1566" s="8" t="n">
        <v>12</v>
      </c>
    </row>
    <row r="1567" customFormat="false" ht="17.35" hidden="false" customHeight="false" outlineLevel="0" collapsed="false">
      <c r="A1567" s="8" t="n">
        <v>1566</v>
      </c>
      <c r="B1567" s="9" t="s">
        <v>2557</v>
      </c>
      <c r="C1567" s="8" t="n">
        <v>38</v>
      </c>
      <c r="D1567" s="9" t="str">
        <f aca="false">INDEX(Radicals!$B$2:$B$215,MATCH(C1567,Radicals!$A$2:$A$215,0))</f>
        <v>女</v>
      </c>
      <c r="E1567" s="10" t="str">
        <f aca="false">INDEX(Radicals!$G$2:$G$215,MATCH(C1567,Radicals!$A$2:$A$215,0))</f>
        <v>woman</v>
      </c>
      <c r="F1567" s="8" t="n">
        <f aca="false">INDEX(Radicals!$D$2:$D$215,MATCH(C1567,Radicals!$A$2:$A$215,0))</f>
        <v>3</v>
      </c>
      <c r="G1567" s="8" t="n">
        <v>10</v>
      </c>
    </row>
    <row r="1568" customFormat="false" ht="17.35" hidden="false" customHeight="false" outlineLevel="0" collapsed="false">
      <c r="A1568" s="8" t="n">
        <v>1567</v>
      </c>
      <c r="B1568" s="9" t="s">
        <v>2558</v>
      </c>
      <c r="C1568" s="8" t="n">
        <v>149</v>
      </c>
      <c r="D1568" s="9" t="str">
        <f aca="false">INDEX(Radicals!$B$2:$B$215,MATCH(C1568,Radicals!$A$2:$A$215,0))</f>
        <v>言</v>
      </c>
      <c r="E1568" s="10" t="str">
        <f aca="false">INDEX(Radicals!$G$2:$G$215,MATCH(C1568,Radicals!$A$2:$A$215,0))</f>
        <v>speech, say</v>
      </c>
      <c r="F1568" s="8" t="n">
        <f aca="false">INDEX(Radicals!$D$2:$D$215,MATCH(C1568,Radicals!$A$2:$A$215,0))</f>
        <v>7</v>
      </c>
      <c r="G1568" s="8" t="n">
        <v>14</v>
      </c>
    </row>
    <row r="1569" customFormat="false" ht="17.35" hidden="false" customHeight="false" outlineLevel="0" collapsed="false">
      <c r="A1569" s="8" t="n">
        <v>1568</v>
      </c>
      <c r="B1569" s="9" t="s">
        <v>675</v>
      </c>
      <c r="C1569" s="8" t="n">
        <v>127</v>
      </c>
      <c r="D1569" s="9" t="str">
        <f aca="false">INDEX(Radicals!$B$2:$B$215,MATCH(C1569,Radicals!$A$2:$A$215,0))</f>
        <v>耒</v>
      </c>
      <c r="E1569" s="10" t="str">
        <f aca="false">INDEX(Radicals!$G$2:$G$215,MATCH(C1569,Radicals!$A$2:$A$215,0))</f>
        <v>plow</v>
      </c>
      <c r="F1569" s="8" t="n">
        <f aca="false">INDEX(Radicals!$D$2:$D$215,MATCH(C1569,Radicals!$A$2:$A$215,0))</f>
        <v>6</v>
      </c>
      <c r="G1569" s="8" t="n">
        <v>10</v>
      </c>
    </row>
    <row r="1570" customFormat="false" ht="17.35" hidden="false" customHeight="false" outlineLevel="0" collapsed="false">
      <c r="A1570" s="8" t="n">
        <v>1569</v>
      </c>
      <c r="B1570" s="9" t="s">
        <v>2559</v>
      </c>
      <c r="C1570" s="8" t="n">
        <v>64</v>
      </c>
      <c r="D1570" s="9" t="str">
        <f aca="false">INDEX(Radicals!$B$2:$B$215,MATCH(C1570,Radicals!$A$2:$A$215,0))</f>
        <v>手</v>
      </c>
      <c r="E1570" s="10" t="str">
        <f aca="false">INDEX(Radicals!$G$2:$G$215,MATCH(C1570,Radicals!$A$2:$A$215,0))</f>
        <v>hand</v>
      </c>
      <c r="F1570" s="8" t="n">
        <f aca="false">INDEX(Radicals!$D$2:$D$215,MATCH(C1570,Radicals!$A$2:$A$215,0))</f>
        <v>4</v>
      </c>
      <c r="G1570" s="8" t="n">
        <v>7</v>
      </c>
    </row>
    <row r="1571" customFormat="false" ht="17.35" hidden="false" customHeight="false" outlineLevel="0" collapsed="false">
      <c r="A1571" s="8" t="n">
        <v>1570</v>
      </c>
      <c r="B1571" s="9" t="s">
        <v>2560</v>
      </c>
      <c r="C1571" s="8" t="n">
        <v>157</v>
      </c>
      <c r="D1571" s="9" t="str">
        <f aca="false">INDEX(Radicals!$B$2:$B$215,MATCH(C1571,Radicals!$A$2:$A$215,0))</f>
        <v>足</v>
      </c>
      <c r="E1571" s="10" t="str">
        <f aca="false">INDEX(Radicals!$G$2:$G$215,MATCH(C1571,Radicals!$A$2:$A$215,0))</f>
        <v>foot, leg</v>
      </c>
      <c r="F1571" s="8" t="n">
        <f aca="false">INDEX(Radicals!$D$2:$D$215,MATCH(C1571,Radicals!$A$2:$A$215,0))</f>
        <v>7</v>
      </c>
      <c r="G1571" s="8" t="n">
        <v>13</v>
      </c>
    </row>
    <row r="1572" customFormat="false" ht="17.35" hidden="false" customHeight="false" outlineLevel="0" collapsed="false">
      <c r="A1572" s="8" t="n">
        <v>1571</v>
      </c>
      <c r="B1572" s="9" t="s">
        <v>2561</v>
      </c>
      <c r="C1572" s="8" t="n">
        <v>30</v>
      </c>
      <c r="D1572" s="9" t="str">
        <f aca="false">INDEX(Radicals!$B$2:$B$215,MATCH(C1572,Radicals!$A$2:$A$215,0))</f>
        <v>口</v>
      </c>
      <c r="E1572" s="10" t="str">
        <f aca="false">INDEX(Radicals!$G$2:$G$215,MATCH(C1572,Radicals!$A$2:$A$215,0))</f>
        <v>mouth</v>
      </c>
      <c r="F1572" s="8" t="n">
        <f aca="false">INDEX(Radicals!$D$2:$D$215,MATCH(C1572,Radicals!$A$2:$A$215,0))</f>
        <v>3</v>
      </c>
      <c r="G1572" s="8" t="n">
        <v>7</v>
      </c>
    </row>
    <row r="1573" customFormat="false" ht="17.35" hidden="false" customHeight="false" outlineLevel="0" collapsed="false">
      <c r="A1573" s="8" t="n">
        <v>1572</v>
      </c>
      <c r="B1573" s="9" t="s">
        <v>2562</v>
      </c>
      <c r="C1573" s="8" t="n">
        <v>103</v>
      </c>
      <c r="D1573" s="9" t="str">
        <f aca="false">INDEX(Radicals!$B$2:$B$215,MATCH(C1573,Radicals!$A$2:$A$215,0))</f>
        <v>疋</v>
      </c>
      <c r="E1573" s="10" t="str">
        <f aca="false">INDEX(Radicals!$G$2:$G$215,MATCH(C1573,Radicals!$A$2:$A$215,0))</f>
        <v>bolt of cloth</v>
      </c>
      <c r="F1573" s="8" t="n">
        <f aca="false">INDEX(Radicals!$D$2:$D$215,MATCH(C1573,Radicals!$A$2:$A$215,0))</f>
        <v>5</v>
      </c>
      <c r="G1573" s="8" t="n">
        <v>12</v>
      </c>
    </row>
    <row r="1574" customFormat="false" ht="17.35" hidden="false" customHeight="false" outlineLevel="0" collapsed="false">
      <c r="A1574" s="8" t="n">
        <v>1573</v>
      </c>
      <c r="B1574" s="9" t="s">
        <v>2563</v>
      </c>
      <c r="C1574" s="8" t="n">
        <v>9</v>
      </c>
      <c r="D1574" s="9" t="str">
        <f aca="false">INDEX(Radicals!$B$2:$B$215,MATCH(C1574,Radicals!$A$2:$A$215,0))</f>
        <v>人</v>
      </c>
      <c r="E1574" s="10" t="str">
        <f aca="false">INDEX(Radicals!$G$2:$G$215,MATCH(C1574,Radicals!$A$2:$A$215,0))</f>
        <v>person</v>
      </c>
      <c r="F1574" s="8" t="n">
        <f aca="false">INDEX(Radicals!$D$2:$D$215,MATCH(C1574,Radicals!$A$2:$A$215,0))</f>
        <v>2</v>
      </c>
      <c r="G1574" s="8" t="n">
        <v>6</v>
      </c>
    </row>
    <row r="1575" customFormat="false" ht="17.35" hidden="false" customHeight="false" outlineLevel="0" collapsed="false">
      <c r="A1575" s="8" t="n">
        <v>1574</v>
      </c>
      <c r="B1575" s="9" t="s">
        <v>2564</v>
      </c>
      <c r="C1575" s="8" t="n">
        <v>167</v>
      </c>
      <c r="D1575" s="9" t="str">
        <f aca="false">INDEX(Radicals!$B$2:$B$215,MATCH(C1575,Radicals!$A$2:$A$215,0))</f>
        <v>金</v>
      </c>
      <c r="E1575" s="10" t="str">
        <f aca="false">INDEX(Radicals!$G$2:$G$215,MATCH(C1575,Radicals!$A$2:$A$215,0))</f>
        <v>metal, gold</v>
      </c>
      <c r="F1575" s="8" t="n">
        <f aca="false">INDEX(Radicals!$D$2:$D$215,MATCH(C1575,Radicals!$A$2:$A$215,0))</f>
        <v>8</v>
      </c>
      <c r="G1575" s="8" t="n">
        <v>12</v>
      </c>
    </row>
    <row r="1576" customFormat="false" ht="17.35" hidden="false" customHeight="false" outlineLevel="0" collapsed="false">
      <c r="A1576" s="8" t="n">
        <v>1575</v>
      </c>
      <c r="B1576" s="9" t="s">
        <v>2565</v>
      </c>
      <c r="C1576" s="8" t="n">
        <v>61</v>
      </c>
      <c r="D1576" s="9" t="str">
        <f aca="false">INDEX(Radicals!$B$2:$B$215,MATCH(C1576,Radicals!$A$2:$A$215,0))</f>
        <v>心</v>
      </c>
      <c r="E1576" s="10" t="str">
        <f aca="false">INDEX(Radicals!$G$2:$G$215,MATCH(C1576,Radicals!$A$2:$A$215,0))</f>
        <v>heart, mind</v>
      </c>
      <c r="F1576" s="8" t="n">
        <f aca="false">INDEX(Radicals!$D$2:$D$215,MATCH(C1576,Radicals!$A$2:$A$215,0))</f>
        <v>4</v>
      </c>
      <c r="G1576" s="8" t="n">
        <v>10</v>
      </c>
    </row>
    <row r="1577" customFormat="false" ht="17.35" hidden="false" customHeight="false" outlineLevel="0" collapsed="false">
      <c r="A1577" s="8" t="n">
        <v>1576</v>
      </c>
      <c r="B1577" s="9" t="s">
        <v>2566</v>
      </c>
      <c r="C1577" s="8" t="n">
        <v>18</v>
      </c>
      <c r="D1577" s="9" t="str">
        <f aca="false">INDEX(Radicals!$B$2:$B$215,MATCH(C1577,Radicals!$A$2:$A$215,0))</f>
        <v>刀</v>
      </c>
      <c r="E1577" s="10" t="str">
        <f aca="false">INDEX(Radicals!$G$2:$G$215,MATCH(C1577,Radicals!$A$2:$A$215,0))</f>
        <v>knife, sword</v>
      </c>
      <c r="F1577" s="8" t="n">
        <f aca="false">INDEX(Radicals!$D$2:$D$215,MATCH(C1577,Radicals!$A$2:$A$215,0))</f>
        <v>2</v>
      </c>
      <c r="G1577" s="8" t="n">
        <v>10</v>
      </c>
    </row>
    <row r="1578" customFormat="false" ht="17.35" hidden="false" customHeight="false" outlineLevel="0" collapsed="false">
      <c r="A1578" s="8" t="n">
        <v>1577</v>
      </c>
      <c r="B1578" s="9" t="s">
        <v>2567</v>
      </c>
      <c r="C1578" s="8" t="n">
        <v>104</v>
      </c>
      <c r="D1578" s="9" t="str">
        <f aca="false">INDEX(Radicals!$B$2:$B$215,MATCH(C1578,Radicals!$A$2:$A$215,0))</f>
        <v>疒</v>
      </c>
      <c r="E1578" s="10" t="str">
        <f aca="false">INDEX(Radicals!$G$2:$G$215,MATCH(C1578,Radicals!$A$2:$A$215,0))</f>
        <v>sickness</v>
      </c>
      <c r="F1578" s="8" t="n">
        <f aca="false">INDEX(Radicals!$D$2:$D$215,MATCH(C1578,Radicals!$A$2:$A$215,0))</f>
        <v>5</v>
      </c>
      <c r="G1578" s="8" t="n">
        <v>10</v>
      </c>
    </row>
    <row r="1579" customFormat="false" ht="17.35" hidden="false" customHeight="false" outlineLevel="0" collapsed="false">
      <c r="A1579" s="8" t="n">
        <v>1578</v>
      </c>
      <c r="B1579" s="9" t="s">
        <v>2568</v>
      </c>
      <c r="C1579" s="8" t="n">
        <v>60</v>
      </c>
      <c r="D1579" s="9" t="str">
        <f aca="false">INDEX(Radicals!$B$2:$B$215,MATCH(C1579,Radicals!$A$2:$A$215,0))</f>
        <v>彳</v>
      </c>
      <c r="E1579" s="10" t="str">
        <f aca="false">INDEX(Radicals!$G$2:$G$215,MATCH(C1579,Radicals!$A$2:$A$215,0))</f>
        <v>step, small step</v>
      </c>
      <c r="F1579" s="8" t="n">
        <f aca="false">INDEX(Radicals!$D$2:$D$215,MATCH(C1579,Radicals!$A$2:$A$215,0))</f>
        <v>3</v>
      </c>
      <c r="G1579" s="8" t="n">
        <v>8</v>
      </c>
    </row>
    <row r="1580" customFormat="false" ht="17.35" hidden="false" customHeight="false" outlineLevel="0" collapsed="false">
      <c r="A1580" s="8" t="n">
        <v>1579</v>
      </c>
      <c r="B1580" s="9" t="s">
        <v>2569</v>
      </c>
      <c r="C1580" s="8" t="n">
        <v>112</v>
      </c>
      <c r="D1580" s="9" t="str">
        <f aca="false">INDEX(Radicals!$B$2:$B$215,MATCH(C1580,Radicals!$A$2:$A$215,0))</f>
        <v>石</v>
      </c>
      <c r="E1580" s="10" t="str">
        <f aca="false">INDEX(Radicals!$G$2:$G$215,MATCH(C1580,Radicals!$A$2:$A$215,0))</f>
        <v>stone</v>
      </c>
      <c r="F1580" s="8" t="n">
        <f aca="false">INDEX(Radicals!$D$2:$D$215,MATCH(C1580,Radicals!$A$2:$A$215,0))</f>
        <v>5</v>
      </c>
      <c r="G1580" s="8" t="n">
        <v>9</v>
      </c>
    </row>
    <row r="1581" customFormat="false" ht="17.35" hidden="false" customHeight="false" outlineLevel="0" collapsed="false">
      <c r="A1581" s="8" t="n">
        <v>1580</v>
      </c>
      <c r="B1581" s="9" t="s">
        <v>2570</v>
      </c>
      <c r="C1581" s="8" t="n">
        <v>149</v>
      </c>
      <c r="D1581" s="9" t="str">
        <f aca="false">INDEX(Radicals!$B$2:$B$215,MATCH(C1581,Radicals!$A$2:$A$215,0))</f>
        <v>言</v>
      </c>
      <c r="E1581" s="10" t="str">
        <f aca="false">INDEX(Radicals!$G$2:$G$215,MATCH(C1581,Radicals!$A$2:$A$215,0))</f>
        <v>speech, say</v>
      </c>
      <c r="F1581" s="8" t="n">
        <f aca="false">INDEX(Radicals!$D$2:$D$215,MATCH(C1581,Radicals!$A$2:$A$215,0))</f>
        <v>7</v>
      </c>
      <c r="G1581" s="8" t="n">
        <v>16</v>
      </c>
    </row>
    <row r="1582" customFormat="false" ht="17.35" hidden="false" customHeight="false" outlineLevel="0" collapsed="false">
      <c r="A1582" s="8" t="n">
        <v>1581</v>
      </c>
      <c r="B1582" s="9" t="s">
        <v>2571</v>
      </c>
      <c r="C1582" s="8" t="n">
        <v>38</v>
      </c>
      <c r="D1582" s="9" t="str">
        <f aca="false">INDEX(Radicals!$B$2:$B$215,MATCH(C1582,Radicals!$A$2:$A$215,0))</f>
        <v>女</v>
      </c>
      <c r="E1582" s="10" t="str">
        <f aca="false">INDEX(Radicals!$G$2:$G$215,MATCH(C1582,Radicals!$A$2:$A$215,0))</f>
        <v>woman</v>
      </c>
      <c r="F1582" s="8" t="n">
        <f aca="false">INDEX(Radicals!$D$2:$D$215,MATCH(C1582,Radicals!$A$2:$A$215,0))</f>
        <v>3</v>
      </c>
      <c r="G1582" s="8" t="n">
        <v>13</v>
      </c>
    </row>
    <row r="1583" customFormat="false" ht="17.35" hidden="false" customHeight="false" outlineLevel="0" collapsed="false">
      <c r="A1583" s="8" t="n">
        <v>1582</v>
      </c>
      <c r="B1583" s="9" t="s">
        <v>2572</v>
      </c>
      <c r="C1583" s="8" t="n">
        <v>149</v>
      </c>
      <c r="D1583" s="9" t="str">
        <f aca="false">INDEX(Radicals!$B$2:$B$215,MATCH(C1583,Radicals!$A$2:$A$215,0))</f>
        <v>言</v>
      </c>
      <c r="E1583" s="10" t="str">
        <f aca="false">INDEX(Radicals!$G$2:$G$215,MATCH(C1583,Radicals!$A$2:$A$215,0))</f>
        <v>speech, say</v>
      </c>
      <c r="F1583" s="8" t="n">
        <f aca="false">INDEX(Radicals!$D$2:$D$215,MATCH(C1583,Radicals!$A$2:$A$215,0))</f>
        <v>7</v>
      </c>
      <c r="G1583" s="8" t="n">
        <v>17</v>
      </c>
    </row>
    <row r="1584" customFormat="false" ht="17.35" hidden="false" customHeight="false" outlineLevel="0" collapsed="false">
      <c r="A1584" s="8" t="n">
        <v>1583</v>
      </c>
      <c r="B1584" s="9" t="s">
        <v>2573</v>
      </c>
      <c r="C1584" s="8" t="n">
        <v>30</v>
      </c>
      <c r="D1584" s="9" t="str">
        <f aca="false">INDEX(Radicals!$B$2:$B$215,MATCH(C1584,Radicals!$A$2:$A$215,0))</f>
        <v>口</v>
      </c>
      <c r="E1584" s="10" t="str">
        <f aca="false">INDEX(Radicals!$G$2:$G$215,MATCH(C1584,Radicals!$A$2:$A$215,0))</f>
        <v>mouth</v>
      </c>
      <c r="F1584" s="8" t="n">
        <f aca="false">INDEX(Radicals!$D$2:$D$215,MATCH(C1584,Radicals!$A$2:$A$215,0))</f>
        <v>3</v>
      </c>
      <c r="G1584" s="8" t="n">
        <v>6</v>
      </c>
    </row>
    <row r="1585" customFormat="false" ht="17.35" hidden="false" customHeight="false" outlineLevel="0" collapsed="false">
      <c r="A1585" s="8" t="n">
        <v>1584</v>
      </c>
      <c r="B1585" s="9" t="s">
        <v>2574</v>
      </c>
      <c r="C1585" s="8" t="n">
        <v>30</v>
      </c>
      <c r="D1585" s="9" t="str">
        <f aca="false">INDEX(Radicals!$B$2:$B$215,MATCH(C1585,Radicals!$A$2:$A$215,0))</f>
        <v>口</v>
      </c>
      <c r="E1585" s="10" t="str">
        <f aca="false">INDEX(Radicals!$G$2:$G$215,MATCH(C1585,Radicals!$A$2:$A$215,0))</f>
        <v>mouth</v>
      </c>
      <c r="F1585" s="8" t="n">
        <f aca="false">INDEX(Radicals!$D$2:$D$215,MATCH(C1585,Radicals!$A$2:$A$215,0))</f>
        <v>3</v>
      </c>
      <c r="G1585" s="8" t="n">
        <v>13</v>
      </c>
    </row>
    <row r="1586" customFormat="false" ht="17.35" hidden="false" customHeight="false" outlineLevel="0" collapsed="false">
      <c r="A1586" s="8" t="n">
        <v>1585</v>
      </c>
      <c r="B1586" s="9" t="s">
        <v>2575</v>
      </c>
      <c r="C1586" s="8" t="n">
        <v>9</v>
      </c>
      <c r="D1586" s="9" t="str">
        <f aca="false">INDEX(Radicals!$B$2:$B$215,MATCH(C1586,Radicals!$A$2:$A$215,0))</f>
        <v>人</v>
      </c>
      <c r="E1586" s="10" t="str">
        <f aca="false">INDEX(Radicals!$G$2:$G$215,MATCH(C1586,Radicals!$A$2:$A$215,0))</f>
        <v>person</v>
      </c>
      <c r="F1586" s="8" t="n">
        <f aca="false">INDEX(Radicals!$D$2:$D$215,MATCH(C1586,Radicals!$A$2:$A$215,0))</f>
        <v>2</v>
      </c>
      <c r="G1586" s="8" t="n">
        <v>9</v>
      </c>
    </row>
    <row r="1587" customFormat="false" ht="17.35" hidden="false" customHeight="false" outlineLevel="0" collapsed="false">
      <c r="A1587" s="8" t="n">
        <v>1586</v>
      </c>
      <c r="B1587" s="9" t="s">
        <v>2576</v>
      </c>
      <c r="C1587" s="8" t="n">
        <v>140</v>
      </c>
      <c r="D1587" s="9" t="str">
        <f aca="false">INDEX(Radicals!$B$2:$B$215,MATCH(C1587,Radicals!$A$2:$A$215,0))</f>
        <v>艸</v>
      </c>
      <c r="E1587" s="10" t="str">
        <f aca="false">INDEX(Radicals!$G$2:$G$215,MATCH(C1587,Radicals!$A$2:$A$215,0))</f>
        <v>grass, plant</v>
      </c>
      <c r="F1587" s="8" t="n">
        <f aca="false">INDEX(Radicals!$D$2:$D$215,MATCH(C1587,Radicals!$A$2:$A$215,0))</f>
        <v>6</v>
      </c>
      <c r="G1587" s="8" t="n">
        <v>11</v>
      </c>
    </row>
    <row r="1588" customFormat="false" ht="17.35" hidden="false" customHeight="false" outlineLevel="0" collapsed="false">
      <c r="A1588" s="8" t="n">
        <v>1587</v>
      </c>
      <c r="B1588" s="9" t="s">
        <v>2577</v>
      </c>
      <c r="C1588" s="8" t="n">
        <v>167</v>
      </c>
      <c r="D1588" s="9" t="str">
        <f aca="false">INDEX(Radicals!$B$2:$B$215,MATCH(C1588,Radicals!$A$2:$A$215,0))</f>
        <v>金</v>
      </c>
      <c r="E1588" s="10" t="str">
        <f aca="false">INDEX(Radicals!$G$2:$G$215,MATCH(C1588,Radicals!$A$2:$A$215,0))</f>
        <v>metal, gold</v>
      </c>
      <c r="F1588" s="8" t="n">
        <f aca="false">INDEX(Radicals!$D$2:$D$215,MATCH(C1588,Radicals!$A$2:$A$215,0))</f>
        <v>8</v>
      </c>
      <c r="G1588" s="8" t="n">
        <v>18</v>
      </c>
    </row>
    <row r="1589" customFormat="false" ht="17.35" hidden="false" customHeight="false" outlineLevel="0" collapsed="false">
      <c r="A1589" s="8" t="n">
        <v>1588</v>
      </c>
      <c r="B1589" s="9" t="s">
        <v>2578</v>
      </c>
      <c r="C1589" s="8" t="n">
        <v>75</v>
      </c>
      <c r="D1589" s="9" t="str">
        <f aca="false">INDEX(Radicals!$B$2:$B$215,MATCH(C1589,Radicals!$A$2:$A$215,0))</f>
        <v>木</v>
      </c>
      <c r="E1589" s="10" t="str">
        <f aca="false">INDEX(Radicals!$G$2:$G$215,MATCH(C1589,Radicals!$A$2:$A$215,0))</f>
        <v>tree, wood</v>
      </c>
      <c r="F1589" s="8" t="n">
        <f aca="false">INDEX(Radicals!$D$2:$D$215,MATCH(C1589,Radicals!$A$2:$A$215,0))</f>
        <v>4</v>
      </c>
      <c r="G1589" s="8" t="n">
        <v>11</v>
      </c>
    </row>
    <row r="1590" customFormat="false" ht="17.35" hidden="false" customHeight="false" outlineLevel="0" collapsed="false">
      <c r="A1590" s="8" t="n">
        <v>1589</v>
      </c>
      <c r="B1590" s="9" t="s">
        <v>2579</v>
      </c>
      <c r="C1590" s="8" t="n">
        <v>85</v>
      </c>
      <c r="D1590" s="9" t="str">
        <f aca="false">INDEX(Radicals!$B$2:$B$215,MATCH(C1590,Radicals!$A$2:$A$215,0))</f>
        <v>水</v>
      </c>
      <c r="E1590" s="10" t="str">
        <f aca="false">INDEX(Radicals!$G$2:$G$215,MATCH(C1590,Radicals!$A$2:$A$215,0))</f>
        <v>water</v>
      </c>
      <c r="F1590" s="8" t="n">
        <f aca="false">INDEX(Radicals!$D$2:$D$215,MATCH(C1590,Radicals!$A$2:$A$215,0))</f>
        <v>4</v>
      </c>
      <c r="G1590" s="8" t="n">
        <v>8</v>
      </c>
    </row>
    <row r="1591" customFormat="false" ht="17.35" hidden="false" customHeight="false" outlineLevel="0" collapsed="false">
      <c r="A1591" s="8" t="n">
        <v>1590</v>
      </c>
      <c r="B1591" s="9" t="s">
        <v>2580</v>
      </c>
      <c r="C1591" s="8" t="n">
        <v>181</v>
      </c>
      <c r="D1591" s="9" t="str">
        <f aca="false">INDEX(Radicals!$B$2:$B$215,MATCH(C1591,Radicals!$A$2:$A$215,0))</f>
        <v>頁</v>
      </c>
      <c r="E1591" s="10" t="str">
        <f aca="false">INDEX(Radicals!$G$2:$G$215,MATCH(C1591,Radicals!$A$2:$A$215,0))</f>
        <v>page, leaf (head)</v>
      </c>
      <c r="F1591" s="8" t="n">
        <f aca="false">INDEX(Radicals!$D$2:$D$215,MATCH(C1591,Radicals!$A$2:$A$215,0))</f>
        <v>9</v>
      </c>
      <c r="G1591" s="8" t="n">
        <v>17</v>
      </c>
    </row>
    <row r="1592" customFormat="false" ht="17.35" hidden="false" customHeight="false" outlineLevel="0" collapsed="false">
      <c r="A1592" s="8" t="n">
        <v>1591</v>
      </c>
      <c r="B1592" s="9" t="s">
        <v>2581</v>
      </c>
      <c r="C1592" s="8" t="n">
        <v>96</v>
      </c>
      <c r="D1592" s="9" t="str">
        <f aca="false">INDEX(Radicals!$B$2:$B$215,MATCH(C1592,Radicals!$A$2:$A$215,0))</f>
        <v>玉</v>
      </c>
      <c r="E1592" s="10" t="str">
        <f aca="false">INDEX(Radicals!$G$2:$G$215,MATCH(C1592,Radicals!$A$2:$A$215,0))</f>
        <v>jade, king</v>
      </c>
      <c r="F1592" s="8" t="n">
        <f aca="false">INDEX(Radicals!$D$2:$D$215,MATCH(C1592,Radicals!$A$2:$A$215,0))</f>
        <v>5</v>
      </c>
      <c r="G1592" s="8" t="n">
        <v>12</v>
      </c>
    </row>
    <row r="1593" customFormat="false" ht="17.35" hidden="false" customHeight="false" outlineLevel="0" collapsed="false">
      <c r="A1593" s="8" t="n">
        <v>1592</v>
      </c>
      <c r="B1593" s="9" t="s">
        <v>2582</v>
      </c>
      <c r="C1593" s="8" t="n">
        <v>96</v>
      </c>
      <c r="D1593" s="9" t="str">
        <f aca="false">INDEX(Radicals!$B$2:$B$215,MATCH(C1593,Radicals!$A$2:$A$215,0))</f>
        <v>玉</v>
      </c>
      <c r="E1593" s="10" t="str">
        <f aca="false">INDEX(Radicals!$G$2:$G$215,MATCH(C1593,Radicals!$A$2:$A$215,0))</f>
        <v>jade, king</v>
      </c>
      <c r="F1593" s="8" t="n">
        <f aca="false">INDEX(Radicals!$D$2:$D$215,MATCH(C1593,Radicals!$A$2:$A$215,0))</f>
        <v>5</v>
      </c>
      <c r="G1593" s="8" t="n">
        <v>10</v>
      </c>
    </row>
    <row r="1594" customFormat="false" ht="17.35" hidden="false" customHeight="false" outlineLevel="0" collapsed="false">
      <c r="A1594" s="8" t="n">
        <v>1593</v>
      </c>
      <c r="B1594" s="9" t="s">
        <v>2583</v>
      </c>
      <c r="C1594" s="8" t="n">
        <v>85</v>
      </c>
      <c r="D1594" s="9" t="str">
        <f aca="false">INDEX(Radicals!$B$2:$B$215,MATCH(C1594,Radicals!$A$2:$A$215,0))</f>
        <v>水</v>
      </c>
      <c r="E1594" s="10" t="str">
        <f aca="false">INDEX(Radicals!$G$2:$G$215,MATCH(C1594,Radicals!$A$2:$A$215,0))</f>
        <v>water</v>
      </c>
      <c r="F1594" s="8" t="n">
        <f aca="false">INDEX(Radicals!$D$2:$D$215,MATCH(C1594,Radicals!$A$2:$A$215,0))</f>
        <v>4</v>
      </c>
      <c r="G1594" s="8" t="n">
        <v>12</v>
      </c>
    </row>
    <row r="1595" customFormat="false" ht="17.35" hidden="false" customHeight="false" outlineLevel="0" collapsed="false">
      <c r="A1595" s="8" t="n">
        <v>1594</v>
      </c>
      <c r="B1595" s="9" t="s">
        <v>2584</v>
      </c>
      <c r="C1595" s="8" t="n">
        <v>75</v>
      </c>
      <c r="D1595" s="9" t="str">
        <f aca="false">INDEX(Radicals!$B$2:$B$215,MATCH(C1595,Radicals!$A$2:$A$215,0))</f>
        <v>木</v>
      </c>
      <c r="E1595" s="10" t="str">
        <f aca="false">INDEX(Radicals!$G$2:$G$215,MATCH(C1595,Radicals!$A$2:$A$215,0))</f>
        <v>tree, wood</v>
      </c>
      <c r="F1595" s="8" t="n">
        <f aca="false">INDEX(Radicals!$D$2:$D$215,MATCH(C1595,Radicals!$A$2:$A$215,0))</f>
        <v>4</v>
      </c>
      <c r="G1595" s="8" t="n">
        <v>12</v>
      </c>
    </row>
    <row r="1596" customFormat="false" ht="17.35" hidden="false" customHeight="false" outlineLevel="0" collapsed="false">
      <c r="A1596" s="8" t="n">
        <v>1595</v>
      </c>
      <c r="B1596" s="9" t="s">
        <v>2585</v>
      </c>
      <c r="C1596" s="8" t="n">
        <v>85</v>
      </c>
      <c r="D1596" s="9" t="str">
        <f aca="false">INDEX(Radicals!$B$2:$B$215,MATCH(C1596,Radicals!$A$2:$A$215,0))</f>
        <v>水</v>
      </c>
      <c r="E1596" s="10" t="str">
        <f aca="false">INDEX(Radicals!$G$2:$G$215,MATCH(C1596,Radicals!$A$2:$A$215,0))</f>
        <v>water</v>
      </c>
      <c r="F1596" s="8" t="n">
        <f aca="false">INDEX(Radicals!$D$2:$D$215,MATCH(C1596,Radicals!$A$2:$A$215,0))</f>
        <v>4</v>
      </c>
      <c r="G1596" s="8" t="n">
        <v>15</v>
      </c>
    </row>
    <row r="1597" customFormat="false" ht="17.35" hidden="false" customHeight="false" outlineLevel="0" collapsed="false">
      <c r="A1597" s="8" t="n">
        <v>1596</v>
      </c>
      <c r="B1597" s="9" t="s">
        <v>2586</v>
      </c>
      <c r="C1597" s="8" t="n">
        <v>164</v>
      </c>
      <c r="D1597" s="9" t="str">
        <f aca="false">INDEX(Radicals!$B$2:$B$215,MATCH(C1597,Radicals!$A$2:$A$215,0))</f>
        <v>酉</v>
      </c>
      <c r="E1597" s="10" t="str">
        <f aca="false">INDEX(Radicals!$G$2:$G$215,MATCH(C1597,Radicals!$A$2:$A$215,0))</f>
        <v>wine, 10th zodiac sign (rooster)</v>
      </c>
      <c r="F1597" s="8" t="n">
        <f aca="false">INDEX(Radicals!$D$2:$D$215,MATCH(C1597,Radicals!$A$2:$A$215,0))</f>
        <v>7</v>
      </c>
      <c r="G1597" s="8" t="n">
        <v>14</v>
      </c>
    </row>
    <row r="1598" customFormat="false" ht="17.35" hidden="false" customHeight="false" outlineLevel="0" collapsed="false">
      <c r="A1598" s="8" t="n">
        <v>1597</v>
      </c>
      <c r="B1598" s="9" t="s">
        <v>2587</v>
      </c>
      <c r="C1598" s="8" t="n">
        <v>40</v>
      </c>
      <c r="D1598" s="9" t="str">
        <f aca="false">INDEX(Radicals!$B$2:$B$215,MATCH(C1598,Radicals!$A$2:$A$215,0))</f>
        <v>宀</v>
      </c>
      <c r="E1598" s="10" t="str">
        <f aca="false">INDEX(Radicals!$G$2:$G$215,MATCH(C1598,Radicals!$A$2:$A$215,0))</f>
        <v>roof</v>
      </c>
      <c r="F1598" s="8" t="n">
        <f aca="false">INDEX(Radicals!$D$2:$D$215,MATCH(C1598,Radicals!$A$2:$A$215,0))</f>
        <v>3</v>
      </c>
      <c r="G1598" s="8" t="n">
        <v>10</v>
      </c>
    </row>
    <row r="1599" customFormat="false" ht="17.35" hidden="false" customHeight="false" outlineLevel="0" collapsed="false">
      <c r="A1599" s="8" t="n">
        <v>1598</v>
      </c>
      <c r="B1599" s="9" t="s">
        <v>2588</v>
      </c>
      <c r="C1599" s="8" t="n">
        <v>53</v>
      </c>
      <c r="D1599" s="9" t="str">
        <f aca="false">INDEX(Radicals!$B$2:$B$215,MATCH(C1599,Radicals!$A$2:$A$215,0))</f>
        <v>广</v>
      </c>
      <c r="E1599" s="10" t="str">
        <f aca="false">INDEX(Radicals!$G$2:$G$215,MATCH(C1599,Radicals!$A$2:$A$215,0))</f>
        <v>dotted cliff, building</v>
      </c>
      <c r="F1599" s="8" t="n">
        <f aca="false">INDEX(Radicals!$D$2:$D$215,MATCH(C1599,Radicals!$A$2:$A$215,0))</f>
        <v>3</v>
      </c>
      <c r="G1599" s="8" t="n">
        <v>12</v>
      </c>
    </row>
    <row r="1600" customFormat="false" ht="17.35" hidden="false" customHeight="false" outlineLevel="0" collapsed="false">
      <c r="A1600" s="8" t="n">
        <v>1599</v>
      </c>
      <c r="B1600" s="9" t="s">
        <v>2589</v>
      </c>
      <c r="C1600" s="8" t="n">
        <v>40</v>
      </c>
      <c r="D1600" s="9" t="str">
        <f aca="false">INDEX(Radicals!$B$2:$B$215,MATCH(C1600,Radicals!$A$2:$A$215,0))</f>
        <v>宀</v>
      </c>
      <c r="E1600" s="10" t="str">
        <f aca="false">INDEX(Radicals!$G$2:$G$215,MATCH(C1600,Radicals!$A$2:$A$215,0))</f>
        <v>roof</v>
      </c>
      <c r="F1600" s="8" t="n">
        <f aca="false">INDEX(Radicals!$D$2:$D$215,MATCH(C1600,Radicals!$A$2:$A$215,0))</f>
        <v>3</v>
      </c>
      <c r="G1600" s="8" t="n">
        <v>11</v>
      </c>
    </row>
    <row r="1601" customFormat="false" ht="17.35" hidden="false" customHeight="false" outlineLevel="0" collapsed="false">
      <c r="A1601" s="8" t="n">
        <v>1600</v>
      </c>
      <c r="B1601" s="9" t="s">
        <v>845</v>
      </c>
      <c r="C1601" s="8" t="n">
        <v>161</v>
      </c>
      <c r="D1601" s="9" t="str">
        <f aca="false">INDEX(Radicals!$B$2:$B$215,MATCH(C1601,Radicals!$A$2:$A$215,0))</f>
        <v>辰</v>
      </c>
      <c r="E1601" s="10" t="str">
        <f aca="false">INDEX(Radicals!$G$2:$G$215,MATCH(C1601,Radicals!$A$2:$A$215,0))</f>
        <v>morning, 5th zodiac sign (dragon)</v>
      </c>
      <c r="F1601" s="8" t="n">
        <f aca="false">INDEX(Radicals!$D$2:$D$215,MATCH(C1601,Radicals!$A$2:$A$215,0))</f>
        <v>7</v>
      </c>
      <c r="G1601" s="8" t="n">
        <v>7</v>
      </c>
    </row>
    <row r="1602" customFormat="false" ht="17.35" hidden="false" customHeight="false" outlineLevel="0" collapsed="false">
      <c r="A1602" s="8" t="n">
        <v>1601</v>
      </c>
      <c r="B1602" s="9" t="s">
        <v>2590</v>
      </c>
      <c r="C1602" s="8" t="n">
        <v>170</v>
      </c>
      <c r="D1602" s="9" t="str">
        <f aca="false">INDEX(Radicals!$B$2:$B$215,MATCH(C1602,Radicals!$A$2:$A$215,0))</f>
        <v>阜</v>
      </c>
      <c r="E1602" s="10" t="str">
        <f aca="false">INDEX(Radicals!$G$2:$G$215,MATCH(C1602,Radicals!$A$2:$A$215,0))</f>
        <v>mound, hill</v>
      </c>
      <c r="F1602" s="8" t="n">
        <f aca="false">INDEX(Radicals!$D$2:$D$215,MATCH(C1602,Radicals!$A$2:$A$215,0))</f>
        <v>8</v>
      </c>
      <c r="G1602" s="8" t="n">
        <v>12</v>
      </c>
    </row>
    <row r="1603" customFormat="false" ht="17.35" hidden="false" customHeight="false" outlineLevel="0" collapsed="false">
      <c r="A1603" s="8" t="n">
        <v>1602</v>
      </c>
      <c r="B1603" s="9" t="s">
        <v>2591</v>
      </c>
      <c r="C1603" s="8" t="n">
        <v>9</v>
      </c>
      <c r="D1603" s="9" t="str">
        <f aca="false">INDEX(Radicals!$B$2:$B$215,MATCH(C1603,Radicals!$A$2:$A$215,0))</f>
        <v>人</v>
      </c>
      <c r="E1603" s="10" t="str">
        <f aca="false">INDEX(Radicals!$G$2:$G$215,MATCH(C1603,Radicals!$A$2:$A$215,0))</f>
        <v>person</v>
      </c>
      <c r="F1603" s="8" t="n">
        <f aca="false">INDEX(Radicals!$D$2:$D$215,MATCH(C1603,Radicals!$A$2:$A$215,0))</f>
        <v>2</v>
      </c>
      <c r="G1603" s="8" t="n">
        <v>11</v>
      </c>
    </row>
    <row r="1604" customFormat="false" ht="17.35" hidden="false" customHeight="false" outlineLevel="0" collapsed="false">
      <c r="A1604" s="8" t="n">
        <v>1603</v>
      </c>
      <c r="B1604" s="9" t="s">
        <v>2592</v>
      </c>
      <c r="C1604" s="8" t="n">
        <v>173</v>
      </c>
      <c r="D1604" s="9" t="str">
        <f aca="false">INDEX(Radicals!$B$2:$B$215,MATCH(C1604,Radicals!$A$2:$A$215,0))</f>
        <v>雨</v>
      </c>
      <c r="E1604" s="10" t="str">
        <f aca="false">INDEX(Radicals!$G$2:$G$215,MATCH(C1604,Radicals!$A$2:$A$215,0))</f>
        <v>rain</v>
      </c>
      <c r="F1604" s="8" t="n">
        <f aca="false">INDEX(Radicals!$D$2:$D$215,MATCH(C1604,Radicals!$A$2:$A$215,0))</f>
        <v>8</v>
      </c>
      <c r="G1604" s="8" t="n">
        <v>17</v>
      </c>
    </row>
    <row r="1605" customFormat="false" ht="17.35" hidden="false" customHeight="false" outlineLevel="0" collapsed="false">
      <c r="A1605" s="8" t="n">
        <v>1604</v>
      </c>
      <c r="B1605" s="9" t="s">
        <v>2593</v>
      </c>
      <c r="C1605" s="8" t="n">
        <v>9</v>
      </c>
      <c r="D1605" s="9" t="str">
        <f aca="false">INDEX(Radicals!$B$2:$B$215,MATCH(C1605,Radicals!$A$2:$A$215,0))</f>
        <v>人</v>
      </c>
      <c r="E1605" s="10" t="str">
        <f aca="false">INDEX(Radicals!$G$2:$G$215,MATCH(C1605,Radicals!$A$2:$A$215,0))</f>
        <v>person</v>
      </c>
      <c r="F1605" s="8" t="n">
        <f aca="false">INDEX(Radicals!$D$2:$D$215,MATCH(C1605,Radicals!$A$2:$A$215,0))</f>
        <v>2</v>
      </c>
      <c r="G1605" s="8" t="n">
        <v>6</v>
      </c>
    </row>
    <row r="1606" customFormat="false" ht="17.35" hidden="false" customHeight="false" outlineLevel="0" collapsed="false">
      <c r="A1606" s="8" t="n">
        <v>1605</v>
      </c>
      <c r="B1606" s="9" t="s">
        <v>2594</v>
      </c>
      <c r="C1606" s="8" t="n">
        <v>86</v>
      </c>
      <c r="D1606" s="9" t="str">
        <f aca="false">INDEX(Radicals!$B$2:$B$215,MATCH(C1606,Radicals!$A$2:$A$215,0))</f>
        <v>火</v>
      </c>
      <c r="E1606" s="10" t="str">
        <f aca="false">INDEX(Radicals!$G$2:$G$215,MATCH(C1606,Radicals!$A$2:$A$215,0))</f>
        <v>fire</v>
      </c>
      <c r="F1606" s="8" t="n">
        <f aca="false">INDEX(Radicals!$D$2:$D$215,MATCH(C1606,Radicals!$A$2:$A$215,0))</f>
        <v>4</v>
      </c>
      <c r="G1606" s="8" t="n">
        <v>6</v>
      </c>
    </row>
    <row r="1607" customFormat="false" ht="17.35" hidden="false" customHeight="false" outlineLevel="0" collapsed="false">
      <c r="A1607" s="8" t="n">
        <v>1606</v>
      </c>
      <c r="B1607" s="9" t="s">
        <v>2595</v>
      </c>
      <c r="C1607" s="8" t="n">
        <v>75</v>
      </c>
      <c r="D1607" s="9" t="str">
        <f aca="false">INDEX(Radicals!$B$2:$B$215,MATCH(C1607,Radicals!$A$2:$A$215,0))</f>
        <v>木</v>
      </c>
      <c r="E1607" s="10" t="str">
        <f aca="false">INDEX(Radicals!$G$2:$G$215,MATCH(C1607,Radicals!$A$2:$A$215,0))</f>
        <v>tree, wood</v>
      </c>
      <c r="F1607" s="8" t="n">
        <f aca="false">INDEX(Radicals!$D$2:$D$215,MATCH(C1607,Radicals!$A$2:$A$215,0))</f>
        <v>4</v>
      </c>
      <c r="G1607" s="8" t="n">
        <v>9</v>
      </c>
    </row>
    <row r="1608" customFormat="false" ht="17.35" hidden="false" customHeight="false" outlineLevel="0" collapsed="false">
      <c r="A1608" s="8" t="n">
        <v>1607</v>
      </c>
      <c r="B1608" s="9" t="s">
        <v>840</v>
      </c>
      <c r="C1608" s="8" t="n">
        <v>160</v>
      </c>
      <c r="D1608" s="9" t="str">
        <f aca="false">INDEX(Radicals!$B$2:$B$215,MATCH(C1608,Radicals!$A$2:$A$215,0))</f>
        <v>辛</v>
      </c>
      <c r="E1608" s="10" t="str">
        <f aca="false">INDEX(Radicals!$G$2:$G$215,MATCH(C1608,Radicals!$A$2:$A$215,0))</f>
        <v>bitter, spicy</v>
      </c>
      <c r="F1608" s="8" t="n">
        <f aca="false">INDEX(Radicals!$D$2:$D$215,MATCH(C1608,Radicals!$A$2:$A$215,0))</f>
        <v>7</v>
      </c>
      <c r="G1608" s="8" t="n">
        <v>7</v>
      </c>
    </row>
    <row r="1609" customFormat="false" ht="17.35" hidden="false" customHeight="false" outlineLevel="0" collapsed="false">
      <c r="A1609" s="8" t="n">
        <v>1608</v>
      </c>
      <c r="B1609" s="9" t="s">
        <v>2596</v>
      </c>
      <c r="C1609" s="8" t="n">
        <v>112</v>
      </c>
      <c r="D1609" s="9" t="str">
        <f aca="false">INDEX(Radicals!$B$2:$B$215,MATCH(C1609,Radicals!$A$2:$A$215,0))</f>
        <v>石</v>
      </c>
      <c r="E1609" s="10" t="str">
        <f aca="false">INDEX(Radicals!$G$2:$G$215,MATCH(C1609,Radicals!$A$2:$A$215,0))</f>
        <v>stone</v>
      </c>
      <c r="F1609" s="8" t="n">
        <f aca="false">INDEX(Radicals!$D$2:$D$215,MATCH(C1609,Radicals!$A$2:$A$215,0))</f>
        <v>5</v>
      </c>
      <c r="G1609" s="8" t="n">
        <v>16</v>
      </c>
    </row>
    <row r="1610" customFormat="false" ht="17.35" hidden="false" customHeight="false" outlineLevel="0" collapsed="false">
      <c r="A1610" s="8" t="n">
        <v>1609</v>
      </c>
      <c r="B1610" s="9" t="s">
        <v>2597</v>
      </c>
      <c r="C1610" s="8" t="n">
        <v>112</v>
      </c>
      <c r="D1610" s="9" t="str">
        <f aca="false">INDEX(Radicals!$B$2:$B$215,MATCH(C1610,Radicals!$A$2:$A$215,0))</f>
        <v>石</v>
      </c>
      <c r="E1610" s="10" t="str">
        <f aca="false">INDEX(Radicals!$G$2:$G$215,MATCH(C1610,Radicals!$A$2:$A$215,0))</f>
        <v>stone</v>
      </c>
      <c r="F1610" s="8" t="n">
        <f aca="false">INDEX(Radicals!$D$2:$D$215,MATCH(C1610,Radicals!$A$2:$A$215,0))</f>
        <v>5</v>
      </c>
      <c r="G1610" s="8" t="n">
        <v>13</v>
      </c>
    </row>
    <row r="1611" customFormat="false" ht="17.35" hidden="false" customHeight="false" outlineLevel="0" collapsed="false">
      <c r="A1611" s="8" t="n">
        <v>1610</v>
      </c>
      <c r="B1611" s="9" t="s">
        <v>2598</v>
      </c>
      <c r="C1611" s="8" t="n">
        <v>9</v>
      </c>
      <c r="D1611" s="9" t="str">
        <f aca="false">INDEX(Radicals!$B$2:$B$215,MATCH(C1611,Radicals!$A$2:$A$215,0))</f>
        <v>人</v>
      </c>
      <c r="E1611" s="10" t="str">
        <f aca="false">INDEX(Radicals!$G$2:$G$215,MATCH(C1611,Radicals!$A$2:$A$215,0))</f>
        <v>person</v>
      </c>
      <c r="F1611" s="8" t="n">
        <f aca="false">INDEX(Radicals!$D$2:$D$215,MATCH(C1611,Radicals!$A$2:$A$215,0))</f>
        <v>2</v>
      </c>
      <c r="G1611" s="8" t="n">
        <v>9</v>
      </c>
    </row>
    <row r="1612" customFormat="false" ht="17.35" hidden="false" customHeight="false" outlineLevel="0" collapsed="false">
      <c r="A1612" s="8" t="n">
        <v>1611</v>
      </c>
      <c r="B1612" s="9" t="s">
        <v>2599</v>
      </c>
      <c r="C1612" s="8" t="n">
        <v>85</v>
      </c>
      <c r="D1612" s="9" t="str">
        <f aca="false">INDEX(Radicals!$B$2:$B$215,MATCH(C1612,Radicals!$A$2:$A$215,0))</f>
        <v>水</v>
      </c>
      <c r="E1612" s="10" t="str">
        <f aca="false">INDEX(Radicals!$G$2:$G$215,MATCH(C1612,Radicals!$A$2:$A$215,0))</f>
        <v>water</v>
      </c>
      <c r="F1612" s="8" t="n">
        <f aca="false">INDEX(Radicals!$D$2:$D$215,MATCH(C1612,Radicals!$A$2:$A$215,0))</f>
        <v>4</v>
      </c>
      <c r="G1612" s="8" t="n">
        <v>13</v>
      </c>
    </row>
    <row r="1613" customFormat="false" ht="17.35" hidden="false" customHeight="false" outlineLevel="0" collapsed="false">
      <c r="A1613" s="8" t="n">
        <v>1612</v>
      </c>
      <c r="B1613" s="9" t="s">
        <v>2600</v>
      </c>
      <c r="C1613" s="8" t="n">
        <v>163</v>
      </c>
      <c r="D1613" s="9" t="str">
        <f aca="false">INDEX(Radicals!$B$2:$B$215,MATCH(C1613,Radicals!$A$2:$A$215,0))</f>
        <v>邑</v>
      </c>
      <c r="E1613" s="10" t="str">
        <f aca="false">INDEX(Radicals!$G$2:$G$215,MATCH(C1613,Radicals!$A$2:$A$215,0))</f>
        <v>city, village</v>
      </c>
      <c r="F1613" s="8" t="n">
        <f aca="false">INDEX(Radicals!$D$2:$D$215,MATCH(C1613,Radicals!$A$2:$A$215,0))</f>
        <v>7</v>
      </c>
      <c r="G1613" s="8" t="n">
        <v>8</v>
      </c>
    </row>
    <row r="1614" customFormat="false" ht="17.35" hidden="false" customHeight="false" outlineLevel="0" collapsed="false">
      <c r="A1614" s="8" t="n">
        <v>1613</v>
      </c>
      <c r="B1614" s="9" t="s">
        <v>2601</v>
      </c>
      <c r="C1614" s="8" t="n">
        <v>72</v>
      </c>
      <c r="D1614" s="9" t="str">
        <f aca="false">INDEX(Radicals!$B$2:$B$215,MATCH(C1614,Radicals!$A$2:$A$215,0))</f>
        <v>日</v>
      </c>
      <c r="E1614" s="10" t="str">
        <f aca="false">INDEX(Radicals!$G$2:$G$215,MATCH(C1614,Radicals!$A$2:$A$215,0))</f>
        <v>sun, day</v>
      </c>
      <c r="F1614" s="8" t="n">
        <f aca="false">INDEX(Radicals!$D$2:$D$215,MATCH(C1614,Radicals!$A$2:$A$215,0))</f>
        <v>4</v>
      </c>
      <c r="G1614" s="8" t="n">
        <v>12</v>
      </c>
    </row>
    <row r="1615" customFormat="false" ht="17.35" hidden="false" customHeight="false" outlineLevel="0" collapsed="false">
      <c r="A1615" s="8" t="n">
        <v>1614</v>
      </c>
      <c r="B1615" s="9" t="s">
        <v>2602</v>
      </c>
      <c r="C1615" s="8" t="n">
        <v>162</v>
      </c>
      <c r="D1615" s="9" t="str">
        <f aca="false">INDEX(Radicals!$B$2:$B$215,MATCH(C1615,Radicals!$A$2:$A$215,0))</f>
        <v>辵</v>
      </c>
      <c r="E1615" s="10" t="str">
        <f aca="false">INDEX(Radicals!$G$2:$G$215,MATCH(C1615,Radicals!$A$2:$A$215,0))</f>
        <v>walk, movement</v>
      </c>
      <c r="F1615" s="8" t="n">
        <f aca="false">INDEX(Radicals!$D$2:$D$215,MATCH(C1615,Radicals!$A$2:$A$215,0))</f>
        <v>7</v>
      </c>
      <c r="G1615" s="8" t="n">
        <v>5</v>
      </c>
    </row>
    <row r="1616" customFormat="false" ht="17.35" hidden="false" customHeight="false" outlineLevel="0" collapsed="false">
      <c r="A1616" s="8" t="n">
        <v>1615</v>
      </c>
      <c r="B1616" s="9" t="s">
        <v>1033</v>
      </c>
      <c r="C1616" s="8" t="n">
        <v>199</v>
      </c>
      <c r="D1616" s="9" t="str">
        <f aca="false">INDEX(Radicals!$B$2:$B$215,MATCH(C1616,Radicals!$A$2:$A$215,0))</f>
        <v>麥</v>
      </c>
      <c r="E1616" s="10" t="str">
        <f aca="false">INDEX(Radicals!$G$2:$G$215,MATCH(C1616,Radicals!$A$2:$A$215,0))</f>
        <v>wheat</v>
      </c>
      <c r="F1616" s="8" t="n">
        <f aca="false">INDEX(Radicals!$D$2:$D$215,MATCH(C1616,Radicals!$A$2:$A$215,0))</f>
        <v>11</v>
      </c>
      <c r="G1616" s="8" t="n">
        <v>7</v>
      </c>
    </row>
    <row r="1617" customFormat="false" ht="17.35" hidden="false" customHeight="false" outlineLevel="0" collapsed="false">
      <c r="A1617" s="8" t="n">
        <v>1616</v>
      </c>
      <c r="B1617" s="9" t="s">
        <v>2603</v>
      </c>
      <c r="C1617" s="8" t="n">
        <v>32</v>
      </c>
      <c r="D1617" s="9" t="str">
        <f aca="false">INDEX(Radicals!$B$2:$B$215,MATCH(C1617,Radicals!$A$2:$A$215,0))</f>
        <v>土</v>
      </c>
      <c r="E1617" s="10" t="str">
        <f aca="false">INDEX(Radicals!$G$2:$G$215,MATCH(C1617,Radicals!$A$2:$A$215,0))</f>
        <v>earth, soil</v>
      </c>
      <c r="F1617" s="8" t="n">
        <f aca="false">INDEX(Radicals!$D$2:$D$215,MATCH(C1617,Radicals!$A$2:$A$215,0))</f>
        <v>3</v>
      </c>
      <c r="G1617" s="8" t="n">
        <v>14</v>
      </c>
    </row>
    <row r="1618" customFormat="false" ht="17.35" hidden="false" customHeight="false" outlineLevel="0" collapsed="false">
      <c r="A1618" s="8" t="n">
        <v>1617</v>
      </c>
      <c r="B1618" s="9" t="s">
        <v>2604</v>
      </c>
      <c r="C1618" s="8" t="n">
        <v>167</v>
      </c>
      <c r="D1618" s="9" t="str">
        <f aca="false">INDEX(Radicals!$B$2:$B$215,MATCH(C1618,Radicals!$A$2:$A$215,0))</f>
        <v>金</v>
      </c>
      <c r="E1618" s="10" t="str">
        <f aca="false">INDEX(Radicals!$G$2:$G$215,MATCH(C1618,Radicals!$A$2:$A$215,0))</f>
        <v>metal, gold</v>
      </c>
      <c r="F1618" s="8" t="n">
        <f aca="false">INDEX(Radicals!$D$2:$D$215,MATCH(C1618,Radicals!$A$2:$A$215,0))</f>
        <v>8</v>
      </c>
      <c r="G1618" s="8" t="n">
        <v>18</v>
      </c>
    </row>
    <row r="1619" customFormat="false" ht="17.35" hidden="false" customHeight="false" outlineLevel="0" collapsed="false">
      <c r="A1619" s="8" t="n">
        <v>1618</v>
      </c>
      <c r="B1619" s="9" t="s">
        <v>2605</v>
      </c>
      <c r="C1619" s="8" t="n">
        <v>85</v>
      </c>
      <c r="D1619" s="9" t="str">
        <f aca="false">INDEX(Radicals!$B$2:$B$215,MATCH(C1619,Radicals!$A$2:$A$215,0))</f>
        <v>水</v>
      </c>
      <c r="E1619" s="10" t="str">
        <f aca="false">INDEX(Radicals!$G$2:$G$215,MATCH(C1619,Radicals!$A$2:$A$215,0))</f>
        <v>water</v>
      </c>
      <c r="F1619" s="8" t="n">
        <f aca="false">INDEX(Radicals!$D$2:$D$215,MATCH(C1619,Radicals!$A$2:$A$215,0))</f>
        <v>4</v>
      </c>
      <c r="G1619" s="8" t="n">
        <v>9</v>
      </c>
    </row>
    <row r="1620" customFormat="false" ht="17.35" hidden="false" customHeight="false" outlineLevel="0" collapsed="false">
      <c r="A1620" s="8" t="n">
        <v>1619</v>
      </c>
      <c r="B1620" s="9" t="s">
        <v>2606</v>
      </c>
      <c r="C1620" s="8" t="n">
        <v>44</v>
      </c>
      <c r="D1620" s="9" t="str">
        <f aca="false">INDEX(Radicals!$B$2:$B$215,MATCH(C1620,Radicals!$A$2:$A$215,0))</f>
        <v>尸</v>
      </c>
      <c r="E1620" s="10" t="str">
        <f aca="false">INDEX(Radicals!$G$2:$G$215,MATCH(C1620,Radicals!$A$2:$A$215,0))</f>
        <v>corpse, body</v>
      </c>
      <c r="F1620" s="8" t="n">
        <f aca="false">INDEX(Radicals!$D$2:$D$215,MATCH(C1620,Radicals!$A$2:$A$215,0))</f>
        <v>3</v>
      </c>
      <c r="G1620" s="8" t="n">
        <v>15</v>
      </c>
    </row>
    <row r="1621" customFormat="false" ht="17.35" hidden="false" customHeight="false" outlineLevel="0" collapsed="false">
      <c r="A1621" s="8" t="n">
        <v>1620</v>
      </c>
      <c r="B1621" s="9" t="s">
        <v>2607</v>
      </c>
      <c r="C1621" s="8" t="n">
        <v>19</v>
      </c>
      <c r="D1621" s="9" t="str">
        <f aca="false">INDEX(Radicals!$B$2:$B$215,MATCH(C1621,Radicals!$A$2:$A$215,0))</f>
        <v>力</v>
      </c>
      <c r="E1621" s="10" t="str">
        <f aca="false">INDEX(Radicals!$G$2:$G$215,MATCH(C1621,Radicals!$A$2:$A$215,0))</f>
        <v>power, strength</v>
      </c>
      <c r="F1621" s="8" t="n">
        <f aca="false">INDEX(Radicals!$D$2:$D$215,MATCH(C1621,Radicals!$A$2:$A$215,0))</f>
        <v>2</v>
      </c>
      <c r="G1621" s="8" t="n">
        <v>6</v>
      </c>
    </row>
    <row r="1622" customFormat="false" ht="17.35" hidden="false" customHeight="false" outlineLevel="0" collapsed="false">
      <c r="A1622" s="8" t="n">
        <v>1621</v>
      </c>
      <c r="B1622" s="9" t="s">
        <v>2608</v>
      </c>
      <c r="C1622" s="8" t="n">
        <v>163</v>
      </c>
      <c r="D1622" s="9" t="str">
        <f aca="false">INDEX(Radicals!$B$2:$B$215,MATCH(C1622,Radicals!$A$2:$A$215,0))</f>
        <v>邑</v>
      </c>
      <c r="E1622" s="10" t="str">
        <f aca="false">INDEX(Radicals!$G$2:$G$215,MATCH(C1622,Radicals!$A$2:$A$215,0))</f>
        <v>city, village</v>
      </c>
      <c r="F1622" s="8" t="n">
        <f aca="false">INDEX(Radicals!$D$2:$D$215,MATCH(C1622,Radicals!$A$2:$A$215,0))</f>
        <v>7</v>
      </c>
      <c r="G1622" s="8" t="n">
        <v>7</v>
      </c>
    </row>
    <row r="1623" customFormat="false" ht="17.35" hidden="false" customHeight="false" outlineLevel="0" collapsed="false">
      <c r="A1623" s="8" t="n">
        <v>1622</v>
      </c>
      <c r="B1623" s="9" t="s">
        <v>2609</v>
      </c>
      <c r="C1623" s="8" t="n">
        <v>79</v>
      </c>
      <c r="D1623" s="9" t="str">
        <f aca="false">INDEX(Radicals!$B$2:$B$215,MATCH(C1623,Radicals!$A$2:$A$215,0))</f>
        <v>殳</v>
      </c>
      <c r="E1623" s="10" t="str">
        <f aca="false">INDEX(Radicals!$G$2:$G$215,MATCH(C1623,Radicals!$A$2:$A$215,0))</f>
        <v>weapon, to strike</v>
      </c>
      <c r="F1623" s="8" t="n">
        <f aca="false">INDEX(Radicals!$D$2:$D$215,MATCH(C1623,Radicals!$A$2:$A$215,0))</f>
        <v>4</v>
      </c>
      <c r="G1623" s="8" t="n">
        <v>8</v>
      </c>
    </row>
    <row r="1624" customFormat="false" ht="17.35" hidden="false" customHeight="false" outlineLevel="0" collapsed="false">
      <c r="A1624" s="8" t="n">
        <v>1623</v>
      </c>
      <c r="B1624" s="9" t="s">
        <v>2610</v>
      </c>
      <c r="C1624" s="8" t="n">
        <v>38</v>
      </c>
      <c r="D1624" s="9" t="str">
        <f aca="false">INDEX(Radicals!$B$2:$B$215,MATCH(C1624,Radicals!$A$2:$A$215,0))</f>
        <v>女</v>
      </c>
      <c r="E1624" s="10" t="str">
        <f aca="false">INDEX(Radicals!$G$2:$G$215,MATCH(C1624,Radicals!$A$2:$A$215,0))</f>
        <v>woman</v>
      </c>
      <c r="F1624" s="8" t="n">
        <f aca="false">INDEX(Radicals!$D$2:$D$215,MATCH(C1624,Radicals!$A$2:$A$215,0))</f>
        <v>3</v>
      </c>
      <c r="G1624" s="8" t="n">
        <v>10</v>
      </c>
    </row>
    <row r="1625" customFormat="false" ht="17.35" hidden="false" customHeight="false" outlineLevel="0" collapsed="false">
      <c r="A1625" s="8" t="n">
        <v>1624</v>
      </c>
      <c r="B1625" s="9" t="s">
        <v>2611</v>
      </c>
      <c r="C1625" s="8" t="n">
        <v>37</v>
      </c>
      <c r="D1625" s="9" t="str">
        <f aca="false">INDEX(Radicals!$B$2:$B$215,MATCH(C1625,Radicals!$A$2:$A$215,0))</f>
        <v>大</v>
      </c>
      <c r="E1625" s="10" t="str">
        <f aca="false">INDEX(Radicals!$G$2:$G$215,MATCH(C1625,Radicals!$A$2:$A$215,0))</f>
        <v>big</v>
      </c>
      <c r="F1625" s="8" t="n">
        <f aca="false">INDEX(Radicals!$D$2:$D$215,MATCH(C1625,Radicals!$A$2:$A$215,0))</f>
        <v>3</v>
      </c>
      <c r="G1625" s="8" t="n">
        <v>8</v>
      </c>
    </row>
    <row r="1626" customFormat="false" ht="17.35" hidden="false" customHeight="false" outlineLevel="0" collapsed="false">
      <c r="A1626" s="8" t="n">
        <v>1625</v>
      </c>
      <c r="B1626" s="9" t="s">
        <v>2612</v>
      </c>
      <c r="C1626" s="8" t="n">
        <v>61</v>
      </c>
      <c r="D1626" s="9" t="str">
        <f aca="false">INDEX(Radicals!$B$2:$B$215,MATCH(C1626,Radicals!$A$2:$A$215,0))</f>
        <v>心</v>
      </c>
      <c r="E1626" s="10" t="str">
        <f aca="false">INDEX(Radicals!$G$2:$G$215,MATCH(C1626,Radicals!$A$2:$A$215,0))</f>
        <v>heart, mind</v>
      </c>
      <c r="F1626" s="8" t="n">
        <f aca="false">INDEX(Radicals!$D$2:$D$215,MATCH(C1626,Radicals!$A$2:$A$215,0))</f>
        <v>4</v>
      </c>
      <c r="G1626" s="8" t="n">
        <v>15</v>
      </c>
    </row>
    <row r="1627" customFormat="false" ht="17.35" hidden="false" customHeight="false" outlineLevel="0" collapsed="false">
      <c r="A1627" s="8" t="n">
        <v>1626</v>
      </c>
      <c r="B1627" s="9" t="s">
        <v>2613</v>
      </c>
      <c r="C1627" s="8" t="n">
        <v>75</v>
      </c>
      <c r="D1627" s="9" t="str">
        <f aca="false">INDEX(Radicals!$B$2:$B$215,MATCH(C1627,Radicals!$A$2:$A$215,0))</f>
        <v>木</v>
      </c>
      <c r="E1627" s="10" t="str">
        <f aca="false">INDEX(Radicals!$G$2:$G$215,MATCH(C1627,Radicals!$A$2:$A$215,0))</f>
        <v>tree, wood</v>
      </c>
      <c r="F1627" s="8" t="n">
        <f aca="false">INDEX(Radicals!$D$2:$D$215,MATCH(C1627,Radicals!$A$2:$A$215,0))</f>
        <v>4</v>
      </c>
      <c r="G1627" s="8" t="n">
        <v>6</v>
      </c>
    </row>
    <row r="1628" customFormat="false" ht="17.35" hidden="false" customHeight="false" outlineLevel="0" collapsed="false">
      <c r="A1628" s="8" t="n">
        <v>1627</v>
      </c>
      <c r="B1628" s="9" t="s">
        <v>2614</v>
      </c>
      <c r="C1628" s="8" t="n">
        <v>8</v>
      </c>
      <c r="D1628" s="9" t="str">
        <f aca="false">INDEX(Radicals!$B$2:$B$215,MATCH(C1628,Radicals!$A$2:$A$215,0))</f>
        <v>亠</v>
      </c>
      <c r="E1628" s="10" t="str">
        <f aca="false">INDEX(Radicals!$G$2:$G$215,MATCH(C1628,Radicals!$A$2:$A$215,0))</f>
        <v>lid, top</v>
      </c>
      <c r="F1628" s="8" t="n">
        <f aca="false">INDEX(Radicals!$D$2:$D$215,MATCH(C1628,Radicals!$A$2:$A$215,0))</f>
        <v>2</v>
      </c>
      <c r="G1628" s="8" t="n">
        <v>9</v>
      </c>
    </row>
    <row r="1629" customFormat="false" ht="17.35" hidden="false" customHeight="false" outlineLevel="0" collapsed="false">
      <c r="A1629" s="8" t="n">
        <v>1628</v>
      </c>
      <c r="B1629" s="9" t="s">
        <v>2615</v>
      </c>
      <c r="C1629" s="8" t="n">
        <v>38</v>
      </c>
      <c r="D1629" s="9" t="str">
        <f aca="false">INDEX(Radicals!$B$2:$B$215,MATCH(C1629,Radicals!$A$2:$A$215,0))</f>
        <v>女</v>
      </c>
      <c r="E1629" s="10" t="str">
        <f aca="false">INDEX(Radicals!$G$2:$G$215,MATCH(C1629,Radicals!$A$2:$A$215,0))</f>
        <v>woman</v>
      </c>
      <c r="F1629" s="8" t="n">
        <f aca="false">INDEX(Radicals!$D$2:$D$215,MATCH(C1629,Radicals!$A$2:$A$215,0))</f>
        <v>3</v>
      </c>
      <c r="G1629" s="8" t="n">
        <v>8</v>
      </c>
    </row>
    <row r="1630" customFormat="false" ht="17.35" hidden="false" customHeight="false" outlineLevel="0" collapsed="false">
      <c r="A1630" s="8" t="n">
        <v>1629</v>
      </c>
      <c r="B1630" s="9" t="s">
        <v>2616</v>
      </c>
      <c r="C1630" s="8" t="n">
        <v>85</v>
      </c>
      <c r="D1630" s="9" t="str">
        <f aca="false">INDEX(Radicals!$B$2:$B$215,MATCH(C1630,Radicals!$A$2:$A$215,0))</f>
        <v>水</v>
      </c>
      <c r="E1630" s="10" t="str">
        <f aca="false">INDEX(Radicals!$G$2:$G$215,MATCH(C1630,Radicals!$A$2:$A$215,0))</f>
        <v>water</v>
      </c>
      <c r="F1630" s="8" t="n">
        <f aca="false">INDEX(Radicals!$D$2:$D$215,MATCH(C1630,Radicals!$A$2:$A$215,0))</f>
        <v>4</v>
      </c>
      <c r="G1630" s="8" t="n">
        <v>11</v>
      </c>
    </row>
    <row r="1631" customFormat="false" ht="17.35" hidden="false" customHeight="false" outlineLevel="0" collapsed="false">
      <c r="A1631" s="8" t="n">
        <v>1630</v>
      </c>
      <c r="B1631" s="9" t="s">
        <v>2617</v>
      </c>
      <c r="C1631" s="8" t="n">
        <v>140</v>
      </c>
      <c r="D1631" s="9" t="str">
        <f aca="false">INDEX(Radicals!$B$2:$B$215,MATCH(C1631,Radicals!$A$2:$A$215,0))</f>
        <v>艸</v>
      </c>
      <c r="E1631" s="10" t="str">
        <f aca="false">INDEX(Radicals!$G$2:$G$215,MATCH(C1631,Radicals!$A$2:$A$215,0))</f>
        <v>grass, plant</v>
      </c>
      <c r="F1631" s="8" t="n">
        <f aca="false">INDEX(Radicals!$D$2:$D$215,MATCH(C1631,Radicals!$A$2:$A$215,0))</f>
        <v>6</v>
      </c>
      <c r="G1631" s="8" t="n">
        <v>10</v>
      </c>
    </row>
    <row r="1632" customFormat="false" ht="17.35" hidden="false" customHeight="false" outlineLevel="0" collapsed="false">
      <c r="A1632" s="8" t="n">
        <v>1631</v>
      </c>
      <c r="B1632" s="9" t="s">
        <v>2618</v>
      </c>
      <c r="C1632" s="8" t="n">
        <v>118</v>
      </c>
      <c r="D1632" s="9" t="str">
        <f aca="false">INDEX(Radicals!$B$2:$B$215,MATCH(C1632,Radicals!$A$2:$A$215,0))</f>
        <v>竹</v>
      </c>
      <c r="E1632" s="10" t="str">
        <f aca="false">INDEX(Radicals!$G$2:$G$215,MATCH(C1632,Radicals!$A$2:$A$215,0))</f>
        <v>bamboo</v>
      </c>
      <c r="F1632" s="8" t="n">
        <f aca="false">INDEX(Radicals!$D$2:$D$215,MATCH(C1632,Radicals!$A$2:$A$215,0))</f>
        <v>6</v>
      </c>
      <c r="G1632" s="8" t="n">
        <v>12</v>
      </c>
    </row>
    <row r="1633" customFormat="false" ht="17.35" hidden="false" customHeight="false" outlineLevel="0" collapsed="false">
      <c r="A1633" s="8" t="n">
        <v>1632</v>
      </c>
      <c r="B1633" s="9" t="s">
        <v>1078</v>
      </c>
      <c r="C1633" s="8" t="n">
        <v>209</v>
      </c>
      <c r="D1633" s="9" t="str">
        <f aca="false">INDEX(Radicals!$B$2:$B$215,MATCH(C1633,Radicals!$A$2:$A$215,0))</f>
        <v>鼻</v>
      </c>
      <c r="E1633" s="10" t="str">
        <f aca="false">INDEX(Radicals!$G$2:$G$215,MATCH(C1633,Radicals!$A$2:$A$215,0))</f>
        <v>nose</v>
      </c>
      <c r="F1633" s="8" t="n">
        <f aca="false">INDEX(Radicals!$D$2:$D$215,MATCH(C1633,Radicals!$A$2:$A$215,0))</f>
        <v>14</v>
      </c>
      <c r="G1633" s="8" t="n">
        <v>14</v>
      </c>
    </row>
    <row r="1634" customFormat="false" ht="17.35" hidden="false" customHeight="false" outlineLevel="0" collapsed="false">
      <c r="A1634" s="8" t="n">
        <v>1633</v>
      </c>
      <c r="B1634" s="9" t="s">
        <v>2619</v>
      </c>
      <c r="C1634" s="8" t="n">
        <v>46</v>
      </c>
      <c r="D1634" s="9" t="str">
        <f aca="false">INDEX(Radicals!$B$2:$B$215,MATCH(C1634,Radicals!$A$2:$A$215,0))</f>
        <v>山</v>
      </c>
      <c r="E1634" s="10" t="str">
        <f aca="false">INDEX(Radicals!$G$2:$G$215,MATCH(C1634,Radicals!$A$2:$A$215,0))</f>
        <v>mountain</v>
      </c>
      <c r="F1634" s="8" t="n">
        <f aca="false">INDEX(Radicals!$D$2:$D$215,MATCH(C1634,Radicals!$A$2:$A$215,0))</f>
        <v>3</v>
      </c>
      <c r="G1634" s="8" t="n">
        <v>14</v>
      </c>
    </row>
    <row r="1635" customFormat="false" ht="17.35" hidden="false" customHeight="false" outlineLevel="0" collapsed="false">
      <c r="A1635" s="8" t="n">
        <v>1634</v>
      </c>
      <c r="B1635" s="9" t="s">
        <v>2620</v>
      </c>
      <c r="C1635" s="8" t="n">
        <v>61</v>
      </c>
      <c r="D1635" s="9" t="str">
        <f aca="false">INDEX(Radicals!$B$2:$B$215,MATCH(C1635,Radicals!$A$2:$A$215,0))</f>
        <v>心</v>
      </c>
      <c r="E1635" s="10" t="str">
        <f aca="false">INDEX(Radicals!$G$2:$G$215,MATCH(C1635,Radicals!$A$2:$A$215,0))</f>
        <v>heart, mind</v>
      </c>
      <c r="F1635" s="8" t="n">
        <f aca="false">INDEX(Radicals!$D$2:$D$215,MATCH(C1635,Radicals!$A$2:$A$215,0))</f>
        <v>4</v>
      </c>
      <c r="G1635" s="8" t="n">
        <v>8</v>
      </c>
    </row>
    <row r="1636" customFormat="false" ht="17.35" hidden="false" customHeight="false" outlineLevel="0" collapsed="false">
      <c r="A1636" s="8" t="n">
        <v>1635</v>
      </c>
      <c r="B1636" s="9" t="s">
        <v>2621</v>
      </c>
      <c r="C1636" s="8" t="n">
        <v>119</v>
      </c>
      <c r="D1636" s="9" t="str">
        <f aca="false">INDEX(Radicals!$B$2:$B$215,MATCH(C1636,Radicals!$A$2:$A$215,0))</f>
        <v>米</v>
      </c>
      <c r="E1636" s="10" t="str">
        <f aca="false">INDEX(Radicals!$G$2:$G$215,MATCH(C1636,Radicals!$A$2:$A$215,0))</f>
        <v>rice</v>
      </c>
      <c r="F1636" s="8" t="n">
        <f aca="false">INDEX(Radicals!$D$2:$D$215,MATCH(C1636,Radicals!$A$2:$A$215,0))</f>
        <v>6</v>
      </c>
      <c r="G1636" s="8" t="n">
        <v>11</v>
      </c>
    </row>
    <row r="1637" customFormat="false" ht="17.35" hidden="false" customHeight="false" outlineLevel="0" collapsed="false">
      <c r="A1637" s="8" t="n">
        <v>1636</v>
      </c>
      <c r="B1637" s="9" t="s">
        <v>2622</v>
      </c>
      <c r="C1637" s="8" t="n">
        <v>149</v>
      </c>
      <c r="D1637" s="9" t="str">
        <f aca="false">INDEX(Radicals!$B$2:$B$215,MATCH(C1637,Radicals!$A$2:$A$215,0))</f>
        <v>言</v>
      </c>
      <c r="E1637" s="10" t="str">
        <f aca="false">INDEX(Radicals!$G$2:$G$215,MATCH(C1637,Radicals!$A$2:$A$215,0))</f>
        <v>speech, say</v>
      </c>
      <c r="F1637" s="8" t="n">
        <f aca="false">INDEX(Radicals!$D$2:$D$215,MATCH(C1637,Radicals!$A$2:$A$215,0))</f>
        <v>7</v>
      </c>
      <c r="G1637" s="8" t="n">
        <v>12</v>
      </c>
    </row>
    <row r="1638" customFormat="false" ht="17.35" hidden="false" customHeight="false" outlineLevel="0" collapsed="false">
      <c r="A1638" s="8" t="n">
        <v>1637</v>
      </c>
      <c r="B1638" s="9" t="s">
        <v>2623</v>
      </c>
      <c r="C1638" s="8" t="n">
        <v>196</v>
      </c>
      <c r="D1638" s="9" t="str">
        <f aca="false">INDEX(Radicals!$B$2:$B$215,MATCH(C1638,Radicals!$A$2:$A$215,0))</f>
        <v>鳥</v>
      </c>
      <c r="E1638" s="10" t="str">
        <f aca="false">INDEX(Radicals!$G$2:$G$215,MATCH(C1638,Radicals!$A$2:$A$215,0))</f>
        <v>bird</v>
      </c>
      <c r="F1638" s="8" t="n">
        <f aca="false">INDEX(Radicals!$D$2:$D$215,MATCH(C1638,Radicals!$A$2:$A$215,0))</f>
        <v>11</v>
      </c>
      <c r="G1638" s="8" t="n">
        <v>13</v>
      </c>
    </row>
    <row r="1639" customFormat="false" ht="17.35" hidden="false" customHeight="false" outlineLevel="0" collapsed="false">
      <c r="A1639" s="8" t="n">
        <v>1638</v>
      </c>
      <c r="B1639" s="9" t="s">
        <v>2624</v>
      </c>
      <c r="C1639" s="8" t="n">
        <v>75</v>
      </c>
      <c r="D1639" s="9" t="str">
        <f aca="false">INDEX(Radicals!$B$2:$B$215,MATCH(C1639,Radicals!$A$2:$A$215,0))</f>
        <v>木</v>
      </c>
      <c r="E1639" s="10" t="str">
        <f aca="false">INDEX(Radicals!$G$2:$G$215,MATCH(C1639,Radicals!$A$2:$A$215,0))</f>
        <v>tree, wood</v>
      </c>
      <c r="F1639" s="8" t="n">
        <f aca="false">INDEX(Radicals!$D$2:$D$215,MATCH(C1639,Radicals!$A$2:$A$215,0))</f>
        <v>4</v>
      </c>
      <c r="G1639" s="8" t="n">
        <v>10</v>
      </c>
    </row>
    <row r="1640" customFormat="false" ht="17.35" hidden="false" customHeight="false" outlineLevel="0" collapsed="false">
      <c r="A1640" s="8" t="n">
        <v>1639</v>
      </c>
      <c r="B1640" s="9" t="s">
        <v>2625</v>
      </c>
      <c r="C1640" s="8" t="n">
        <v>9</v>
      </c>
      <c r="D1640" s="9" t="str">
        <f aca="false">INDEX(Radicals!$B$2:$B$215,MATCH(C1640,Radicals!$A$2:$A$215,0))</f>
        <v>人</v>
      </c>
      <c r="E1640" s="10" t="str">
        <f aca="false">INDEX(Radicals!$G$2:$G$215,MATCH(C1640,Radicals!$A$2:$A$215,0))</f>
        <v>person</v>
      </c>
      <c r="F1640" s="8" t="n">
        <f aca="false">INDEX(Radicals!$D$2:$D$215,MATCH(C1640,Radicals!$A$2:$A$215,0))</f>
        <v>2</v>
      </c>
      <c r="G1640" s="8" t="n">
        <v>12</v>
      </c>
    </row>
    <row r="1641" customFormat="false" ht="17.35" hidden="false" customHeight="false" outlineLevel="0" collapsed="false">
      <c r="A1641" s="8" t="n">
        <v>1640</v>
      </c>
      <c r="B1641" s="9" t="s">
        <v>2626</v>
      </c>
      <c r="C1641" s="8" t="n">
        <v>164</v>
      </c>
      <c r="D1641" s="9" t="str">
        <f aca="false">INDEX(Radicals!$B$2:$B$215,MATCH(C1641,Radicals!$A$2:$A$215,0))</f>
        <v>酉</v>
      </c>
      <c r="E1641" s="10" t="str">
        <f aca="false">INDEX(Radicals!$G$2:$G$215,MATCH(C1641,Radicals!$A$2:$A$215,0))</f>
        <v>wine, 10th zodiac sign (rooster)</v>
      </c>
      <c r="F1641" s="8" t="n">
        <f aca="false">INDEX(Radicals!$D$2:$D$215,MATCH(C1641,Radicals!$A$2:$A$215,0))</f>
        <v>7</v>
      </c>
      <c r="G1641" s="8" t="n">
        <v>11</v>
      </c>
    </row>
    <row r="1642" customFormat="false" ht="17.35" hidden="false" customHeight="false" outlineLevel="0" collapsed="false">
      <c r="A1642" s="8" t="n">
        <v>1641</v>
      </c>
      <c r="B1642" s="9" t="s">
        <v>2627</v>
      </c>
      <c r="C1642" s="8" t="n">
        <v>61</v>
      </c>
      <c r="D1642" s="9" t="str">
        <f aca="false">INDEX(Radicals!$B$2:$B$215,MATCH(C1642,Radicals!$A$2:$A$215,0))</f>
        <v>心</v>
      </c>
      <c r="E1642" s="10" t="str">
        <f aca="false">INDEX(Radicals!$G$2:$G$215,MATCH(C1642,Radicals!$A$2:$A$215,0))</f>
        <v>heart, mind</v>
      </c>
      <c r="F1642" s="8" t="n">
        <f aca="false">INDEX(Radicals!$D$2:$D$215,MATCH(C1642,Radicals!$A$2:$A$215,0))</f>
        <v>4</v>
      </c>
      <c r="G1642" s="8" t="n">
        <v>11</v>
      </c>
    </row>
    <row r="1643" customFormat="false" ht="17.35" hidden="false" customHeight="false" outlineLevel="0" collapsed="false">
      <c r="A1643" s="8" t="n">
        <v>1642</v>
      </c>
      <c r="B1643" s="9" t="s">
        <v>2628</v>
      </c>
      <c r="C1643" s="8" t="n">
        <v>115</v>
      </c>
      <c r="D1643" s="9" t="str">
        <f aca="false">INDEX(Radicals!$B$2:$B$215,MATCH(C1643,Radicals!$A$2:$A$215,0))</f>
        <v>禾</v>
      </c>
      <c r="E1643" s="10" t="str">
        <f aca="false">INDEX(Radicals!$G$2:$G$215,MATCH(C1643,Radicals!$A$2:$A$215,0))</f>
        <v>grain, rice plant</v>
      </c>
      <c r="F1643" s="8" t="n">
        <f aca="false">INDEX(Radicals!$D$2:$D$215,MATCH(C1643,Radicals!$A$2:$A$215,0))</f>
        <v>5</v>
      </c>
      <c r="G1643" s="8" t="n">
        <v>18</v>
      </c>
    </row>
    <row r="1644" customFormat="false" ht="17.35" hidden="false" customHeight="false" outlineLevel="0" collapsed="false">
      <c r="A1644" s="8" t="n">
        <v>1643</v>
      </c>
      <c r="B1644" s="9" t="s">
        <v>2629</v>
      </c>
      <c r="C1644" s="8" t="n">
        <v>9</v>
      </c>
      <c r="D1644" s="9" t="str">
        <f aca="false">INDEX(Radicals!$B$2:$B$215,MATCH(C1644,Radicals!$A$2:$A$215,0))</f>
        <v>人</v>
      </c>
      <c r="E1644" s="10" t="str">
        <f aca="false">INDEX(Radicals!$G$2:$G$215,MATCH(C1644,Radicals!$A$2:$A$215,0))</f>
        <v>person</v>
      </c>
      <c r="F1644" s="8" t="n">
        <f aca="false">INDEX(Radicals!$D$2:$D$215,MATCH(C1644,Radicals!$A$2:$A$215,0))</f>
        <v>2</v>
      </c>
      <c r="G1644" s="8" t="n">
        <v>8</v>
      </c>
    </row>
    <row r="1645" customFormat="false" ht="17.35" hidden="false" customHeight="false" outlineLevel="0" collapsed="false">
      <c r="A1645" s="8" t="n">
        <v>1644</v>
      </c>
      <c r="B1645" s="9" t="s">
        <v>2630</v>
      </c>
      <c r="C1645" s="8" t="n">
        <v>85</v>
      </c>
      <c r="D1645" s="9" t="str">
        <f aca="false">INDEX(Radicals!$B$2:$B$215,MATCH(C1645,Radicals!$A$2:$A$215,0))</f>
        <v>水</v>
      </c>
      <c r="E1645" s="10" t="str">
        <f aca="false">INDEX(Radicals!$G$2:$G$215,MATCH(C1645,Radicals!$A$2:$A$215,0))</f>
        <v>water</v>
      </c>
      <c r="F1645" s="8" t="n">
        <f aca="false">INDEX(Radicals!$D$2:$D$215,MATCH(C1645,Radicals!$A$2:$A$215,0))</f>
        <v>4</v>
      </c>
      <c r="G1645" s="8" t="n">
        <v>15</v>
      </c>
    </row>
    <row r="1646" customFormat="false" ht="17.35" hidden="false" customHeight="false" outlineLevel="0" collapsed="false">
      <c r="A1646" s="8" t="n">
        <v>1645</v>
      </c>
      <c r="B1646" s="9" t="s">
        <v>2631</v>
      </c>
      <c r="C1646" s="8" t="n">
        <v>61</v>
      </c>
      <c r="D1646" s="9" t="str">
        <f aca="false">INDEX(Radicals!$B$2:$B$215,MATCH(C1646,Radicals!$A$2:$A$215,0))</f>
        <v>心</v>
      </c>
      <c r="E1646" s="10" t="str">
        <f aca="false">INDEX(Radicals!$G$2:$G$215,MATCH(C1646,Radicals!$A$2:$A$215,0))</f>
        <v>heart, mind</v>
      </c>
      <c r="F1646" s="8" t="n">
        <f aca="false">INDEX(Radicals!$D$2:$D$215,MATCH(C1646,Radicals!$A$2:$A$215,0))</f>
        <v>4</v>
      </c>
      <c r="G1646" s="8" t="n">
        <v>11</v>
      </c>
    </row>
    <row r="1647" customFormat="false" ht="17.35" hidden="false" customHeight="false" outlineLevel="0" collapsed="false">
      <c r="A1647" s="8" t="n">
        <v>1646</v>
      </c>
      <c r="B1647" s="9" t="s">
        <v>2632</v>
      </c>
      <c r="C1647" s="8" t="n">
        <v>4</v>
      </c>
      <c r="D1647" s="9" t="str">
        <f aca="false">INDEX(Radicals!$B$2:$B$215,MATCH(C1647,Radicals!$A$2:$A$215,0))</f>
        <v>丿</v>
      </c>
      <c r="E1647" s="10" t="str">
        <f aca="false">INDEX(Radicals!$G$2:$G$215,MATCH(C1647,Radicals!$A$2:$A$215,0))</f>
        <v>slash, left-falling stroke</v>
      </c>
      <c r="F1647" s="8" t="n">
        <f aca="false">INDEX(Radicals!$D$2:$D$215,MATCH(C1647,Radicals!$A$2:$A$215,0))</f>
        <v>1</v>
      </c>
      <c r="G1647" s="8" t="n">
        <v>4</v>
      </c>
    </row>
    <row r="1648" customFormat="false" ht="17.35" hidden="false" customHeight="false" outlineLevel="0" collapsed="false">
      <c r="A1648" s="8" t="n">
        <v>1647</v>
      </c>
      <c r="B1648" s="9" t="s">
        <v>2633</v>
      </c>
      <c r="C1648" s="8" t="n">
        <v>130</v>
      </c>
      <c r="D1648" s="9" t="str">
        <f aca="false">INDEX(Radicals!$B$2:$B$215,MATCH(C1648,Radicals!$A$2:$A$215,0))</f>
        <v>肉</v>
      </c>
      <c r="E1648" s="10" t="str">
        <f aca="false">INDEX(Radicals!$G$2:$G$215,MATCH(C1648,Radicals!$A$2:$A$215,0))</f>
        <v>meat, flesh</v>
      </c>
      <c r="F1648" s="8" t="n">
        <f aca="false">INDEX(Radicals!$D$2:$D$215,MATCH(C1648,Radicals!$A$2:$A$215,0))</f>
        <v>6</v>
      </c>
      <c r="G1648" s="8" t="n">
        <v>9</v>
      </c>
    </row>
    <row r="1649" customFormat="false" ht="17.35" hidden="false" customHeight="false" outlineLevel="0" collapsed="false">
      <c r="A1649" s="8" t="n">
        <v>1648</v>
      </c>
      <c r="B1649" s="9" t="s">
        <v>2634</v>
      </c>
      <c r="C1649" s="8" t="n">
        <v>149</v>
      </c>
      <c r="D1649" s="9" t="str">
        <f aca="false">INDEX(Radicals!$B$2:$B$215,MATCH(C1649,Radicals!$A$2:$A$215,0))</f>
        <v>言</v>
      </c>
      <c r="E1649" s="10" t="str">
        <f aca="false">INDEX(Radicals!$G$2:$G$215,MATCH(C1649,Radicals!$A$2:$A$215,0))</f>
        <v>speech, say</v>
      </c>
      <c r="F1649" s="8" t="n">
        <f aca="false">INDEX(Radicals!$D$2:$D$215,MATCH(C1649,Radicals!$A$2:$A$215,0))</f>
        <v>7</v>
      </c>
      <c r="G1649" s="8" t="n">
        <v>13</v>
      </c>
    </row>
    <row r="1650" customFormat="false" ht="17.35" hidden="false" customHeight="false" outlineLevel="0" collapsed="false">
      <c r="A1650" s="8" t="n">
        <v>1649</v>
      </c>
      <c r="B1650" s="9" t="s">
        <v>2635</v>
      </c>
      <c r="C1650" s="8" t="n">
        <v>156</v>
      </c>
      <c r="D1650" s="9" t="str">
        <f aca="false">INDEX(Radicals!$B$2:$B$215,MATCH(C1650,Radicals!$A$2:$A$215,0))</f>
        <v>走</v>
      </c>
      <c r="E1650" s="10" t="str">
        <f aca="false">INDEX(Radicals!$G$2:$G$215,MATCH(C1650,Radicals!$A$2:$A$215,0))</f>
        <v>run</v>
      </c>
      <c r="F1650" s="8" t="n">
        <f aca="false">INDEX(Radicals!$D$2:$D$215,MATCH(C1650,Radicals!$A$2:$A$215,0))</f>
        <v>7</v>
      </c>
      <c r="G1650" s="8" t="n">
        <v>9</v>
      </c>
    </row>
    <row r="1651" customFormat="false" ht="17.35" hidden="false" customHeight="false" outlineLevel="0" collapsed="false">
      <c r="A1651" s="8" t="n">
        <v>1650</v>
      </c>
      <c r="B1651" s="9" t="s">
        <v>2636</v>
      </c>
      <c r="C1651" s="8" t="n">
        <v>75</v>
      </c>
      <c r="D1651" s="9" t="str">
        <f aca="false">INDEX(Radicals!$B$2:$B$215,MATCH(C1651,Radicals!$A$2:$A$215,0))</f>
        <v>木</v>
      </c>
      <c r="E1651" s="10" t="str">
        <f aca="false">INDEX(Radicals!$G$2:$G$215,MATCH(C1651,Radicals!$A$2:$A$215,0))</f>
        <v>tree, wood</v>
      </c>
      <c r="F1651" s="8" t="n">
        <f aca="false">INDEX(Radicals!$D$2:$D$215,MATCH(C1651,Radicals!$A$2:$A$215,0))</f>
        <v>4</v>
      </c>
      <c r="G1651" s="8" t="n">
        <v>10</v>
      </c>
    </row>
    <row r="1652" customFormat="false" ht="17.35" hidden="false" customHeight="false" outlineLevel="0" collapsed="false">
      <c r="A1652" s="8" t="n">
        <v>1651</v>
      </c>
      <c r="B1652" s="9" t="s">
        <v>2637</v>
      </c>
      <c r="C1652" s="8" t="n">
        <v>75</v>
      </c>
      <c r="D1652" s="9" t="str">
        <f aca="false">INDEX(Radicals!$B$2:$B$215,MATCH(C1652,Radicals!$A$2:$A$215,0))</f>
        <v>木</v>
      </c>
      <c r="E1652" s="10" t="str">
        <f aca="false">INDEX(Radicals!$G$2:$G$215,MATCH(C1652,Radicals!$A$2:$A$215,0))</f>
        <v>tree, wood</v>
      </c>
      <c r="F1652" s="8" t="n">
        <f aca="false">INDEX(Radicals!$D$2:$D$215,MATCH(C1652,Radicals!$A$2:$A$215,0))</f>
        <v>4</v>
      </c>
      <c r="G1652" s="8" t="n">
        <v>10</v>
      </c>
    </row>
    <row r="1653" customFormat="false" ht="17.35" hidden="false" customHeight="false" outlineLevel="0" collapsed="false">
      <c r="A1653" s="8" t="n">
        <v>1652</v>
      </c>
      <c r="B1653" s="9" t="s">
        <v>2638</v>
      </c>
      <c r="C1653" s="8" t="n">
        <v>188</v>
      </c>
      <c r="D1653" s="9" t="str">
        <f aca="false">INDEX(Radicals!$B$2:$B$215,MATCH(C1653,Radicals!$A$2:$A$215,0))</f>
        <v>骨</v>
      </c>
      <c r="E1653" s="10" t="str">
        <f aca="false">INDEX(Radicals!$G$2:$G$215,MATCH(C1653,Radicals!$A$2:$A$215,0))</f>
        <v>bone</v>
      </c>
      <c r="F1653" s="8" t="n">
        <f aca="false">INDEX(Radicals!$D$2:$D$215,MATCH(C1653,Radicals!$A$2:$A$215,0))</f>
        <v>10</v>
      </c>
      <c r="G1653" s="8" t="n">
        <v>19</v>
      </c>
    </row>
    <row r="1654" customFormat="false" ht="17.35" hidden="false" customHeight="false" outlineLevel="0" collapsed="false">
      <c r="A1654" s="8" t="n">
        <v>1653</v>
      </c>
      <c r="B1654" s="9" t="s">
        <v>2639</v>
      </c>
      <c r="C1654" s="8" t="n">
        <v>141</v>
      </c>
      <c r="D1654" s="9" t="str">
        <f aca="false">INDEX(Radicals!$B$2:$B$215,MATCH(C1654,Radicals!$A$2:$A$215,0))</f>
        <v>虍</v>
      </c>
      <c r="E1654" s="10" t="str">
        <f aca="false">INDEX(Radicals!$G$2:$G$215,MATCH(C1654,Radicals!$A$2:$A$215,0))</f>
        <v>tiger stripes</v>
      </c>
      <c r="F1654" s="8" t="n">
        <f aca="false">INDEX(Radicals!$D$2:$D$215,MATCH(C1654,Radicals!$A$2:$A$215,0))</f>
        <v>6</v>
      </c>
      <c r="G1654" s="8" t="n">
        <v>8</v>
      </c>
    </row>
    <row r="1655" customFormat="false" ht="17.35" hidden="false" customHeight="false" outlineLevel="0" collapsed="false">
      <c r="A1655" s="8" t="n">
        <v>1654</v>
      </c>
      <c r="B1655" s="9" t="s">
        <v>2640</v>
      </c>
      <c r="C1655" s="8" t="n">
        <v>108</v>
      </c>
      <c r="D1655" s="9" t="str">
        <f aca="false">INDEX(Radicals!$B$2:$B$215,MATCH(C1655,Radicals!$A$2:$A$215,0))</f>
        <v>皿</v>
      </c>
      <c r="E1655" s="10" t="str">
        <f aca="false">INDEX(Radicals!$G$2:$G$215,MATCH(C1655,Radicals!$A$2:$A$215,0))</f>
        <v>dish</v>
      </c>
      <c r="F1655" s="8" t="n">
        <f aca="false">INDEX(Radicals!$D$2:$D$215,MATCH(C1655,Radicals!$A$2:$A$215,0))</f>
        <v>5</v>
      </c>
      <c r="G1655" s="8" t="n">
        <v>9</v>
      </c>
    </row>
    <row r="1656" customFormat="false" ht="17.35" hidden="false" customHeight="false" outlineLevel="0" collapsed="false">
      <c r="A1656" s="8" t="n">
        <v>1655</v>
      </c>
      <c r="B1656" s="9" t="s">
        <v>2641</v>
      </c>
      <c r="C1656" s="8" t="n">
        <v>72</v>
      </c>
      <c r="D1656" s="9" t="str">
        <f aca="false">INDEX(Radicals!$B$2:$B$215,MATCH(C1656,Radicals!$A$2:$A$215,0))</f>
        <v>日</v>
      </c>
      <c r="E1656" s="10" t="str">
        <f aca="false">INDEX(Radicals!$G$2:$G$215,MATCH(C1656,Radicals!$A$2:$A$215,0))</f>
        <v>sun, day</v>
      </c>
      <c r="F1656" s="8" t="n">
        <f aca="false">INDEX(Radicals!$D$2:$D$215,MATCH(C1656,Radicals!$A$2:$A$215,0))</f>
        <v>4</v>
      </c>
      <c r="G1656" s="8" t="n">
        <v>10</v>
      </c>
    </row>
    <row r="1657" customFormat="false" ht="17.35" hidden="false" customHeight="false" outlineLevel="0" collapsed="false">
      <c r="A1657" s="8" t="n">
        <v>1656</v>
      </c>
      <c r="B1657" s="9" t="s">
        <v>2642</v>
      </c>
      <c r="C1657" s="8" t="n">
        <v>115</v>
      </c>
      <c r="D1657" s="9" t="str">
        <f aca="false">INDEX(Radicals!$B$2:$B$215,MATCH(C1657,Radicals!$A$2:$A$215,0))</f>
        <v>禾</v>
      </c>
      <c r="E1657" s="10" t="str">
        <f aca="false">INDEX(Radicals!$G$2:$G$215,MATCH(C1657,Radicals!$A$2:$A$215,0))</f>
        <v>grain, rice plant</v>
      </c>
      <c r="F1657" s="8" t="n">
        <f aca="false">INDEX(Radicals!$D$2:$D$215,MATCH(C1657,Radicals!$A$2:$A$215,0))</f>
        <v>5</v>
      </c>
      <c r="G1657" s="8" t="n">
        <v>15</v>
      </c>
    </row>
    <row r="1658" customFormat="false" ht="17.35" hidden="false" customHeight="false" outlineLevel="0" collapsed="false">
      <c r="A1658" s="8" t="n">
        <v>1657</v>
      </c>
      <c r="B1658" s="9" t="s">
        <v>2643</v>
      </c>
      <c r="C1658" s="8" t="n">
        <v>33</v>
      </c>
      <c r="D1658" s="9" t="str">
        <f aca="false">INDEX(Radicals!$B$2:$B$215,MATCH(C1658,Radicals!$A$2:$A$215,0))</f>
        <v>士</v>
      </c>
      <c r="E1658" s="10" t="str">
        <f aca="false">INDEX(Radicals!$G$2:$G$215,MATCH(C1658,Radicals!$A$2:$A$215,0))</f>
        <v>scholar, samurai</v>
      </c>
      <c r="F1658" s="8" t="n">
        <f aca="false">INDEX(Radicals!$D$2:$D$215,MATCH(C1658,Radicals!$A$2:$A$215,0))</f>
        <v>3</v>
      </c>
      <c r="G1658" s="8" t="n">
        <v>6</v>
      </c>
    </row>
    <row r="1659" customFormat="false" ht="17.35" hidden="false" customHeight="false" outlineLevel="0" collapsed="false">
      <c r="A1659" s="8" t="n">
        <v>1658</v>
      </c>
      <c r="B1659" s="9" t="s">
        <v>2644</v>
      </c>
      <c r="C1659" s="8" t="n">
        <v>32</v>
      </c>
      <c r="D1659" s="9" t="str">
        <f aca="false">INDEX(Radicals!$B$2:$B$215,MATCH(C1659,Radicals!$A$2:$A$215,0))</f>
        <v>土</v>
      </c>
      <c r="E1659" s="10" t="str">
        <f aca="false">INDEX(Radicals!$G$2:$G$215,MATCH(C1659,Radicals!$A$2:$A$215,0))</f>
        <v>earth, soil</v>
      </c>
      <c r="F1659" s="8" t="n">
        <f aca="false">INDEX(Radicals!$D$2:$D$215,MATCH(C1659,Radicals!$A$2:$A$215,0))</f>
        <v>3</v>
      </c>
      <c r="G1659" s="8" t="n">
        <v>12</v>
      </c>
    </row>
    <row r="1660" customFormat="false" ht="17.35" hidden="false" customHeight="false" outlineLevel="0" collapsed="false">
      <c r="A1660" s="8" t="n">
        <v>1659</v>
      </c>
      <c r="B1660" s="9" t="s">
        <v>2645</v>
      </c>
      <c r="C1660" s="8" t="n">
        <v>184</v>
      </c>
      <c r="D1660" s="9" t="str">
        <f aca="false">INDEX(Radicals!$B$2:$B$215,MATCH(C1660,Radicals!$A$2:$A$215,0))</f>
        <v>食</v>
      </c>
      <c r="E1660" s="10" t="str">
        <f aca="false">INDEX(Radicals!$G$2:$G$215,MATCH(C1660,Radicals!$A$2:$A$215,0))</f>
        <v>eat, food</v>
      </c>
      <c r="F1660" s="8" t="n">
        <f aca="false">INDEX(Radicals!$D$2:$D$215,MATCH(C1660,Radicals!$A$2:$A$215,0))</f>
        <v>9</v>
      </c>
      <c r="G1660" s="8" t="n">
        <v>10</v>
      </c>
    </row>
    <row r="1661" customFormat="false" ht="17.35" hidden="false" customHeight="false" outlineLevel="0" collapsed="false">
      <c r="A1661" s="8" t="n">
        <v>1660</v>
      </c>
      <c r="B1661" s="9" t="s">
        <v>2646</v>
      </c>
      <c r="C1661" s="8" t="n">
        <v>9</v>
      </c>
      <c r="D1661" s="9" t="str">
        <f aca="false">INDEX(Radicals!$B$2:$B$215,MATCH(C1661,Radicals!$A$2:$A$215,0))</f>
        <v>人</v>
      </c>
      <c r="E1661" s="10" t="str">
        <f aca="false">INDEX(Radicals!$G$2:$G$215,MATCH(C1661,Radicals!$A$2:$A$215,0))</f>
        <v>person</v>
      </c>
      <c r="F1661" s="8" t="n">
        <f aca="false">INDEX(Radicals!$D$2:$D$215,MATCH(C1661,Radicals!$A$2:$A$215,0))</f>
        <v>2</v>
      </c>
      <c r="G1661" s="8" t="n">
        <v>12</v>
      </c>
    </row>
    <row r="1662" customFormat="false" ht="17.35" hidden="false" customHeight="false" outlineLevel="0" collapsed="false">
      <c r="A1662" s="8" t="n">
        <v>1661</v>
      </c>
      <c r="B1662" s="9" t="s">
        <v>2647</v>
      </c>
      <c r="C1662" s="8" t="n">
        <v>104</v>
      </c>
      <c r="D1662" s="9" t="str">
        <f aca="false">INDEX(Radicals!$B$2:$B$215,MATCH(C1662,Radicals!$A$2:$A$215,0))</f>
        <v>疒</v>
      </c>
      <c r="E1662" s="10" t="str">
        <f aca="false">INDEX(Radicals!$G$2:$G$215,MATCH(C1662,Radicals!$A$2:$A$215,0))</f>
        <v>sickness</v>
      </c>
      <c r="F1662" s="8" t="n">
        <f aca="false">INDEX(Radicals!$D$2:$D$215,MATCH(C1662,Radicals!$A$2:$A$215,0))</f>
        <v>5</v>
      </c>
      <c r="G1662" s="8" t="n">
        <v>9</v>
      </c>
    </row>
    <row r="1663" customFormat="false" ht="17.35" hidden="false" customHeight="false" outlineLevel="0" collapsed="false">
      <c r="A1663" s="8" t="n">
        <v>1662</v>
      </c>
      <c r="B1663" s="9" t="s">
        <v>2648</v>
      </c>
      <c r="C1663" s="8" t="n">
        <v>120</v>
      </c>
      <c r="D1663" s="9" t="str">
        <f aca="false">INDEX(Radicals!$B$2:$B$215,MATCH(C1663,Radicals!$A$2:$A$215,0))</f>
        <v>糸</v>
      </c>
      <c r="E1663" s="10" t="str">
        <f aca="false">INDEX(Radicals!$G$2:$G$215,MATCH(C1663,Radicals!$A$2:$A$215,0))</f>
        <v>thread, silk</v>
      </c>
      <c r="F1663" s="8" t="n">
        <f aca="false">INDEX(Radicals!$D$2:$D$215,MATCH(C1663,Radicals!$A$2:$A$215,0))</f>
        <v>6</v>
      </c>
      <c r="G1663" s="8" t="n">
        <v>11</v>
      </c>
    </row>
    <row r="1664" customFormat="false" ht="17.35" hidden="false" customHeight="false" outlineLevel="0" collapsed="false">
      <c r="A1664" s="8" t="n">
        <v>1663</v>
      </c>
      <c r="B1664" s="9" t="s">
        <v>2649</v>
      </c>
      <c r="C1664" s="8" t="n">
        <v>104</v>
      </c>
      <c r="D1664" s="9" t="str">
        <f aca="false">INDEX(Radicals!$B$2:$B$215,MATCH(C1664,Radicals!$A$2:$A$215,0))</f>
        <v>疒</v>
      </c>
      <c r="E1664" s="10" t="str">
        <f aca="false">INDEX(Radicals!$G$2:$G$215,MATCH(C1664,Radicals!$A$2:$A$215,0))</f>
        <v>sickness</v>
      </c>
      <c r="F1664" s="8" t="n">
        <f aca="false">INDEX(Radicals!$D$2:$D$215,MATCH(C1664,Radicals!$A$2:$A$215,0))</f>
        <v>5</v>
      </c>
      <c r="G1664" s="8" t="n">
        <v>13</v>
      </c>
    </row>
    <row r="1665" customFormat="false" ht="17.35" hidden="false" customHeight="false" outlineLevel="0" collapsed="false">
      <c r="A1665" s="8" t="n">
        <v>1664</v>
      </c>
      <c r="B1665" s="9" t="s">
        <v>2650</v>
      </c>
      <c r="C1665" s="8" t="n">
        <v>64</v>
      </c>
      <c r="D1665" s="9" t="str">
        <f aca="false">INDEX(Radicals!$B$2:$B$215,MATCH(C1665,Radicals!$A$2:$A$215,0))</f>
        <v>手</v>
      </c>
      <c r="E1665" s="10" t="str">
        <f aca="false">INDEX(Radicals!$G$2:$G$215,MATCH(C1665,Radicals!$A$2:$A$215,0))</f>
        <v>hand</v>
      </c>
      <c r="F1665" s="8" t="n">
        <f aca="false">INDEX(Radicals!$D$2:$D$215,MATCH(C1665,Radicals!$A$2:$A$215,0))</f>
        <v>4</v>
      </c>
      <c r="G1665" s="8" t="n">
        <v>13</v>
      </c>
    </row>
    <row r="1666" customFormat="false" ht="17.35" hidden="false" customHeight="false" outlineLevel="0" collapsed="false">
      <c r="A1666" s="8" t="n">
        <v>1665</v>
      </c>
      <c r="B1666" s="9" t="s">
        <v>2651</v>
      </c>
      <c r="C1666" s="8" t="n">
        <v>102</v>
      </c>
      <c r="D1666" s="9" t="str">
        <f aca="false">INDEX(Radicals!$B$2:$B$215,MATCH(C1666,Radicals!$A$2:$A$215,0))</f>
        <v>田</v>
      </c>
      <c r="E1666" s="10" t="str">
        <f aca="false">INDEX(Radicals!$G$2:$G$215,MATCH(C1666,Radicals!$A$2:$A$215,0))</f>
        <v>field, paddy</v>
      </c>
      <c r="F1666" s="8" t="n">
        <f aca="false">INDEX(Radicals!$D$2:$D$215,MATCH(C1666,Radicals!$A$2:$A$215,0))</f>
        <v>5</v>
      </c>
      <c r="G1666" s="8" t="n">
        <v>12</v>
      </c>
    </row>
    <row r="1667" customFormat="false" ht="17.35" hidden="false" customHeight="false" outlineLevel="0" collapsed="false">
      <c r="A1667" s="8" t="n">
        <v>1666</v>
      </c>
      <c r="B1667" s="9" t="s">
        <v>2652</v>
      </c>
      <c r="C1667" s="8" t="n">
        <v>72</v>
      </c>
      <c r="D1667" s="9" t="str">
        <f aca="false">INDEX(Radicals!$B$2:$B$215,MATCH(C1667,Radicals!$A$2:$A$215,0))</f>
        <v>日</v>
      </c>
      <c r="E1667" s="10" t="str">
        <f aca="false">INDEX(Radicals!$G$2:$G$215,MATCH(C1667,Radicals!$A$2:$A$215,0))</f>
        <v>sun, day</v>
      </c>
      <c r="F1667" s="8" t="n">
        <f aca="false">INDEX(Radicals!$D$2:$D$215,MATCH(C1667,Radicals!$A$2:$A$215,0))</f>
        <v>4</v>
      </c>
      <c r="G1667" s="8" t="n">
        <v>10</v>
      </c>
    </row>
    <row r="1668" customFormat="false" ht="17.35" hidden="false" customHeight="false" outlineLevel="0" collapsed="false">
      <c r="A1668" s="8" t="n">
        <v>1667</v>
      </c>
      <c r="B1668" s="9" t="s">
        <v>2653</v>
      </c>
      <c r="C1668" s="8" t="n">
        <v>104</v>
      </c>
      <c r="D1668" s="9" t="str">
        <f aca="false">INDEX(Radicals!$B$2:$B$215,MATCH(C1668,Radicals!$A$2:$A$215,0))</f>
        <v>疒</v>
      </c>
      <c r="E1668" s="10" t="str">
        <f aca="false">INDEX(Radicals!$G$2:$G$215,MATCH(C1668,Radicals!$A$2:$A$215,0))</f>
        <v>sickness</v>
      </c>
      <c r="F1668" s="8" t="n">
        <f aca="false">INDEX(Radicals!$D$2:$D$215,MATCH(C1668,Radicals!$A$2:$A$215,0))</f>
        <v>5</v>
      </c>
      <c r="G1668" s="8" t="n">
        <v>18</v>
      </c>
    </row>
    <row r="1669" customFormat="false" ht="17.35" hidden="false" customHeight="false" outlineLevel="0" collapsed="false">
      <c r="A1669" s="8" t="n">
        <v>1668</v>
      </c>
      <c r="B1669" s="9" t="s">
        <v>2654</v>
      </c>
      <c r="C1669" s="8" t="n">
        <v>75</v>
      </c>
      <c r="D1669" s="9" t="str">
        <f aca="false">INDEX(Radicals!$B$2:$B$215,MATCH(C1669,Radicals!$A$2:$A$215,0))</f>
        <v>木</v>
      </c>
      <c r="E1669" s="10" t="str">
        <f aca="false">INDEX(Radicals!$G$2:$G$215,MATCH(C1669,Radicals!$A$2:$A$215,0))</f>
        <v>tree, wood</v>
      </c>
      <c r="F1669" s="8" t="n">
        <f aca="false">INDEX(Radicals!$D$2:$D$215,MATCH(C1669,Radicals!$A$2:$A$215,0))</f>
        <v>4</v>
      </c>
      <c r="G1669" s="8" t="n">
        <v>10</v>
      </c>
    </row>
    <row r="1670" customFormat="false" ht="17.35" hidden="false" customHeight="false" outlineLevel="0" collapsed="false">
      <c r="A1670" s="8" t="n">
        <v>1669</v>
      </c>
      <c r="B1670" s="9" t="s">
        <v>224</v>
      </c>
      <c r="C1670" s="8" t="n">
        <v>41</v>
      </c>
      <c r="D1670" s="9" t="str">
        <f aca="false">INDEX(Radicals!$B$2:$B$215,MATCH(C1670,Radicals!$A$2:$A$215,0))</f>
        <v>寸</v>
      </c>
      <c r="E1670" s="10" t="str">
        <f aca="false">INDEX(Radicals!$G$2:$G$215,MATCH(C1670,Radicals!$A$2:$A$215,0))</f>
        <v>inch</v>
      </c>
      <c r="F1670" s="8" t="n">
        <f aca="false">INDEX(Radicals!$D$2:$D$215,MATCH(C1670,Radicals!$A$2:$A$215,0))</f>
        <v>3</v>
      </c>
      <c r="G1670" s="8" t="n">
        <v>3</v>
      </c>
    </row>
    <row r="1671" customFormat="false" ht="17.35" hidden="false" customHeight="false" outlineLevel="0" collapsed="false">
      <c r="A1671" s="8" t="n">
        <v>1670</v>
      </c>
      <c r="B1671" s="9" t="s">
        <v>2655</v>
      </c>
      <c r="C1671" s="8" t="n">
        <v>163</v>
      </c>
      <c r="D1671" s="9" t="str">
        <f aca="false">INDEX(Radicals!$B$2:$B$215,MATCH(C1671,Radicals!$A$2:$A$215,0))</f>
        <v>邑</v>
      </c>
      <c r="E1671" s="10" t="str">
        <f aca="false">INDEX(Radicals!$G$2:$G$215,MATCH(C1671,Radicals!$A$2:$A$215,0))</f>
        <v>city, village</v>
      </c>
      <c r="F1671" s="8" t="n">
        <f aca="false">INDEX(Radicals!$D$2:$D$215,MATCH(C1671,Radicals!$A$2:$A$215,0))</f>
        <v>7</v>
      </c>
      <c r="G1671" s="8" t="n">
        <v>11</v>
      </c>
    </row>
    <row r="1672" customFormat="false" ht="17.35" hidden="false" customHeight="false" outlineLevel="0" collapsed="false">
      <c r="A1672" s="8" t="n">
        <v>1671</v>
      </c>
      <c r="B1672" s="9" t="s">
        <v>2656</v>
      </c>
      <c r="C1672" s="8" t="n">
        <v>75</v>
      </c>
      <c r="D1672" s="9" t="str">
        <f aca="false">INDEX(Radicals!$B$2:$B$215,MATCH(C1672,Radicals!$A$2:$A$215,0))</f>
        <v>木</v>
      </c>
      <c r="E1672" s="10" t="str">
        <f aca="false">INDEX(Radicals!$G$2:$G$215,MATCH(C1672,Radicals!$A$2:$A$215,0))</f>
        <v>tree, wood</v>
      </c>
      <c r="F1672" s="8" t="n">
        <f aca="false">INDEX(Radicals!$D$2:$D$215,MATCH(C1672,Radicals!$A$2:$A$215,0))</f>
        <v>4</v>
      </c>
      <c r="G1672" s="8" t="n">
        <v>6</v>
      </c>
    </row>
    <row r="1673" customFormat="false" ht="17.35" hidden="false" customHeight="false" outlineLevel="0" collapsed="false">
      <c r="A1673" s="8" t="n">
        <v>1672</v>
      </c>
      <c r="B1673" s="9" t="s">
        <v>2657</v>
      </c>
      <c r="C1673" s="8" t="n">
        <v>44</v>
      </c>
      <c r="D1673" s="9" t="str">
        <f aca="false">INDEX(Radicals!$B$2:$B$215,MATCH(C1673,Radicals!$A$2:$A$215,0))</f>
        <v>尸</v>
      </c>
      <c r="E1673" s="10" t="str">
        <f aca="false">INDEX(Radicals!$G$2:$G$215,MATCH(C1673,Radicals!$A$2:$A$215,0))</f>
        <v>corpse, body</v>
      </c>
      <c r="F1673" s="8" t="n">
        <f aca="false">INDEX(Radicals!$D$2:$D$215,MATCH(C1673,Radicals!$A$2:$A$215,0))</f>
        <v>3</v>
      </c>
      <c r="G1673" s="8" t="n">
        <v>7</v>
      </c>
    </row>
    <row r="1674" customFormat="false" ht="17.35" hidden="false" customHeight="false" outlineLevel="0" collapsed="false">
      <c r="A1674" s="8" t="n">
        <v>1673</v>
      </c>
      <c r="B1674" s="9" t="s">
        <v>2658</v>
      </c>
      <c r="C1674" s="8" t="n">
        <v>17</v>
      </c>
      <c r="D1674" s="9" t="str">
        <f aca="false">INDEX(Radicals!$B$2:$B$215,MATCH(C1674,Radicals!$A$2:$A$215,0))</f>
        <v>凵</v>
      </c>
      <c r="E1674" s="10" t="str">
        <f aca="false">INDEX(Radicals!$G$2:$G$215,MATCH(C1674,Radicals!$A$2:$A$215,0))</f>
        <v>open box</v>
      </c>
      <c r="F1674" s="8" t="n">
        <f aca="false">INDEX(Radicals!$D$2:$D$215,MATCH(C1674,Radicals!$A$2:$A$215,0))</f>
        <v>2</v>
      </c>
      <c r="G1674" s="8" t="n">
        <v>4</v>
      </c>
    </row>
    <row r="1675" customFormat="false" ht="17.35" hidden="false" customHeight="false" outlineLevel="0" collapsed="false">
      <c r="A1675" s="8" t="n">
        <v>1674</v>
      </c>
      <c r="B1675" s="9" t="s">
        <v>2659</v>
      </c>
      <c r="C1675" s="8" t="n">
        <v>30</v>
      </c>
      <c r="D1675" s="9" t="str">
        <f aca="false">INDEX(Radicals!$B$2:$B$215,MATCH(C1675,Radicals!$A$2:$A$215,0))</f>
        <v>口</v>
      </c>
      <c r="E1675" s="10" t="str">
        <f aca="false">INDEX(Radicals!$G$2:$G$215,MATCH(C1675,Radicals!$A$2:$A$215,0))</f>
        <v>mouth</v>
      </c>
      <c r="F1675" s="8" t="n">
        <f aca="false">INDEX(Radicals!$D$2:$D$215,MATCH(C1675,Radicals!$A$2:$A$215,0))</f>
        <v>3</v>
      </c>
      <c r="G1675" s="8" t="n">
        <v>6</v>
      </c>
    </row>
    <row r="1676" customFormat="false" ht="17.35" hidden="false" customHeight="false" outlineLevel="0" collapsed="false">
      <c r="A1676" s="8" t="n">
        <v>1675</v>
      </c>
      <c r="B1676" s="9" t="s">
        <v>2660</v>
      </c>
      <c r="C1676" s="8" t="n">
        <v>40</v>
      </c>
      <c r="D1676" s="9" t="str">
        <f aca="false">INDEX(Radicals!$B$2:$B$215,MATCH(C1676,Radicals!$A$2:$A$215,0))</f>
        <v>宀</v>
      </c>
      <c r="E1676" s="10" t="str">
        <f aca="false">INDEX(Radicals!$G$2:$G$215,MATCH(C1676,Radicals!$A$2:$A$215,0))</f>
        <v>roof</v>
      </c>
      <c r="F1676" s="8" t="n">
        <f aca="false">INDEX(Radicals!$D$2:$D$215,MATCH(C1676,Radicals!$A$2:$A$215,0))</f>
        <v>3</v>
      </c>
      <c r="G1676" s="8" t="n">
        <v>10</v>
      </c>
    </row>
    <row r="1677" customFormat="false" ht="17.35" hidden="false" customHeight="false" outlineLevel="0" collapsed="false">
      <c r="A1677" s="8" t="n">
        <v>1676</v>
      </c>
      <c r="B1677" s="9" t="s">
        <v>2661</v>
      </c>
      <c r="C1677" s="8" t="n">
        <v>196</v>
      </c>
      <c r="D1677" s="9" t="str">
        <f aca="false">INDEX(Radicals!$B$2:$B$215,MATCH(C1677,Radicals!$A$2:$A$215,0))</f>
        <v>鳥</v>
      </c>
      <c r="E1677" s="10" t="str">
        <f aca="false">INDEX(Radicals!$G$2:$G$215,MATCH(C1677,Radicals!$A$2:$A$215,0))</f>
        <v>bird</v>
      </c>
      <c r="F1677" s="8" t="n">
        <f aca="false">INDEX(Radicals!$D$2:$D$215,MATCH(C1677,Radicals!$A$2:$A$215,0))</f>
        <v>11</v>
      </c>
      <c r="G1677" s="8" t="n">
        <v>24</v>
      </c>
    </row>
    <row r="1678" customFormat="false" ht="17.35" hidden="false" customHeight="false" outlineLevel="0" collapsed="false">
      <c r="A1678" s="8" t="n">
        <v>1677</v>
      </c>
      <c r="B1678" s="9" t="s">
        <v>2662</v>
      </c>
      <c r="C1678" s="8" t="n">
        <v>154</v>
      </c>
      <c r="D1678" s="9" t="str">
        <f aca="false">INDEX(Radicals!$B$2:$B$215,MATCH(C1678,Radicals!$A$2:$A$215,0))</f>
        <v>貝</v>
      </c>
      <c r="E1678" s="10" t="str">
        <f aca="false">INDEX(Radicals!$G$2:$G$215,MATCH(C1678,Radicals!$A$2:$A$215,0))</f>
        <v>shell, money</v>
      </c>
      <c r="F1678" s="8" t="n">
        <f aca="false">INDEX(Radicals!$D$2:$D$215,MATCH(C1678,Radicals!$A$2:$A$215,0))</f>
        <v>7</v>
      </c>
      <c r="G1678" s="8" t="n">
        <v>15</v>
      </c>
    </row>
    <row r="1679" customFormat="false" ht="17.35" hidden="false" customHeight="false" outlineLevel="0" collapsed="false">
      <c r="A1679" s="8" t="n">
        <v>1678</v>
      </c>
      <c r="B1679" s="9" t="s">
        <v>2663</v>
      </c>
      <c r="C1679" s="8" t="n">
        <v>141</v>
      </c>
      <c r="D1679" s="9" t="str">
        <f aca="false">INDEX(Radicals!$B$2:$B$215,MATCH(C1679,Radicals!$A$2:$A$215,0))</f>
        <v>虍</v>
      </c>
      <c r="E1679" s="10" t="str">
        <f aca="false">INDEX(Radicals!$G$2:$G$215,MATCH(C1679,Radicals!$A$2:$A$215,0))</f>
        <v>tiger stripes</v>
      </c>
      <c r="F1679" s="8" t="n">
        <f aca="false">INDEX(Radicals!$D$2:$D$215,MATCH(C1679,Radicals!$A$2:$A$215,0))</f>
        <v>6</v>
      </c>
      <c r="G1679" s="8" t="n">
        <v>13</v>
      </c>
    </row>
    <row r="1680" customFormat="false" ht="17.35" hidden="false" customHeight="false" outlineLevel="0" collapsed="false">
      <c r="A1680" s="8" t="n">
        <v>1679</v>
      </c>
      <c r="B1680" s="9" t="s">
        <v>2664</v>
      </c>
      <c r="C1680" s="8" t="n">
        <v>130</v>
      </c>
      <c r="D1680" s="9" t="str">
        <f aca="false">INDEX(Radicals!$B$2:$B$215,MATCH(C1680,Radicals!$A$2:$A$215,0))</f>
        <v>肉</v>
      </c>
      <c r="E1680" s="10" t="str">
        <f aca="false">INDEX(Radicals!$G$2:$G$215,MATCH(C1680,Radicals!$A$2:$A$215,0))</f>
        <v>meat, flesh</v>
      </c>
      <c r="F1680" s="8" t="n">
        <f aca="false">INDEX(Radicals!$D$2:$D$215,MATCH(C1680,Radicals!$A$2:$A$215,0))</f>
        <v>6</v>
      </c>
      <c r="G1680" s="8" t="n">
        <v>15</v>
      </c>
    </row>
    <row r="1681" customFormat="false" ht="17.35" hidden="false" customHeight="false" outlineLevel="0" collapsed="false">
      <c r="A1681" s="8" t="n">
        <v>1680</v>
      </c>
      <c r="B1681" s="9" t="s">
        <v>2665</v>
      </c>
      <c r="C1681" s="8" t="n">
        <v>170</v>
      </c>
      <c r="D1681" s="9" t="str">
        <f aca="false">INDEX(Radicals!$B$2:$B$215,MATCH(C1681,Radicals!$A$2:$A$215,0))</f>
        <v>阜</v>
      </c>
      <c r="E1681" s="10" t="str">
        <f aca="false">INDEX(Radicals!$G$2:$G$215,MATCH(C1681,Radicals!$A$2:$A$215,0))</f>
        <v>mound, hill</v>
      </c>
      <c r="F1681" s="8" t="n">
        <f aca="false">INDEX(Radicals!$D$2:$D$215,MATCH(C1681,Radicals!$A$2:$A$215,0))</f>
        <v>8</v>
      </c>
      <c r="G1681" s="8" t="n">
        <v>11</v>
      </c>
    </row>
    <row r="1682" customFormat="false" ht="17.35" hidden="false" customHeight="false" outlineLevel="0" collapsed="false">
      <c r="A1682" s="8" t="n">
        <v>1681</v>
      </c>
      <c r="B1682" s="9" t="s">
        <v>2666</v>
      </c>
      <c r="C1682" s="8" t="n">
        <v>167</v>
      </c>
      <c r="D1682" s="9" t="str">
        <f aca="false">INDEX(Radicals!$B$2:$B$215,MATCH(C1682,Radicals!$A$2:$A$215,0))</f>
        <v>金</v>
      </c>
      <c r="E1682" s="10" t="str">
        <f aca="false">INDEX(Radicals!$G$2:$G$215,MATCH(C1682,Radicals!$A$2:$A$215,0))</f>
        <v>metal, gold</v>
      </c>
      <c r="F1682" s="8" t="n">
        <f aca="false">INDEX(Radicals!$D$2:$D$215,MATCH(C1682,Radicals!$A$2:$A$215,0))</f>
        <v>8</v>
      </c>
      <c r="G1682" s="8" t="n">
        <v>20</v>
      </c>
    </row>
    <row r="1683" customFormat="false" ht="17.35" hidden="false" customHeight="false" outlineLevel="0" collapsed="false">
      <c r="A1683" s="8" t="n">
        <v>1682</v>
      </c>
      <c r="B1683" s="9" t="s">
        <v>2667</v>
      </c>
      <c r="C1683" s="8" t="n">
        <v>61</v>
      </c>
      <c r="D1683" s="9" t="str">
        <f aca="false">INDEX(Radicals!$B$2:$B$215,MATCH(C1683,Radicals!$A$2:$A$215,0))</f>
        <v>心</v>
      </c>
      <c r="E1683" s="10" t="str">
        <f aca="false">INDEX(Radicals!$G$2:$G$215,MATCH(C1683,Radicals!$A$2:$A$215,0))</f>
        <v>heart, mind</v>
      </c>
      <c r="F1683" s="8" t="n">
        <f aca="false">INDEX(Radicals!$D$2:$D$215,MATCH(C1683,Radicals!$A$2:$A$215,0))</f>
        <v>4</v>
      </c>
      <c r="G1683" s="8" t="n">
        <v>16</v>
      </c>
    </row>
    <row r="1684" customFormat="false" ht="17.35" hidden="false" customHeight="false" outlineLevel="0" collapsed="false">
      <c r="A1684" s="8" t="n">
        <v>1683</v>
      </c>
      <c r="B1684" s="9" t="s">
        <v>2668</v>
      </c>
      <c r="C1684" s="8" t="n">
        <v>102</v>
      </c>
      <c r="D1684" s="9" t="str">
        <f aca="false">INDEX(Radicals!$B$2:$B$215,MATCH(C1684,Radicals!$A$2:$A$215,0))</f>
        <v>田</v>
      </c>
      <c r="E1684" s="10" t="str">
        <f aca="false">INDEX(Radicals!$G$2:$G$215,MATCH(C1684,Radicals!$A$2:$A$215,0))</f>
        <v>field, paddy</v>
      </c>
      <c r="F1684" s="8" t="n">
        <f aca="false">INDEX(Radicals!$D$2:$D$215,MATCH(C1684,Radicals!$A$2:$A$215,0))</f>
        <v>5</v>
      </c>
      <c r="G1684" s="8" t="n">
        <v>15</v>
      </c>
    </row>
    <row r="1685" customFormat="false" ht="17.35" hidden="false" customHeight="false" outlineLevel="0" collapsed="false">
      <c r="A1685" s="8" t="n">
        <v>1684</v>
      </c>
      <c r="B1685" s="9" t="s">
        <v>2669</v>
      </c>
      <c r="C1685" s="8" t="n">
        <v>94</v>
      </c>
      <c r="D1685" s="9" t="str">
        <f aca="false">INDEX(Radicals!$B$2:$B$215,MATCH(C1685,Radicals!$A$2:$A$215,0))</f>
        <v>犬</v>
      </c>
      <c r="E1685" s="10" t="str">
        <f aca="false">INDEX(Radicals!$G$2:$G$215,MATCH(C1685,Radicals!$A$2:$A$215,0))</f>
        <v>dog</v>
      </c>
      <c r="F1685" s="8" t="n">
        <f aca="false">INDEX(Radicals!$D$2:$D$215,MATCH(C1685,Radicals!$A$2:$A$215,0))</f>
        <v>4</v>
      </c>
      <c r="G1685" s="8" t="n">
        <v>11</v>
      </c>
    </row>
    <row r="1686" customFormat="false" ht="17.35" hidden="false" customHeight="false" outlineLevel="0" collapsed="false">
      <c r="A1686" s="8" t="n">
        <v>1685</v>
      </c>
      <c r="B1686" s="9" t="s">
        <v>2670</v>
      </c>
      <c r="C1686" s="8" t="n">
        <v>120</v>
      </c>
      <c r="D1686" s="9" t="str">
        <f aca="false">INDEX(Radicals!$B$2:$B$215,MATCH(C1686,Radicals!$A$2:$A$215,0))</f>
        <v>糸</v>
      </c>
      <c r="E1686" s="10" t="str">
        <f aca="false">INDEX(Radicals!$G$2:$G$215,MATCH(C1686,Radicals!$A$2:$A$215,0))</f>
        <v>thread, silk</v>
      </c>
      <c r="F1686" s="8" t="n">
        <f aca="false">INDEX(Radicals!$D$2:$D$215,MATCH(C1686,Radicals!$A$2:$A$215,0))</f>
        <v>6</v>
      </c>
      <c r="G1686" s="8" t="n">
        <v>10</v>
      </c>
    </row>
    <row r="1687" customFormat="false" ht="17.35" hidden="false" customHeight="false" outlineLevel="0" collapsed="false">
      <c r="A1687" s="8" t="n">
        <v>1686</v>
      </c>
      <c r="B1687" s="9" t="s">
        <v>2671</v>
      </c>
      <c r="C1687" s="8" t="n">
        <v>112</v>
      </c>
      <c r="D1687" s="9" t="str">
        <f aca="false">INDEX(Radicals!$B$2:$B$215,MATCH(C1687,Radicals!$A$2:$A$215,0))</f>
        <v>石</v>
      </c>
      <c r="E1687" s="10" t="str">
        <f aca="false">INDEX(Radicals!$G$2:$G$215,MATCH(C1687,Radicals!$A$2:$A$215,0))</f>
        <v>stone</v>
      </c>
      <c r="F1687" s="8" t="n">
        <f aca="false">INDEX(Radicals!$D$2:$D$215,MATCH(C1687,Radicals!$A$2:$A$215,0))</f>
        <v>5</v>
      </c>
      <c r="G1687" s="8" t="n">
        <v>14</v>
      </c>
    </row>
    <row r="1688" customFormat="false" ht="17.35" hidden="false" customHeight="false" outlineLevel="0" collapsed="false">
      <c r="A1688" s="8" t="n">
        <v>1687</v>
      </c>
      <c r="B1688" s="9" t="s">
        <v>2672</v>
      </c>
      <c r="C1688" s="8" t="n">
        <v>57</v>
      </c>
      <c r="D1688" s="9" t="str">
        <f aca="false">INDEX(Radicals!$B$2:$B$215,MATCH(C1688,Radicals!$A$2:$A$215,0))</f>
        <v>弓</v>
      </c>
      <c r="E1688" s="10" t="str">
        <f aca="false">INDEX(Radicals!$G$2:$G$215,MATCH(C1688,Radicals!$A$2:$A$215,0))</f>
        <v>bow</v>
      </c>
      <c r="F1688" s="8" t="n">
        <f aca="false">INDEX(Radicals!$D$2:$D$215,MATCH(C1688,Radicals!$A$2:$A$215,0))</f>
        <v>3</v>
      </c>
      <c r="G1688" s="8" t="n">
        <v>8</v>
      </c>
    </row>
    <row r="1689" customFormat="false" ht="17.35" hidden="false" customHeight="false" outlineLevel="0" collapsed="false">
      <c r="A1689" s="8" t="n">
        <v>1688</v>
      </c>
      <c r="B1689" s="9" t="s">
        <v>2673</v>
      </c>
      <c r="C1689" s="8" t="n">
        <v>72</v>
      </c>
      <c r="D1689" s="9" t="str">
        <f aca="false">INDEX(Radicals!$B$2:$B$215,MATCH(C1689,Radicals!$A$2:$A$215,0))</f>
        <v>日</v>
      </c>
      <c r="E1689" s="10" t="str">
        <f aca="false">INDEX(Radicals!$G$2:$G$215,MATCH(C1689,Radicals!$A$2:$A$215,0))</f>
        <v>sun, day</v>
      </c>
      <c r="F1689" s="8" t="n">
        <f aca="false">INDEX(Radicals!$D$2:$D$215,MATCH(C1689,Radicals!$A$2:$A$215,0))</f>
        <v>4</v>
      </c>
      <c r="G1689" s="8" t="n">
        <v>8</v>
      </c>
    </row>
    <row r="1690" customFormat="false" ht="17.35" hidden="false" customHeight="false" outlineLevel="0" collapsed="false">
      <c r="A1690" s="8" t="n">
        <v>1689</v>
      </c>
      <c r="B1690" s="9" t="s">
        <v>2674</v>
      </c>
      <c r="C1690" s="8" t="n">
        <v>119</v>
      </c>
      <c r="D1690" s="9" t="str">
        <f aca="false">INDEX(Radicals!$B$2:$B$215,MATCH(C1690,Radicals!$A$2:$A$215,0))</f>
        <v>米</v>
      </c>
      <c r="E1690" s="10" t="str">
        <f aca="false">INDEX(Radicals!$G$2:$G$215,MATCH(C1690,Radicals!$A$2:$A$215,0))</f>
        <v>rice</v>
      </c>
      <c r="F1690" s="8" t="n">
        <f aca="false">INDEX(Radicals!$D$2:$D$215,MATCH(C1690,Radicals!$A$2:$A$215,0))</f>
        <v>6</v>
      </c>
      <c r="G1690" s="8" t="n">
        <v>11</v>
      </c>
    </row>
    <row r="1691" customFormat="false" ht="17.35" hidden="false" customHeight="false" outlineLevel="0" collapsed="false">
      <c r="A1691" s="8" t="n">
        <v>1690</v>
      </c>
      <c r="B1691" s="9" t="s">
        <v>2675</v>
      </c>
      <c r="C1691" s="8" t="n">
        <v>149</v>
      </c>
      <c r="D1691" s="9" t="str">
        <f aca="false">INDEX(Radicals!$B$2:$B$215,MATCH(C1691,Radicals!$A$2:$A$215,0))</f>
        <v>言</v>
      </c>
      <c r="E1691" s="10" t="str">
        <f aca="false">INDEX(Radicals!$G$2:$G$215,MATCH(C1691,Radicals!$A$2:$A$215,0))</f>
        <v>speech, say</v>
      </c>
      <c r="F1691" s="8" t="n">
        <f aca="false">INDEX(Radicals!$D$2:$D$215,MATCH(C1691,Radicals!$A$2:$A$215,0))</f>
        <v>7</v>
      </c>
      <c r="G1691" s="8" t="n">
        <v>9</v>
      </c>
    </row>
    <row r="1692" customFormat="false" ht="17.35" hidden="false" customHeight="false" outlineLevel="0" collapsed="false">
      <c r="A1692" s="8" t="n">
        <v>1691</v>
      </c>
      <c r="B1692" s="9" t="s">
        <v>2676</v>
      </c>
      <c r="C1692" s="8" t="n">
        <v>140</v>
      </c>
      <c r="D1692" s="9" t="str">
        <f aca="false">INDEX(Radicals!$B$2:$B$215,MATCH(C1692,Radicals!$A$2:$A$215,0))</f>
        <v>艸</v>
      </c>
      <c r="E1692" s="10" t="str">
        <f aca="false">INDEX(Radicals!$G$2:$G$215,MATCH(C1692,Radicals!$A$2:$A$215,0))</f>
        <v>grass, plant</v>
      </c>
      <c r="F1692" s="8" t="n">
        <f aca="false">INDEX(Radicals!$D$2:$D$215,MATCH(C1692,Radicals!$A$2:$A$215,0))</f>
        <v>6</v>
      </c>
      <c r="G1692" s="8" t="n">
        <v>8</v>
      </c>
    </row>
    <row r="1693" customFormat="false" ht="17.35" hidden="false" customHeight="false" outlineLevel="0" collapsed="false">
      <c r="A1693" s="8" t="n">
        <v>1692</v>
      </c>
      <c r="B1693" s="9" t="s">
        <v>2677</v>
      </c>
      <c r="C1693" s="8" t="n">
        <v>44</v>
      </c>
      <c r="D1693" s="9" t="str">
        <f aca="false">INDEX(Radicals!$B$2:$B$215,MATCH(C1693,Radicals!$A$2:$A$215,0))</f>
        <v>尸</v>
      </c>
      <c r="E1693" s="10" t="str">
        <f aca="false">INDEX(Radicals!$G$2:$G$215,MATCH(C1693,Radicals!$A$2:$A$215,0))</f>
        <v>corpse, body</v>
      </c>
      <c r="F1693" s="8" t="n">
        <f aca="false">INDEX(Radicals!$D$2:$D$215,MATCH(C1693,Radicals!$A$2:$A$215,0))</f>
        <v>3</v>
      </c>
      <c r="G1693" s="8" t="n">
        <v>5</v>
      </c>
    </row>
    <row r="1694" customFormat="false" ht="17.35" hidden="false" customHeight="false" outlineLevel="0" collapsed="false">
      <c r="A1694" s="8" t="n">
        <v>1693</v>
      </c>
      <c r="B1694" s="9" t="s">
        <v>2678</v>
      </c>
      <c r="C1694" s="8" t="n">
        <v>53</v>
      </c>
      <c r="D1694" s="9" t="str">
        <f aca="false">INDEX(Radicals!$B$2:$B$215,MATCH(C1694,Radicals!$A$2:$A$215,0))</f>
        <v>广</v>
      </c>
      <c r="E1694" s="10" t="str">
        <f aca="false">INDEX(Radicals!$G$2:$G$215,MATCH(C1694,Radicals!$A$2:$A$215,0))</f>
        <v>dotted cliff, building</v>
      </c>
      <c r="F1694" s="8" t="n">
        <f aca="false">INDEX(Radicals!$D$2:$D$215,MATCH(C1694,Radicals!$A$2:$A$215,0))</f>
        <v>3</v>
      </c>
      <c r="G1694" s="8" t="n">
        <v>6</v>
      </c>
    </row>
    <row r="1695" customFormat="false" ht="17.35" hidden="false" customHeight="false" outlineLevel="0" collapsed="false">
      <c r="A1695" s="8" t="n">
        <v>1694</v>
      </c>
      <c r="B1695" s="9" t="s">
        <v>2679</v>
      </c>
      <c r="C1695" s="8" t="n">
        <v>9</v>
      </c>
      <c r="D1695" s="9" t="str">
        <f aca="false">INDEX(Radicals!$B$2:$B$215,MATCH(C1695,Radicals!$A$2:$A$215,0))</f>
        <v>人</v>
      </c>
      <c r="E1695" s="10" t="str">
        <f aca="false">INDEX(Radicals!$G$2:$G$215,MATCH(C1695,Radicals!$A$2:$A$215,0))</f>
        <v>person</v>
      </c>
      <c r="F1695" s="8" t="n">
        <f aca="false">INDEX(Radicals!$D$2:$D$215,MATCH(C1695,Radicals!$A$2:$A$215,0))</f>
        <v>2</v>
      </c>
      <c r="G1695" s="8" t="n">
        <v>12</v>
      </c>
    </row>
    <row r="1696" customFormat="false" ht="17.35" hidden="false" customHeight="false" outlineLevel="0" collapsed="false">
      <c r="A1696" s="8" t="n">
        <v>1695</v>
      </c>
      <c r="B1696" s="9" t="s">
        <v>2680</v>
      </c>
      <c r="C1696" s="8" t="n">
        <v>66</v>
      </c>
      <c r="D1696" s="9" t="str">
        <f aca="false">INDEX(Radicals!$B$2:$B$215,MATCH(C1696,Radicals!$A$2:$A$215,0))</f>
        <v>攴</v>
      </c>
      <c r="E1696" s="10" t="str">
        <f aca="false">INDEX(Radicals!$G$2:$G$215,MATCH(C1696,Radicals!$A$2:$A$215,0))</f>
        <v>rap, tap, strike</v>
      </c>
      <c r="F1696" s="8" t="n">
        <f aca="false">INDEX(Radicals!$D$2:$D$215,MATCH(C1696,Radicals!$A$2:$A$215,0))</f>
        <v>4</v>
      </c>
      <c r="G1696" s="8" t="n">
        <v>12</v>
      </c>
    </row>
    <row r="1697" customFormat="false" ht="17.35" hidden="false" customHeight="false" outlineLevel="0" collapsed="false">
      <c r="A1697" s="8" t="n">
        <v>1696</v>
      </c>
      <c r="B1697" s="9" t="s">
        <v>2681</v>
      </c>
      <c r="C1697" s="8" t="n">
        <v>187</v>
      </c>
      <c r="D1697" s="9" t="str">
        <f aca="false">INDEX(Radicals!$B$2:$B$215,MATCH(C1697,Radicals!$A$2:$A$215,0))</f>
        <v>馬</v>
      </c>
      <c r="E1697" s="10" t="str">
        <f aca="false">INDEX(Radicals!$G$2:$G$215,MATCH(C1697,Radicals!$A$2:$A$215,0))</f>
        <v>horse</v>
      </c>
      <c r="F1697" s="8" t="n">
        <f aca="false">INDEX(Radicals!$D$2:$D$215,MATCH(C1697,Radicals!$A$2:$A$215,0))</f>
        <v>10</v>
      </c>
      <c r="G1697" s="8" t="n">
        <v>18</v>
      </c>
    </row>
    <row r="1698" customFormat="false" ht="17.35" hidden="false" customHeight="false" outlineLevel="0" collapsed="false">
      <c r="A1698" s="8" t="n">
        <v>1697</v>
      </c>
      <c r="B1698" s="9" t="s">
        <v>2682</v>
      </c>
      <c r="C1698" s="8" t="n">
        <v>40</v>
      </c>
      <c r="D1698" s="9" t="str">
        <f aca="false">INDEX(Radicals!$B$2:$B$215,MATCH(C1698,Radicals!$A$2:$A$215,0))</f>
        <v>宀</v>
      </c>
      <c r="E1698" s="10" t="str">
        <f aca="false">INDEX(Radicals!$G$2:$G$215,MATCH(C1698,Radicals!$A$2:$A$215,0))</f>
        <v>roof</v>
      </c>
      <c r="F1698" s="8" t="n">
        <f aca="false">INDEX(Radicals!$D$2:$D$215,MATCH(C1698,Radicals!$A$2:$A$215,0))</f>
        <v>3</v>
      </c>
      <c r="G1698" s="8" t="n">
        <v>14</v>
      </c>
    </row>
    <row r="1699" customFormat="false" ht="17.35" hidden="false" customHeight="false" outlineLevel="0" collapsed="false">
      <c r="A1699" s="8" t="n">
        <v>1698</v>
      </c>
      <c r="B1699" s="9" t="s">
        <v>2683</v>
      </c>
      <c r="C1699" s="8" t="n">
        <v>85</v>
      </c>
      <c r="D1699" s="9" t="str">
        <f aca="false">INDEX(Radicals!$B$2:$B$215,MATCH(C1699,Radicals!$A$2:$A$215,0))</f>
        <v>水</v>
      </c>
      <c r="E1699" s="10" t="str">
        <f aca="false">INDEX(Radicals!$G$2:$G$215,MATCH(C1699,Radicals!$A$2:$A$215,0))</f>
        <v>water</v>
      </c>
      <c r="F1699" s="8" t="n">
        <f aca="false">INDEX(Radicals!$D$2:$D$215,MATCH(C1699,Radicals!$A$2:$A$215,0))</f>
        <v>4</v>
      </c>
      <c r="G1699" s="8" t="n">
        <v>17</v>
      </c>
    </row>
    <row r="1700" customFormat="false" ht="17.35" hidden="false" customHeight="false" outlineLevel="0" collapsed="false">
      <c r="A1700" s="8" t="n">
        <v>1699</v>
      </c>
      <c r="B1700" s="9" t="s">
        <v>2684</v>
      </c>
      <c r="C1700" s="8" t="n">
        <v>60</v>
      </c>
      <c r="D1700" s="9" t="str">
        <f aca="false">INDEX(Radicals!$B$2:$B$215,MATCH(C1700,Radicals!$A$2:$A$215,0))</f>
        <v>彳</v>
      </c>
      <c r="E1700" s="10" t="str">
        <f aca="false">INDEX(Radicals!$G$2:$G$215,MATCH(C1700,Radicals!$A$2:$A$215,0))</f>
        <v>step, small step</v>
      </c>
      <c r="F1700" s="8" t="n">
        <f aca="false">INDEX(Radicals!$D$2:$D$215,MATCH(C1700,Radicals!$A$2:$A$215,0))</f>
        <v>3</v>
      </c>
      <c r="G1700" s="8" t="n">
        <v>12</v>
      </c>
    </row>
    <row r="1701" customFormat="false" ht="17.35" hidden="false" customHeight="false" outlineLevel="0" collapsed="false">
      <c r="A1701" s="8" t="n">
        <v>1700</v>
      </c>
      <c r="B1701" s="9" t="s">
        <v>2685</v>
      </c>
      <c r="C1701" s="8" t="n">
        <v>61</v>
      </c>
      <c r="D1701" s="9" t="str">
        <f aca="false">INDEX(Radicals!$B$2:$B$215,MATCH(C1701,Radicals!$A$2:$A$215,0))</f>
        <v>心</v>
      </c>
      <c r="E1701" s="10" t="str">
        <f aca="false">INDEX(Radicals!$G$2:$G$215,MATCH(C1701,Radicals!$A$2:$A$215,0))</f>
        <v>heart, mind</v>
      </c>
      <c r="F1701" s="8" t="n">
        <f aca="false">INDEX(Radicals!$D$2:$D$215,MATCH(C1701,Radicals!$A$2:$A$215,0))</f>
        <v>4</v>
      </c>
      <c r="G1701" s="8" t="n">
        <v>7</v>
      </c>
    </row>
    <row r="1702" customFormat="false" ht="17.35" hidden="false" customHeight="false" outlineLevel="0" collapsed="false">
      <c r="A1702" s="8" t="n">
        <v>1701</v>
      </c>
      <c r="B1702" s="9" t="s">
        <v>2686</v>
      </c>
      <c r="C1702" s="8" t="n">
        <v>112</v>
      </c>
      <c r="D1702" s="9" t="str">
        <f aca="false">INDEX(Radicals!$B$2:$B$215,MATCH(C1702,Radicals!$A$2:$A$215,0))</f>
        <v>石</v>
      </c>
      <c r="E1702" s="10" t="str">
        <f aca="false">INDEX(Radicals!$G$2:$G$215,MATCH(C1702,Radicals!$A$2:$A$215,0))</f>
        <v>stone</v>
      </c>
      <c r="F1702" s="8" t="n">
        <f aca="false">INDEX(Radicals!$D$2:$D$215,MATCH(C1702,Radicals!$A$2:$A$215,0))</f>
        <v>5</v>
      </c>
      <c r="G1702" s="8" t="n">
        <v>15</v>
      </c>
    </row>
    <row r="1703" customFormat="false" ht="17.35" hidden="false" customHeight="false" outlineLevel="0" collapsed="false">
      <c r="A1703" s="8" t="n">
        <v>1702</v>
      </c>
      <c r="B1703" s="9" t="s">
        <v>2687</v>
      </c>
      <c r="C1703" s="8" t="n">
        <v>94</v>
      </c>
      <c r="D1703" s="9" t="str">
        <f aca="false">INDEX(Radicals!$B$2:$B$215,MATCH(C1703,Radicals!$A$2:$A$215,0))</f>
        <v>犬</v>
      </c>
      <c r="E1703" s="10" t="str">
        <f aca="false">INDEX(Radicals!$G$2:$G$215,MATCH(C1703,Radicals!$A$2:$A$215,0))</f>
        <v>dog</v>
      </c>
      <c r="F1703" s="8" t="n">
        <f aca="false">INDEX(Radicals!$D$2:$D$215,MATCH(C1703,Radicals!$A$2:$A$215,0))</f>
        <v>4</v>
      </c>
      <c r="G1703" s="8" t="n">
        <v>11</v>
      </c>
    </row>
    <row r="1704" customFormat="false" ht="17.35" hidden="false" customHeight="false" outlineLevel="0" collapsed="false">
      <c r="A1704" s="8" t="n">
        <v>1703</v>
      </c>
      <c r="B1704" s="9" t="s">
        <v>2688</v>
      </c>
      <c r="C1704" s="8" t="n">
        <v>61</v>
      </c>
      <c r="D1704" s="9" t="str">
        <f aca="false">INDEX(Radicals!$B$2:$B$215,MATCH(C1704,Radicals!$A$2:$A$215,0))</f>
        <v>心</v>
      </c>
      <c r="E1704" s="10" t="str">
        <f aca="false">INDEX(Radicals!$G$2:$G$215,MATCH(C1704,Radicals!$A$2:$A$215,0))</f>
        <v>heart, mind</v>
      </c>
      <c r="F1704" s="8" t="n">
        <f aca="false">INDEX(Radicals!$D$2:$D$215,MATCH(C1704,Radicals!$A$2:$A$215,0))</f>
        <v>4</v>
      </c>
      <c r="G1704" s="8" t="n">
        <v>9</v>
      </c>
    </row>
    <row r="1705" customFormat="false" ht="17.35" hidden="false" customHeight="false" outlineLevel="0" collapsed="false">
      <c r="A1705" s="8" t="n">
        <v>1704</v>
      </c>
      <c r="B1705" s="9" t="s">
        <v>2689</v>
      </c>
      <c r="C1705" s="8" t="n">
        <v>38</v>
      </c>
      <c r="D1705" s="9" t="str">
        <f aca="false">INDEX(Radicals!$B$2:$B$215,MATCH(C1705,Radicals!$A$2:$A$215,0))</f>
        <v>女</v>
      </c>
      <c r="E1705" s="10" t="str">
        <f aca="false">INDEX(Radicals!$G$2:$G$215,MATCH(C1705,Radicals!$A$2:$A$215,0))</f>
        <v>woman</v>
      </c>
      <c r="F1705" s="8" t="n">
        <f aca="false">INDEX(Radicals!$D$2:$D$215,MATCH(C1705,Radicals!$A$2:$A$215,0))</f>
        <v>3</v>
      </c>
      <c r="G1705" s="8" t="n">
        <v>6</v>
      </c>
    </row>
    <row r="1706" customFormat="false" ht="17.35" hidden="false" customHeight="false" outlineLevel="0" collapsed="false">
      <c r="A1706" s="8" t="n">
        <v>1705</v>
      </c>
      <c r="B1706" s="9" t="s">
        <v>2690</v>
      </c>
      <c r="C1706" s="8" t="n">
        <v>40</v>
      </c>
      <c r="D1706" s="9" t="str">
        <f aca="false">INDEX(Radicals!$B$2:$B$215,MATCH(C1706,Radicals!$A$2:$A$215,0))</f>
        <v>宀</v>
      </c>
      <c r="E1706" s="10" t="str">
        <f aca="false">INDEX(Radicals!$G$2:$G$215,MATCH(C1706,Radicals!$A$2:$A$215,0))</f>
        <v>roof</v>
      </c>
      <c r="F1706" s="8" t="n">
        <f aca="false">INDEX(Radicals!$D$2:$D$215,MATCH(C1706,Radicals!$A$2:$A$215,0))</f>
        <v>3</v>
      </c>
      <c r="G1706" s="8" t="n">
        <v>15</v>
      </c>
    </row>
    <row r="1707" customFormat="false" ht="17.35" hidden="false" customHeight="false" outlineLevel="0" collapsed="false">
      <c r="A1707" s="8" t="n">
        <v>1706</v>
      </c>
      <c r="B1707" s="9" t="s">
        <v>2691</v>
      </c>
      <c r="C1707" s="8" t="n">
        <v>113</v>
      </c>
      <c r="D1707" s="9" t="str">
        <f aca="false">INDEX(Radicals!$B$2:$B$215,MATCH(C1707,Radicals!$A$2:$A$215,0))</f>
        <v>示</v>
      </c>
      <c r="E1707" s="10" t="str">
        <f aca="false">INDEX(Radicals!$G$2:$G$215,MATCH(C1707,Radicals!$A$2:$A$215,0))</f>
        <v>spirit, altar, show</v>
      </c>
      <c r="F1707" s="8" t="n">
        <f aca="false">INDEX(Radicals!$D$2:$D$215,MATCH(C1707,Radicals!$A$2:$A$215,0))</f>
        <v>5</v>
      </c>
      <c r="G1707" s="8" t="n">
        <v>9</v>
      </c>
    </row>
    <row r="1708" customFormat="false" ht="17.35" hidden="false" customHeight="false" outlineLevel="0" collapsed="false">
      <c r="A1708" s="8" t="n">
        <v>1707</v>
      </c>
      <c r="B1708" s="9" t="s">
        <v>2692</v>
      </c>
      <c r="C1708" s="8" t="n">
        <v>196</v>
      </c>
      <c r="D1708" s="9" t="str">
        <f aca="false">INDEX(Radicals!$B$2:$B$215,MATCH(C1708,Radicals!$A$2:$A$215,0))</f>
        <v>鳥</v>
      </c>
      <c r="E1708" s="10" t="str">
        <f aca="false">INDEX(Radicals!$G$2:$G$215,MATCH(C1708,Radicals!$A$2:$A$215,0))</f>
        <v>bird</v>
      </c>
      <c r="F1708" s="8" t="n">
        <f aca="false">INDEX(Radicals!$D$2:$D$215,MATCH(C1708,Radicals!$A$2:$A$215,0))</f>
        <v>11</v>
      </c>
      <c r="G1708" s="8" t="n">
        <v>19</v>
      </c>
    </row>
    <row r="1709" customFormat="false" ht="17.35" hidden="false" customHeight="false" outlineLevel="0" collapsed="false">
      <c r="A1709" s="8" t="n">
        <v>1708</v>
      </c>
      <c r="B1709" s="9" t="s">
        <v>2693</v>
      </c>
      <c r="C1709" s="8" t="n">
        <v>32</v>
      </c>
      <c r="D1709" s="9" t="str">
        <f aca="false">INDEX(Radicals!$B$2:$B$215,MATCH(C1709,Radicals!$A$2:$A$215,0))</f>
        <v>土</v>
      </c>
      <c r="E1709" s="10" t="str">
        <f aca="false">INDEX(Radicals!$G$2:$G$215,MATCH(C1709,Radicals!$A$2:$A$215,0))</f>
        <v>earth, soil</v>
      </c>
      <c r="F1709" s="8" t="n">
        <f aca="false">INDEX(Radicals!$D$2:$D$215,MATCH(C1709,Radicals!$A$2:$A$215,0))</f>
        <v>3</v>
      </c>
      <c r="G1709" s="8" t="n">
        <v>12</v>
      </c>
    </row>
    <row r="1710" customFormat="false" ht="17.35" hidden="false" customHeight="false" outlineLevel="0" collapsed="false">
      <c r="A1710" s="8" t="n">
        <v>1709</v>
      </c>
      <c r="B1710" s="9" t="s">
        <v>2694</v>
      </c>
      <c r="C1710" s="8" t="n">
        <v>85</v>
      </c>
      <c r="D1710" s="9" t="str">
        <f aca="false">INDEX(Radicals!$B$2:$B$215,MATCH(C1710,Radicals!$A$2:$A$215,0))</f>
        <v>水</v>
      </c>
      <c r="E1710" s="10" t="str">
        <f aca="false">INDEX(Radicals!$G$2:$G$215,MATCH(C1710,Radicals!$A$2:$A$215,0))</f>
        <v>water</v>
      </c>
      <c r="F1710" s="8" t="n">
        <f aca="false">INDEX(Radicals!$D$2:$D$215,MATCH(C1710,Radicals!$A$2:$A$215,0))</f>
        <v>4</v>
      </c>
      <c r="G1710" s="8" t="n">
        <v>8</v>
      </c>
    </row>
    <row r="1711" customFormat="false" ht="17.35" hidden="false" customHeight="false" outlineLevel="0" collapsed="false">
      <c r="A1711" s="8" t="n">
        <v>1710</v>
      </c>
      <c r="B1711" s="9" t="s">
        <v>2695</v>
      </c>
      <c r="C1711" s="8" t="n">
        <v>167</v>
      </c>
      <c r="D1711" s="9" t="str">
        <f aca="false">INDEX(Radicals!$B$2:$B$215,MATCH(C1711,Radicals!$A$2:$A$215,0))</f>
        <v>金</v>
      </c>
      <c r="E1711" s="10" t="str">
        <f aca="false">INDEX(Radicals!$G$2:$G$215,MATCH(C1711,Radicals!$A$2:$A$215,0))</f>
        <v>metal, gold</v>
      </c>
      <c r="F1711" s="8" t="n">
        <f aca="false">INDEX(Radicals!$D$2:$D$215,MATCH(C1711,Radicals!$A$2:$A$215,0))</f>
        <v>8</v>
      </c>
      <c r="G1711" s="8" t="n">
        <v>13</v>
      </c>
    </row>
    <row r="1712" customFormat="false" ht="17.35" hidden="false" customHeight="false" outlineLevel="0" collapsed="false">
      <c r="A1712" s="8" t="n">
        <v>1711</v>
      </c>
      <c r="B1712" s="9" t="s">
        <v>2696</v>
      </c>
      <c r="C1712" s="8" t="n">
        <v>96</v>
      </c>
      <c r="D1712" s="9" t="str">
        <f aca="false">INDEX(Radicals!$B$2:$B$215,MATCH(C1712,Radicals!$A$2:$A$215,0))</f>
        <v>玉</v>
      </c>
      <c r="E1712" s="10" t="str">
        <f aca="false">INDEX(Radicals!$G$2:$G$215,MATCH(C1712,Radicals!$A$2:$A$215,0))</f>
        <v>jade, king</v>
      </c>
      <c r="F1712" s="8" t="n">
        <f aca="false">INDEX(Radicals!$D$2:$D$215,MATCH(C1712,Radicals!$A$2:$A$215,0))</f>
        <v>5</v>
      </c>
      <c r="G1712" s="8" t="n">
        <v>10</v>
      </c>
    </row>
    <row r="1713" customFormat="false" ht="17.35" hidden="false" customHeight="false" outlineLevel="0" collapsed="false">
      <c r="A1713" s="8" t="n">
        <v>1712</v>
      </c>
      <c r="B1713" s="9" t="s">
        <v>2697</v>
      </c>
      <c r="C1713" s="8" t="n">
        <v>15</v>
      </c>
      <c r="D1713" s="9" t="str">
        <f aca="false">INDEX(Radicals!$B$2:$B$215,MATCH(C1713,Radicals!$A$2:$A$215,0))</f>
        <v>冫</v>
      </c>
      <c r="E1713" s="10" t="str">
        <f aca="false">INDEX(Radicals!$G$2:$G$215,MATCH(C1713,Radicals!$A$2:$A$215,0))</f>
        <v>ice</v>
      </c>
      <c r="F1713" s="8" t="n">
        <f aca="false">INDEX(Radicals!$D$2:$D$215,MATCH(C1713,Radicals!$A$2:$A$215,0))</f>
        <v>2</v>
      </c>
      <c r="G1713" s="8" t="n">
        <v>16</v>
      </c>
    </row>
    <row r="1714" customFormat="false" ht="17.35" hidden="false" customHeight="false" outlineLevel="0" collapsed="false">
      <c r="A1714" s="8" t="n">
        <v>1713</v>
      </c>
      <c r="B1714" s="9" t="s">
        <v>2698</v>
      </c>
      <c r="C1714" s="8" t="n">
        <v>140</v>
      </c>
      <c r="D1714" s="9" t="str">
        <f aca="false">INDEX(Radicals!$B$2:$B$215,MATCH(C1714,Radicals!$A$2:$A$215,0))</f>
        <v>艸</v>
      </c>
      <c r="E1714" s="10" t="str">
        <f aca="false">INDEX(Radicals!$G$2:$G$215,MATCH(C1714,Radicals!$A$2:$A$215,0))</f>
        <v>grass, plant</v>
      </c>
      <c r="F1714" s="8" t="n">
        <f aca="false">INDEX(Radicals!$D$2:$D$215,MATCH(C1714,Radicals!$A$2:$A$215,0))</f>
        <v>6</v>
      </c>
      <c r="G1714" s="8" t="n">
        <v>8</v>
      </c>
    </row>
    <row r="1715" customFormat="false" ht="17.35" hidden="false" customHeight="false" outlineLevel="0" collapsed="false">
      <c r="A1715" s="8" t="n">
        <v>1714</v>
      </c>
      <c r="B1715" s="9" t="s">
        <v>2699</v>
      </c>
      <c r="C1715" s="8" t="n">
        <v>94</v>
      </c>
      <c r="D1715" s="9" t="str">
        <f aca="false">INDEX(Radicals!$B$2:$B$215,MATCH(C1715,Radicals!$A$2:$A$215,0))</f>
        <v>犬</v>
      </c>
      <c r="E1715" s="10" t="str">
        <f aca="false">INDEX(Radicals!$G$2:$G$215,MATCH(C1715,Radicals!$A$2:$A$215,0))</f>
        <v>dog</v>
      </c>
      <c r="F1715" s="8" t="n">
        <f aca="false">INDEX(Radicals!$D$2:$D$215,MATCH(C1715,Radicals!$A$2:$A$215,0))</f>
        <v>4</v>
      </c>
      <c r="G1715" s="8" t="n">
        <v>16</v>
      </c>
    </row>
    <row r="1716" customFormat="false" ht="17.35" hidden="false" customHeight="false" outlineLevel="0" collapsed="false">
      <c r="A1716" s="8" t="n">
        <v>1715</v>
      </c>
      <c r="B1716" s="9" t="s">
        <v>2700</v>
      </c>
      <c r="C1716" s="8" t="n">
        <v>30</v>
      </c>
      <c r="D1716" s="9" t="str">
        <f aca="false">INDEX(Radicals!$B$2:$B$215,MATCH(C1716,Radicals!$A$2:$A$215,0))</f>
        <v>口</v>
      </c>
      <c r="E1716" s="10" t="str">
        <f aca="false">INDEX(Radicals!$G$2:$G$215,MATCH(C1716,Radicals!$A$2:$A$215,0))</f>
        <v>mouth</v>
      </c>
      <c r="F1716" s="8" t="n">
        <f aca="false">INDEX(Radicals!$D$2:$D$215,MATCH(C1716,Radicals!$A$2:$A$215,0))</f>
        <v>3</v>
      </c>
      <c r="G1716" s="8" t="n">
        <v>9</v>
      </c>
    </row>
    <row r="1717" customFormat="false" ht="17.35" hidden="false" customHeight="false" outlineLevel="0" collapsed="false">
      <c r="A1717" s="8" t="n">
        <v>1716</v>
      </c>
      <c r="B1717" s="9" t="s">
        <v>2701</v>
      </c>
      <c r="C1717" s="8" t="n">
        <v>157</v>
      </c>
      <c r="D1717" s="9" t="str">
        <f aca="false">INDEX(Radicals!$B$2:$B$215,MATCH(C1717,Radicals!$A$2:$A$215,0))</f>
        <v>足</v>
      </c>
      <c r="E1717" s="10" t="str">
        <f aca="false">INDEX(Radicals!$G$2:$G$215,MATCH(C1717,Radicals!$A$2:$A$215,0))</f>
        <v>foot, leg</v>
      </c>
      <c r="F1717" s="8" t="n">
        <f aca="false">INDEX(Radicals!$D$2:$D$215,MATCH(C1717,Radicals!$A$2:$A$215,0))</f>
        <v>7</v>
      </c>
      <c r="G1717" s="8" t="n">
        <v>13</v>
      </c>
    </row>
    <row r="1718" customFormat="false" ht="17.35" hidden="false" customHeight="false" outlineLevel="0" collapsed="false">
      <c r="A1718" s="8" t="n">
        <v>1717</v>
      </c>
      <c r="B1718" s="9" t="s">
        <v>2702</v>
      </c>
      <c r="C1718" s="8" t="n">
        <v>86</v>
      </c>
      <c r="D1718" s="9" t="str">
        <f aca="false">INDEX(Radicals!$B$2:$B$215,MATCH(C1718,Radicals!$A$2:$A$215,0))</f>
        <v>火</v>
      </c>
      <c r="E1718" s="10" t="str">
        <f aca="false">INDEX(Radicals!$G$2:$G$215,MATCH(C1718,Radicals!$A$2:$A$215,0))</f>
        <v>fire</v>
      </c>
      <c r="F1718" s="8" t="n">
        <f aca="false">INDEX(Radicals!$D$2:$D$215,MATCH(C1718,Radicals!$A$2:$A$215,0))</f>
        <v>4</v>
      </c>
      <c r="G1718" s="8" t="n">
        <v>6</v>
      </c>
    </row>
    <row r="1719" customFormat="false" ht="17.35" hidden="false" customHeight="false" outlineLevel="0" collapsed="false">
      <c r="A1719" s="8" t="n">
        <v>1718</v>
      </c>
      <c r="B1719" s="9" t="s">
        <v>2703</v>
      </c>
      <c r="C1719" s="8" t="n">
        <v>22</v>
      </c>
      <c r="D1719" s="9" t="str">
        <f aca="false">INDEX(Radicals!$B$2:$B$215,MATCH(C1719,Radicals!$A$2:$A$215,0))</f>
        <v>匚</v>
      </c>
      <c r="E1719" s="10" t="str">
        <f aca="false">INDEX(Radicals!$G$2:$G$215,MATCH(C1719,Radicals!$A$2:$A$215,0))</f>
        <v>box (open right)</v>
      </c>
      <c r="F1719" s="8" t="n">
        <f aca="false">INDEX(Radicals!$D$2:$D$215,MATCH(C1719,Radicals!$A$2:$A$215,0))</f>
        <v>2</v>
      </c>
      <c r="G1719" s="8" t="n">
        <v>6</v>
      </c>
    </row>
    <row r="1720" customFormat="false" ht="17.35" hidden="false" customHeight="false" outlineLevel="0" collapsed="false">
      <c r="A1720" s="8" t="n">
        <v>1719</v>
      </c>
      <c r="B1720" s="9" t="s">
        <v>2704</v>
      </c>
      <c r="C1720" s="8" t="n">
        <v>140</v>
      </c>
      <c r="D1720" s="9" t="str">
        <f aca="false">INDEX(Radicals!$B$2:$B$215,MATCH(C1720,Radicals!$A$2:$A$215,0))</f>
        <v>艸</v>
      </c>
      <c r="E1720" s="10" t="str">
        <f aca="false">INDEX(Radicals!$G$2:$G$215,MATCH(C1720,Radicals!$A$2:$A$215,0))</f>
        <v>grass, plant</v>
      </c>
      <c r="F1720" s="8" t="n">
        <f aca="false">INDEX(Radicals!$D$2:$D$215,MATCH(C1720,Radicals!$A$2:$A$215,0))</f>
        <v>6</v>
      </c>
      <c r="G1720" s="8" t="n">
        <v>11</v>
      </c>
    </row>
    <row r="1721" customFormat="false" ht="17.35" hidden="false" customHeight="false" outlineLevel="0" collapsed="false">
      <c r="A1721" s="8" t="n">
        <v>1720</v>
      </c>
      <c r="B1721" s="9" t="s">
        <v>2705</v>
      </c>
      <c r="C1721" s="8" t="n">
        <v>32</v>
      </c>
      <c r="D1721" s="9" t="str">
        <f aca="false">INDEX(Radicals!$B$2:$B$215,MATCH(C1721,Radicals!$A$2:$A$215,0))</f>
        <v>土</v>
      </c>
      <c r="E1721" s="10" t="str">
        <f aca="false">INDEX(Radicals!$G$2:$G$215,MATCH(C1721,Radicals!$A$2:$A$215,0))</f>
        <v>earth, soil</v>
      </c>
      <c r="F1721" s="8" t="n">
        <f aca="false">INDEX(Radicals!$D$2:$D$215,MATCH(C1721,Radicals!$A$2:$A$215,0))</f>
        <v>3</v>
      </c>
      <c r="G1721" s="8" t="n">
        <v>8</v>
      </c>
    </row>
    <row r="1722" customFormat="false" ht="17.35" hidden="false" customHeight="false" outlineLevel="0" collapsed="false">
      <c r="A1722" s="8" t="n">
        <v>1721</v>
      </c>
      <c r="B1722" s="9" t="s">
        <v>2706</v>
      </c>
      <c r="C1722" s="8" t="n">
        <v>142</v>
      </c>
      <c r="D1722" s="9" t="str">
        <f aca="false">INDEX(Radicals!$B$2:$B$215,MATCH(C1722,Radicals!$A$2:$A$215,0))</f>
        <v>虫</v>
      </c>
      <c r="E1722" s="10" t="str">
        <f aca="false">INDEX(Radicals!$G$2:$G$215,MATCH(C1722,Radicals!$A$2:$A$215,0))</f>
        <v>insect</v>
      </c>
      <c r="F1722" s="8" t="n">
        <f aca="false">INDEX(Radicals!$D$2:$D$215,MATCH(C1722,Radicals!$A$2:$A$215,0))</f>
        <v>6</v>
      </c>
      <c r="G1722" s="8" t="n">
        <v>11</v>
      </c>
    </row>
    <row r="1723" customFormat="false" ht="17.35" hidden="false" customHeight="false" outlineLevel="0" collapsed="false">
      <c r="A1723" s="8" t="n">
        <v>1722</v>
      </c>
      <c r="B1723" s="9" t="s">
        <v>2707</v>
      </c>
      <c r="C1723" s="8" t="n">
        <v>85</v>
      </c>
      <c r="D1723" s="9" t="str">
        <f aca="false">INDEX(Radicals!$B$2:$B$215,MATCH(C1723,Radicals!$A$2:$A$215,0))</f>
        <v>水</v>
      </c>
      <c r="E1723" s="10" t="str">
        <f aca="false">INDEX(Radicals!$G$2:$G$215,MATCH(C1723,Radicals!$A$2:$A$215,0))</f>
        <v>water</v>
      </c>
      <c r="F1723" s="8" t="n">
        <f aca="false">INDEX(Radicals!$D$2:$D$215,MATCH(C1723,Radicals!$A$2:$A$215,0))</f>
        <v>4</v>
      </c>
      <c r="G1723" s="8" t="n">
        <v>15</v>
      </c>
    </row>
    <row r="1724" customFormat="false" ht="17.35" hidden="false" customHeight="false" outlineLevel="0" collapsed="false">
      <c r="A1724" s="8" t="n">
        <v>1723</v>
      </c>
      <c r="B1724" s="9" t="s">
        <v>2708</v>
      </c>
      <c r="C1724" s="8" t="n">
        <v>120</v>
      </c>
      <c r="D1724" s="9" t="str">
        <f aca="false">INDEX(Radicals!$B$2:$B$215,MATCH(C1724,Radicals!$A$2:$A$215,0))</f>
        <v>糸</v>
      </c>
      <c r="E1724" s="10" t="str">
        <f aca="false">INDEX(Radicals!$G$2:$G$215,MATCH(C1724,Radicals!$A$2:$A$215,0))</f>
        <v>thread, silk</v>
      </c>
      <c r="F1724" s="8" t="n">
        <f aca="false">INDEX(Radicals!$D$2:$D$215,MATCH(C1724,Radicals!$A$2:$A$215,0))</f>
        <v>6</v>
      </c>
      <c r="G1724" s="8" t="n">
        <v>16</v>
      </c>
    </row>
    <row r="1725" customFormat="false" ht="17.35" hidden="false" customHeight="false" outlineLevel="0" collapsed="false">
      <c r="A1725" s="8" t="n">
        <v>1724</v>
      </c>
      <c r="B1725" s="9" t="s">
        <v>2709</v>
      </c>
      <c r="C1725" s="8" t="n">
        <v>9</v>
      </c>
      <c r="D1725" s="9" t="str">
        <f aca="false">INDEX(Radicals!$B$2:$B$215,MATCH(C1725,Radicals!$A$2:$A$215,0))</f>
        <v>人</v>
      </c>
      <c r="E1725" s="10" t="str">
        <f aca="false">INDEX(Radicals!$G$2:$G$215,MATCH(C1725,Radicals!$A$2:$A$215,0))</f>
        <v>person</v>
      </c>
      <c r="F1725" s="8" t="n">
        <f aca="false">INDEX(Radicals!$D$2:$D$215,MATCH(C1725,Radicals!$A$2:$A$215,0))</f>
        <v>2</v>
      </c>
      <c r="G1725" s="8" t="n">
        <v>13</v>
      </c>
    </row>
    <row r="1726" customFormat="false" ht="17.35" hidden="false" customHeight="false" outlineLevel="0" collapsed="false">
      <c r="A1726" s="8" t="n">
        <v>1725</v>
      </c>
      <c r="B1726" s="9" t="s">
        <v>2710</v>
      </c>
      <c r="C1726" s="8" t="n">
        <v>52</v>
      </c>
      <c r="D1726" s="9" t="str">
        <f aca="false">INDEX(Radicals!$B$2:$B$215,MATCH(C1726,Radicals!$A$2:$A$215,0))</f>
        <v>幺</v>
      </c>
      <c r="E1726" s="10" t="str">
        <f aca="false">INDEX(Radicals!$G$2:$G$215,MATCH(C1726,Radicals!$A$2:$A$215,0))</f>
        <v>short thread, tiny</v>
      </c>
      <c r="F1726" s="8" t="n">
        <f aca="false">INDEX(Radicals!$D$2:$D$215,MATCH(C1726,Radicals!$A$2:$A$215,0))</f>
        <v>3</v>
      </c>
      <c r="G1726" s="8" t="n">
        <v>12</v>
      </c>
    </row>
    <row r="1727" customFormat="false" ht="17.35" hidden="false" customHeight="false" outlineLevel="0" collapsed="false">
      <c r="A1727" s="8" t="n">
        <v>1726</v>
      </c>
      <c r="B1727" s="9" t="s">
        <v>2711</v>
      </c>
      <c r="C1727" s="8" t="n">
        <v>109</v>
      </c>
      <c r="D1727" s="9" t="str">
        <f aca="false">INDEX(Radicals!$B$2:$B$215,MATCH(C1727,Radicals!$A$2:$A$215,0))</f>
        <v>目</v>
      </c>
      <c r="E1727" s="10" t="str">
        <f aca="false">INDEX(Radicals!$G$2:$G$215,MATCH(C1727,Radicals!$A$2:$A$215,0))</f>
        <v>eye</v>
      </c>
      <c r="F1727" s="8" t="n">
        <f aca="false">INDEX(Radicals!$D$2:$D$215,MATCH(C1727,Radicals!$A$2:$A$215,0))</f>
        <v>5</v>
      </c>
      <c r="G1727" s="8" t="n">
        <v>11</v>
      </c>
    </row>
    <row r="1728" customFormat="false" ht="17.35" hidden="false" customHeight="false" outlineLevel="0" collapsed="false">
      <c r="A1728" s="8" t="n">
        <v>1727</v>
      </c>
      <c r="B1728" s="9" t="s">
        <v>2712</v>
      </c>
      <c r="C1728" s="8" t="n">
        <v>30</v>
      </c>
      <c r="D1728" s="9" t="str">
        <f aca="false">INDEX(Radicals!$B$2:$B$215,MATCH(C1728,Radicals!$A$2:$A$215,0))</f>
        <v>口</v>
      </c>
      <c r="E1728" s="10" t="str">
        <f aca="false">INDEX(Radicals!$G$2:$G$215,MATCH(C1728,Radicals!$A$2:$A$215,0))</f>
        <v>mouth</v>
      </c>
      <c r="F1728" s="8" t="n">
        <f aca="false">INDEX(Radicals!$D$2:$D$215,MATCH(C1728,Radicals!$A$2:$A$215,0))</f>
        <v>3</v>
      </c>
      <c r="G1728" s="8" t="n">
        <v>10</v>
      </c>
    </row>
    <row r="1729" customFormat="false" ht="17.35" hidden="false" customHeight="false" outlineLevel="0" collapsed="false">
      <c r="A1729" s="8" t="n">
        <v>1728</v>
      </c>
      <c r="B1729" s="9" t="s">
        <v>2713</v>
      </c>
      <c r="C1729" s="8" t="n">
        <v>7</v>
      </c>
      <c r="D1729" s="9" t="str">
        <f aca="false">INDEX(Radicals!$B$2:$B$215,MATCH(C1729,Radicals!$A$2:$A$215,0))</f>
        <v>二</v>
      </c>
      <c r="E1729" s="10" t="str">
        <f aca="false">INDEX(Radicals!$G$2:$G$215,MATCH(C1729,Radicals!$A$2:$A$215,0))</f>
        <v>two</v>
      </c>
      <c r="F1729" s="8" t="n">
        <f aca="false">INDEX(Radicals!$D$2:$D$215,MATCH(C1729,Radicals!$A$2:$A$215,0))</f>
        <v>2</v>
      </c>
      <c r="G1729" s="8" t="n">
        <v>6</v>
      </c>
    </row>
    <row r="1730" customFormat="false" ht="17.35" hidden="false" customHeight="false" outlineLevel="0" collapsed="false">
      <c r="A1730" s="8" t="n">
        <v>1729</v>
      </c>
      <c r="B1730" s="9" t="s">
        <v>2714</v>
      </c>
      <c r="C1730" s="8" t="n">
        <v>30</v>
      </c>
      <c r="D1730" s="9" t="str">
        <f aca="false">INDEX(Radicals!$B$2:$B$215,MATCH(C1730,Radicals!$A$2:$A$215,0))</f>
        <v>口</v>
      </c>
      <c r="E1730" s="10" t="str">
        <f aca="false">INDEX(Radicals!$G$2:$G$215,MATCH(C1730,Radicals!$A$2:$A$215,0))</f>
        <v>mouth</v>
      </c>
      <c r="F1730" s="8" t="n">
        <f aca="false">INDEX(Radicals!$D$2:$D$215,MATCH(C1730,Radicals!$A$2:$A$215,0))</f>
        <v>3</v>
      </c>
      <c r="G1730" s="8" t="n">
        <v>7</v>
      </c>
    </row>
    <row r="1731" customFormat="false" ht="17.35" hidden="false" customHeight="false" outlineLevel="0" collapsed="false">
      <c r="A1731" s="8" t="n">
        <v>1730</v>
      </c>
      <c r="B1731" s="9" t="s">
        <v>2715</v>
      </c>
      <c r="C1731" s="8" t="n">
        <v>16</v>
      </c>
      <c r="D1731" s="9" t="str">
        <f aca="false">INDEX(Radicals!$B$2:$B$215,MATCH(C1731,Radicals!$A$2:$A$215,0))</f>
        <v>几</v>
      </c>
      <c r="E1731" s="10" t="str">
        <f aca="false">INDEX(Radicals!$G$2:$G$215,MATCH(C1731,Radicals!$A$2:$A$215,0))</f>
        <v>table, wind</v>
      </c>
      <c r="F1731" s="8" t="n">
        <f aca="false">INDEX(Radicals!$D$2:$D$215,MATCH(C1731,Radicals!$A$2:$A$215,0))</f>
        <v>2</v>
      </c>
      <c r="G1731" s="8" t="n">
        <v>3</v>
      </c>
    </row>
    <row r="1732" customFormat="false" ht="17.35" hidden="false" customHeight="false" outlineLevel="0" collapsed="false">
      <c r="A1732" s="8" t="n">
        <v>1731</v>
      </c>
      <c r="B1732" s="9" t="s">
        <v>2716</v>
      </c>
      <c r="C1732" s="8" t="n">
        <v>61</v>
      </c>
      <c r="D1732" s="9" t="str">
        <f aca="false">INDEX(Radicals!$B$2:$B$215,MATCH(C1732,Radicals!$A$2:$A$215,0))</f>
        <v>心</v>
      </c>
      <c r="E1732" s="10" t="str">
        <f aca="false">INDEX(Radicals!$G$2:$G$215,MATCH(C1732,Radicals!$A$2:$A$215,0))</f>
        <v>heart, mind</v>
      </c>
      <c r="F1732" s="8" t="n">
        <f aca="false">INDEX(Radicals!$D$2:$D$215,MATCH(C1732,Radicals!$A$2:$A$215,0))</f>
        <v>4</v>
      </c>
      <c r="G1732" s="8" t="n">
        <v>16</v>
      </c>
    </row>
    <row r="1733" customFormat="false" ht="17.35" hidden="false" customHeight="false" outlineLevel="0" collapsed="false">
      <c r="A1733" s="8" t="n">
        <v>1732</v>
      </c>
      <c r="B1733" s="9" t="s">
        <v>2717</v>
      </c>
      <c r="C1733" s="8" t="n">
        <v>163</v>
      </c>
      <c r="D1733" s="9" t="str">
        <f aca="false">INDEX(Radicals!$B$2:$B$215,MATCH(C1733,Radicals!$A$2:$A$215,0))</f>
        <v>邑</v>
      </c>
      <c r="E1733" s="10" t="str">
        <f aca="false">INDEX(Radicals!$G$2:$G$215,MATCH(C1733,Radicals!$A$2:$A$215,0))</f>
        <v>city, village</v>
      </c>
      <c r="F1733" s="8" t="n">
        <f aca="false">INDEX(Radicals!$D$2:$D$215,MATCH(C1733,Radicals!$A$2:$A$215,0))</f>
        <v>7</v>
      </c>
      <c r="G1733" s="8" t="n">
        <v>15</v>
      </c>
    </row>
    <row r="1734" customFormat="false" ht="17.35" hidden="false" customHeight="false" outlineLevel="0" collapsed="false">
      <c r="A1734" s="8" t="n">
        <v>1733</v>
      </c>
      <c r="B1734" s="9" t="s">
        <v>2718</v>
      </c>
      <c r="C1734" s="8" t="n">
        <v>140</v>
      </c>
      <c r="D1734" s="9" t="str">
        <f aca="false">INDEX(Radicals!$B$2:$B$215,MATCH(C1734,Radicals!$A$2:$A$215,0))</f>
        <v>艸</v>
      </c>
      <c r="E1734" s="10" t="str">
        <f aca="false">INDEX(Radicals!$G$2:$G$215,MATCH(C1734,Radicals!$A$2:$A$215,0))</f>
        <v>grass, plant</v>
      </c>
      <c r="F1734" s="8" t="n">
        <f aca="false">INDEX(Radicals!$D$2:$D$215,MATCH(C1734,Radicals!$A$2:$A$215,0))</f>
        <v>6</v>
      </c>
      <c r="G1734" s="8" t="n">
        <v>7</v>
      </c>
    </row>
    <row r="1735" customFormat="false" ht="17.35" hidden="false" customHeight="false" outlineLevel="0" collapsed="false">
      <c r="A1735" s="8" t="n">
        <v>1734</v>
      </c>
      <c r="B1735" s="9" t="s">
        <v>1093</v>
      </c>
      <c r="C1735" s="8" t="n">
        <v>212</v>
      </c>
      <c r="D1735" s="9" t="str">
        <f aca="false">INDEX(Radicals!$B$2:$B$215,MATCH(C1735,Radicals!$A$2:$A$215,0))</f>
        <v>龍</v>
      </c>
      <c r="E1735" s="10" t="str">
        <f aca="false">INDEX(Radicals!$G$2:$G$215,MATCH(C1735,Radicals!$A$2:$A$215,0))</f>
        <v>dragon</v>
      </c>
      <c r="F1735" s="8" t="n">
        <f aca="false">INDEX(Radicals!$D$2:$D$215,MATCH(C1735,Radicals!$A$2:$A$215,0))</f>
        <v>16</v>
      </c>
      <c r="G1735" s="8" t="n">
        <v>16</v>
      </c>
    </row>
    <row r="1736" customFormat="false" ht="17.35" hidden="false" customHeight="false" outlineLevel="0" collapsed="false">
      <c r="A1736" s="8" t="n">
        <v>1735</v>
      </c>
      <c r="B1736" s="9" t="s">
        <v>2719</v>
      </c>
      <c r="C1736" s="8" t="n">
        <v>38</v>
      </c>
      <c r="D1736" s="9" t="str">
        <f aca="false">INDEX(Radicals!$B$2:$B$215,MATCH(C1736,Radicals!$A$2:$A$215,0))</f>
        <v>女</v>
      </c>
      <c r="E1736" s="10" t="str">
        <f aca="false">INDEX(Radicals!$G$2:$G$215,MATCH(C1736,Radicals!$A$2:$A$215,0))</f>
        <v>woman</v>
      </c>
      <c r="F1736" s="8" t="n">
        <f aca="false">INDEX(Radicals!$D$2:$D$215,MATCH(C1736,Radicals!$A$2:$A$215,0))</f>
        <v>3</v>
      </c>
      <c r="G1736" s="8" t="n">
        <v>12</v>
      </c>
    </row>
    <row r="1737" customFormat="false" ht="17.35" hidden="false" customHeight="false" outlineLevel="0" collapsed="false">
      <c r="A1737" s="8" t="n">
        <v>1736</v>
      </c>
      <c r="B1737" s="9" t="s">
        <v>2720</v>
      </c>
      <c r="C1737" s="8" t="n">
        <v>85</v>
      </c>
      <c r="D1737" s="9" t="str">
        <f aca="false">INDEX(Radicals!$B$2:$B$215,MATCH(C1737,Radicals!$A$2:$A$215,0))</f>
        <v>水</v>
      </c>
      <c r="E1737" s="10" t="str">
        <f aca="false">INDEX(Radicals!$G$2:$G$215,MATCH(C1737,Radicals!$A$2:$A$215,0))</f>
        <v>water</v>
      </c>
      <c r="F1737" s="8" t="n">
        <f aca="false">INDEX(Radicals!$D$2:$D$215,MATCH(C1737,Radicals!$A$2:$A$215,0))</f>
        <v>4</v>
      </c>
      <c r="G1737" s="8" t="n">
        <v>13</v>
      </c>
    </row>
    <row r="1738" customFormat="false" ht="17.35" hidden="false" customHeight="false" outlineLevel="0" collapsed="false">
      <c r="A1738" s="8" t="n">
        <v>1737</v>
      </c>
      <c r="B1738" s="9" t="s">
        <v>2721</v>
      </c>
      <c r="C1738" s="8" t="n">
        <v>61</v>
      </c>
      <c r="D1738" s="9" t="str">
        <f aca="false">INDEX(Radicals!$B$2:$B$215,MATCH(C1738,Radicals!$A$2:$A$215,0))</f>
        <v>心</v>
      </c>
      <c r="E1738" s="10" t="str">
        <f aca="false">INDEX(Radicals!$G$2:$G$215,MATCH(C1738,Radicals!$A$2:$A$215,0))</f>
        <v>heart, mind</v>
      </c>
      <c r="F1738" s="8" t="n">
        <f aca="false">INDEX(Radicals!$D$2:$D$215,MATCH(C1738,Radicals!$A$2:$A$215,0))</f>
        <v>4</v>
      </c>
      <c r="G1738" s="8" t="n">
        <v>10</v>
      </c>
    </row>
    <row r="1739" customFormat="false" ht="17.35" hidden="false" customHeight="false" outlineLevel="0" collapsed="false">
      <c r="A1739" s="8" t="n">
        <v>1738</v>
      </c>
      <c r="B1739" s="9" t="s">
        <v>2722</v>
      </c>
      <c r="C1739" s="8" t="n">
        <v>18</v>
      </c>
      <c r="D1739" s="9" t="str">
        <f aca="false">INDEX(Radicals!$B$2:$B$215,MATCH(C1739,Radicals!$A$2:$A$215,0))</f>
        <v>刀</v>
      </c>
      <c r="E1739" s="10" t="str">
        <f aca="false">INDEX(Radicals!$G$2:$G$215,MATCH(C1739,Radicals!$A$2:$A$215,0))</f>
        <v>knife, sword</v>
      </c>
      <c r="F1739" s="8" t="n">
        <f aca="false">INDEX(Radicals!$D$2:$D$215,MATCH(C1739,Radicals!$A$2:$A$215,0))</f>
        <v>2</v>
      </c>
      <c r="G1739" s="8" t="n">
        <v>4</v>
      </c>
    </row>
    <row r="1740" customFormat="false" ht="17.35" hidden="false" customHeight="false" outlineLevel="0" collapsed="false">
      <c r="A1740" s="8" t="n">
        <v>1739</v>
      </c>
      <c r="B1740" s="9" t="s">
        <v>2723</v>
      </c>
      <c r="C1740" s="8" t="n">
        <v>109</v>
      </c>
      <c r="D1740" s="9" t="str">
        <f aca="false">INDEX(Radicals!$B$2:$B$215,MATCH(C1740,Radicals!$A$2:$A$215,0))</f>
        <v>目</v>
      </c>
      <c r="E1740" s="10" t="str">
        <f aca="false">INDEX(Radicals!$G$2:$G$215,MATCH(C1740,Radicals!$A$2:$A$215,0))</f>
        <v>eye</v>
      </c>
      <c r="F1740" s="8" t="n">
        <f aca="false">INDEX(Radicals!$D$2:$D$215,MATCH(C1740,Radicals!$A$2:$A$215,0))</f>
        <v>5</v>
      </c>
      <c r="G1740" s="8" t="n">
        <v>13</v>
      </c>
    </row>
    <row r="1741" customFormat="false" ht="17.35" hidden="false" customHeight="false" outlineLevel="0" collapsed="false">
      <c r="A1741" s="8" t="n">
        <v>1740</v>
      </c>
      <c r="B1741" s="9" t="s">
        <v>2724</v>
      </c>
      <c r="C1741" s="8" t="n">
        <v>167</v>
      </c>
      <c r="D1741" s="9" t="str">
        <f aca="false">INDEX(Radicals!$B$2:$B$215,MATCH(C1741,Radicals!$A$2:$A$215,0))</f>
        <v>金</v>
      </c>
      <c r="E1741" s="10" t="str">
        <f aca="false">INDEX(Radicals!$G$2:$G$215,MATCH(C1741,Radicals!$A$2:$A$215,0))</f>
        <v>metal, gold</v>
      </c>
      <c r="F1741" s="8" t="n">
        <f aca="false">INDEX(Radicals!$D$2:$D$215,MATCH(C1741,Radicals!$A$2:$A$215,0))</f>
        <v>8</v>
      </c>
      <c r="G1741" s="8" t="n">
        <v>16</v>
      </c>
    </row>
    <row r="1742" customFormat="false" ht="17.35" hidden="false" customHeight="false" outlineLevel="0" collapsed="false">
      <c r="A1742" s="8" t="n">
        <v>1741</v>
      </c>
      <c r="B1742" s="9" t="s">
        <v>2725</v>
      </c>
      <c r="C1742" s="8" t="n">
        <v>9</v>
      </c>
      <c r="D1742" s="9" t="str">
        <f aca="false">INDEX(Radicals!$B$2:$B$215,MATCH(C1742,Radicals!$A$2:$A$215,0))</f>
        <v>人</v>
      </c>
      <c r="E1742" s="10" t="str">
        <f aca="false">INDEX(Radicals!$G$2:$G$215,MATCH(C1742,Radicals!$A$2:$A$215,0))</f>
        <v>person</v>
      </c>
      <c r="F1742" s="8" t="n">
        <f aca="false">INDEX(Radicals!$D$2:$D$215,MATCH(C1742,Radicals!$A$2:$A$215,0))</f>
        <v>2</v>
      </c>
      <c r="G1742" s="8" t="n">
        <v>7</v>
      </c>
    </row>
    <row r="1743" customFormat="false" ht="17.35" hidden="false" customHeight="false" outlineLevel="0" collapsed="false">
      <c r="A1743" s="8" t="n">
        <v>1742</v>
      </c>
      <c r="B1743" s="9" t="s">
        <v>2726</v>
      </c>
      <c r="C1743" s="8" t="n">
        <v>50</v>
      </c>
      <c r="D1743" s="9" t="str">
        <f aca="false">INDEX(Radicals!$B$2:$B$215,MATCH(C1743,Radicals!$A$2:$A$215,0))</f>
        <v>巾</v>
      </c>
      <c r="E1743" s="10" t="str">
        <f aca="false">INDEX(Radicals!$G$2:$G$215,MATCH(C1743,Radicals!$A$2:$A$215,0))</f>
        <v>turban, cloth</v>
      </c>
      <c r="F1743" s="8" t="n">
        <f aca="false">INDEX(Radicals!$D$2:$D$215,MATCH(C1743,Radicals!$A$2:$A$215,0))</f>
        <v>3</v>
      </c>
      <c r="G1743" s="8" t="n">
        <v>12</v>
      </c>
    </row>
    <row r="1744" customFormat="false" ht="17.35" hidden="false" customHeight="false" outlineLevel="0" collapsed="false">
      <c r="A1744" s="8" t="n">
        <v>1743</v>
      </c>
      <c r="B1744" s="9" t="s">
        <v>2727</v>
      </c>
      <c r="C1744" s="8" t="n">
        <v>118</v>
      </c>
      <c r="D1744" s="9" t="str">
        <f aca="false">INDEX(Radicals!$B$2:$B$215,MATCH(C1744,Radicals!$A$2:$A$215,0))</f>
        <v>竹</v>
      </c>
      <c r="E1744" s="10" t="str">
        <f aca="false">INDEX(Radicals!$G$2:$G$215,MATCH(C1744,Radicals!$A$2:$A$215,0))</f>
        <v>bamboo</v>
      </c>
      <c r="F1744" s="8" t="n">
        <f aca="false">INDEX(Radicals!$D$2:$D$215,MATCH(C1744,Radicals!$A$2:$A$215,0))</f>
        <v>6</v>
      </c>
      <c r="G1744" s="8" t="n">
        <v>11</v>
      </c>
    </row>
    <row r="1745" customFormat="false" ht="17.35" hidden="false" customHeight="false" outlineLevel="0" collapsed="false">
      <c r="A1745" s="8" t="n">
        <v>1744</v>
      </c>
      <c r="B1745" s="9" t="s">
        <v>2728</v>
      </c>
      <c r="C1745" s="8" t="n">
        <v>115</v>
      </c>
      <c r="D1745" s="9" t="str">
        <f aca="false">INDEX(Radicals!$B$2:$B$215,MATCH(C1745,Radicals!$A$2:$A$215,0))</f>
        <v>禾</v>
      </c>
      <c r="E1745" s="10" t="str">
        <f aca="false">INDEX(Radicals!$G$2:$G$215,MATCH(C1745,Radicals!$A$2:$A$215,0))</f>
        <v>grain, rice plant</v>
      </c>
      <c r="F1745" s="8" t="n">
        <f aca="false">INDEX(Radicals!$D$2:$D$215,MATCH(C1745,Radicals!$A$2:$A$215,0))</f>
        <v>5</v>
      </c>
      <c r="G1745" s="8" t="n">
        <v>14</v>
      </c>
    </row>
    <row r="1746" customFormat="false" ht="17.35" hidden="false" customHeight="false" outlineLevel="0" collapsed="false">
      <c r="A1746" s="8" t="n">
        <v>1745</v>
      </c>
      <c r="B1746" s="9" t="s">
        <v>2729</v>
      </c>
      <c r="C1746" s="8" t="n">
        <v>75</v>
      </c>
      <c r="D1746" s="9" t="str">
        <f aca="false">INDEX(Radicals!$B$2:$B$215,MATCH(C1746,Radicals!$A$2:$A$215,0))</f>
        <v>木</v>
      </c>
      <c r="E1746" s="10" t="str">
        <f aca="false">INDEX(Radicals!$G$2:$G$215,MATCH(C1746,Radicals!$A$2:$A$215,0))</f>
        <v>tree, wood</v>
      </c>
      <c r="F1746" s="8" t="n">
        <f aca="false">INDEX(Radicals!$D$2:$D$215,MATCH(C1746,Radicals!$A$2:$A$215,0))</f>
        <v>4</v>
      </c>
      <c r="G1746" s="8" t="n">
        <v>9</v>
      </c>
    </row>
    <row r="1747" customFormat="false" ht="17.35" hidden="false" customHeight="false" outlineLevel="0" collapsed="false">
      <c r="A1747" s="8" t="n">
        <v>1746</v>
      </c>
      <c r="B1747" s="9" t="s">
        <v>2730</v>
      </c>
      <c r="C1747" s="8" t="n">
        <v>170</v>
      </c>
      <c r="D1747" s="9" t="str">
        <f aca="false">INDEX(Radicals!$B$2:$B$215,MATCH(C1747,Radicals!$A$2:$A$215,0))</f>
        <v>阜</v>
      </c>
      <c r="E1747" s="10" t="str">
        <f aca="false">INDEX(Radicals!$G$2:$G$215,MATCH(C1747,Radicals!$A$2:$A$215,0))</f>
        <v>mound, hill</v>
      </c>
      <c r="F1747" s="8" t="n">
        <f aca="false">INDEX(Radicals!$D$2:$D$215,MATCH(C1747,Radicals!$A$2:$A$215,0))</f>
        <v>8</v>
      </c>
      <c r="G1747" s="8" t="n">
        <v>11</v>
      </c>
    </row>
    <row r="1748" customFormat="false" ht="17.35" hidden="false" customHeight="false" outlineLevel="0" collapsed="false">
      <c r="A1748" s="8" t="n">
        <v>1747</v>
      </c>
      <c r="B1748" s="9" t="s">
        <v>2731</v>
      </c>
      <c r="C1748" s="8" t="n">
        <v>173</v>
      </c>
      <c r="D1748" s="9" t="str">
        <f aca="false">INDEX(Radicals!$B$2:$B$215,MATCH(C1748,Radicals!$A$2:$A$215,0))</f>
        <v>雨</v>
      </c>
      <c r="E1748" s="10" t="str">
        <f aca="false">INDEX(Radicals!$G$2:$G$215,MATCH(C1748,Radicals!$A$2:$A$215,0))</f>
        <v>rain</v>
      </c>
      <c r="F1748" s="8" t="n">
        <f aca="false">INDEX(Radicals!$D$2:$D$215,MATCH(C1748,Radicals!$A$2:$A$215,0))</f>
        <v>8</v>
      </c>
      <c r="G1748" s="8" t="n">
        <v>19</v>
      </c>
    </row>
    <row r="1749" customFormat="false" ht="17.35" hidden="false" customHeight="false" outlineLevel="0" collapsed="false">
      <c r="A1749" s="8" t="n">
        <v>1748</v>
      </c>
      <c r="B1749" s="9" t="s">
        <v>2732</v>
      </c>
      <c r="C1749" s="8" t="n">
        <v>194</v>
      </c>
      <c r="D1749" s="9" t="str">
        <f aca="false">INDEX(Radicals!$B$2:$B$215,MATCH(C1749,Radicals!$A$2:$A$215,0))</f>
        <v>鬼</v>
      </c>
      <c r="E1749" s="10" t="str">
        <f aca="false">INDEX(Radicals!$G$2:$G$215,MATCH(C1749,Radicals!$A$2:$A$215,0))</f>
        <v>ghost, demon</v>
      </c>
      <c r="F1749" s="8" t="n">
        <f aca="false">INDEX(Radicals!$D$2:$D$215,MATCH(C1749,Radicals!$A$2:$A$215,0))</f>
        <v>10</v>
      </c>
      <c r="G1749" s="8" t="n">
        <v>14</v>
      </c>
    </row>
    <row r="1750" customFormat="false" ht="17.35" hidden="false" customHeight="false" outlineLevel="0" collapsed="false">
      <c r="A1750" s="8" t="n">
        <v>1749</v>
      </c>
      <c r="B1750" s="9" t="s">
        <v>2733</v>
      </c>
      <c r="C1750" s="8" t="n">
        <v>75</v>
      </c>
      <c r="D1750" s="9" t="str">
        <f aca="false">INDEX(Radicals!$B$2:$B$215,MATCH(C1750,Radicals!$A$2:$A$215,0))</f>
        <v>木</v>
      </c>
      <c r="E1750" s="10" t="str">
        <f aca="false">INDEX(Radicals!$G$2:$G$215,MATCH(C1750,Radicals!$A$2:$A$215,0))</f>
        <v>tree, wood</v>
      </c>
      <c r="F1750" s="8" t="n">
        <f aca="false">INDEX(Radicals!$D$2:$D$215,MATCH(C1750,Radicals!$A$2:$A$215,0))</f>
        <v>4</v>
      </c>
      <c r="G1750" s="8" t="n">
        <v>9</v>
      </c>
    </row>
    <row r="1751" customFormat="false" ht="17.35" hidden="false" customHeight="false" outlineLevel="0" collapsed="false">
      <c r="A1751" s="8" t="n">
        <v>1750</v>
      </c>
      <c r="B1751" s="9" t="s">
        <v>2734</v>
      </c>
      <c r="C1751" s="8" t="n">
        <v>55</v>
      </c>
      <c r="D1751" s="9" t="str">
        <f aca="false">INDEX(Radicals!$B$2:$B$215,MATCH(C1751,Radicals!$A$2:$A$215,0))</f>
        <v>廾</v>
      </c>
      <c r="E1751" s="10" t="str">
        <f aca="false">INDEX(Radicals!$G$2:$G$215,MATCH(C1751,Radicals!$A$2:$A$215,0))</f>
        <v>two hands, joined hands</v>
      </c>
      <c r="F1751" s="8" t="n">
        <f aca="false">INDEX(Radicals!$D$2:$D$215,MATCH(C1751,Radicals!$A$2:$A$215,0))</f>
        <v>3</v>
      </c>
      <c r="G1751" s="8" t="n">
        <v>15</v>
      </c>
    </row>
    <row r="1752" customFormat="false" ht="17.35" hidden="false" customHeight="false" outlineLevel="0" collapsed="false">
      <c r="A1752" s="8" t="n">
        <v>1751</v>
      </c>
      <c r="B1752" s="9" t="s">
        <v>2735</v>
      </c>
      <c r="C1752" s="8" t="n">
        <v>167</v>
      </c>
      <c r="D1752" s="9" t="str">
        <f aca="false">INDEX(Radicals!$B$2:$B$215,MATCH(C1752,Radicals!$A$2:$A$215,0))</f>
        <v>金</v>
      </c>
      <c r="E1752" s="10" t="str">
        <f aca="false">INDEX(Radicals!$G$2:$G$215,MATCH(C1752,Radicals!$A$2:$A$215,0))</f>
        <v>metal, gold</v>
      </c>
      <c r="F1752" s="8" t="n">
        <f aca="false">INDEX(Radicals!$D$2:$D$215,MATCH(C1752,Radicals!$A$2:$A$215,0))</f>
        <v>8</v>
      </c>
      <c r="G1752" s="8" t="n">
        <v>11</v>
      </c>
    </row>
    <row r="1753" customFormat="false" ht="17.35" hidden="false" customHeight="false" outlineLevel="0" collapsed="false">
      <c r="A1753" s="8" t="n">
        <v>1752</v>
      </c>
      <c r="B1753" s="9" t="s">
        <v>2736</v>
      </c>
      <c r="C1753" s="8" t="n">
        <v>38</v>
      </c>
      <c r="D1753" s="9" t="str">
        <f aca="false">INDEX(Radicals!$B$2:$B$215,MATCH(C1753,Radicals!$A$2:$A$215,0))</f>
        <v>女</v>
      </c>
      <c r="E1753" s="10" t="str">
        <f aca="false">INDEX(Radicals!$G$2:$G$215,MATCH(C1753,Radicals!$A$2:$A$215,0))</f>
        <v>woman</v>
      </c>
      <c r="F1753" s="8" t="n">
        <f aca="false">INDEX(Radicals!$D$2:$D$215,MATCH(C1753,Radicals!$A$2:$A$215,0))</f>
        <v>3</v>
      </c>
      <c r="G1753" s="8" t="n">
        <v>6</v>
      </c>
    </row>
    <row r="1754" customFormat="false" ht="17.35" hidden="false" customHeight="false" outlineLevel="0" collapsed="false">
      <c r="A1754" s="8" t="n">
        <v>1753</v>
      </c>
      <c r="B1754" s="9" t="s">
        <v>2737</v>
      </c>
      <c r="C1754" s="8" t="n">
        <v>137</v>
      </c>
      <c r="D1754" s="9" t="str">
        <f aca="false">INDEX(Radicals!$B$2:$B$215,MATCH(C1754,Radicals!$A$2:$A$215,0))</f>
        <v>舟</v>
      </c>
      <c r="E1754" s="10" t="str">
        <f aca="false">INDEX(Radicals!$G$2:$G$215,MATCH(C1754,Radicals!$A$2:$A$215,0))</f>
        <v>boat</v>
      </c>
      <c r="F1754" s="8" t="n">
        <f aca="false">INDEX(Radicals!$D$2:$D$215,MATCH(C1754,Radicals!$A$2:$A$215,0))</f>
        <v>6</v>
      </c>
      <c r="G1754" s="8" t="n">
        <v>11</v>
      </c>
    </row>
    <row r="1755" customFormat="false" ht="17.35" hidden="false" customHeight="false" outlineLevel="0" collapsed="false">
      <c r="A1755" s="8" t="n">
        <v>1754</v>
      </c>
      <c r="B1755" s="9" t="s">
        <v>2738</v>
      </c>
      <c r="C1755" s="8" t="n">
        <v>184</v>
      </c>
      <c r="D1755" s="9" t="str">
        <f aca="false">INDEX(Radicals!$B$2:$B$215,MATCH(C1755,Radicals!$A$2:$A$215,0))</f>
        <v>食</v>
      </c>
      <c r="E1755" s="10" t="str">
        <f aca="false">INDEX(Radicals!$G$2:$G$215,MATCH(C1755,Radicals!$A$2:$A$215,0))</f>
        <v>eat, food</v>
      </c>
      <c r="F1755" s="8" t="n">
        <f aca="false">INDEX(Radicals!$D$2:$D$215,MATCH(C1755,Radicals!$A$2:$A$215,0))</f>
        <v>9</v>
      </c>
      <c r="G1755" s="8" t="n">
        <v>15</v>
      </c>
    </row>
    <row r="1756" customFormat="false" ht="17.35" hidden="false" customHeight="false" outlineLevel="0" collapsed="false">
      <c r="A1756" s="8" t="n">
        <v>1755</v>
      </c>
      <c r="B1756" s="9" t="s">
        <v>2739</v>
      </c>
      <c r="C1756" s="8" t="n">
        <v>130</v>
      </c>
      <c r="D1756" s="9" t="str">
        <f aca="false">INDEX(Radicals!$B$2:$B$215,MATCH(C1756,Radicals!$A$2:$A$215,0))</f>
        <v>肉</v>
      </c>
      <c r="E1756" s="10" t="str">
        <f aca="false">INDEX(Radicals!$G$2:$G$215,MATCH(C1756,Radicals!$A$2:$A$215,0))</f>
        <v>meat, flesh</v>
      </c>
      <c r="F1756" s="8" t="n">
        <f aca="false">INDEX(Radicals!$D$2:$D$215,MATCH(C1756,Radicals!$A$2:$A$215,0))</f>
        <v>6</v>
      </c>
      <c r="G1756" s="8" t="n">
        <v>13</v>
      </c>
    </row>
    <row r="1757" customFormat="false" ht="17.35" hidden="false" customHeight="false" outlineLevel="0" collapsed="false">
      <c r="A1757" s="8" t="n">
        <v>1756</v>
      </c>
      <c r="B1757" s="9" t="s">
        <v>2740</v>
      </c>
      <c r="C1757" s="8" t="n">
        <v>116</v>
      </c>
      <c r="D1757" s="9" t="str">
        <f aca="false">INDEX(Radicals!$B$2:$B$215,MATCH(C1757,Radicals!$A$2:$A$215,0))</f>
        <v>穴</v>
      </c>
      <c r="E1757" s="10" t="str">
        <f aca="false">INDEX(Radicals!$G$2:$G$215,MATCH(C1757,Radicals!$A$2:$A$215,0))</f>
        <v>cave, hole</v>
      </c>
      <c r="F1757" s="8" t="n">
        <f aca="false">INDEX(Radicals!$D$2:$D$215,MATCH(C1757,Radicals!$A$2:$A$215,0))</f>
        <v>5</v>
      </c>
      <c r="G1757" s="8" t="n">
        <v>15</v>
      </c>
    </row>
    <row r="1758" customFormat="false" ht="17.35" hidden="false" customHeight="false" outlineLevel="0" collapsed="false">
      <c r="A1758" s="8" t="n">
        <v>1757</v>
      </c>
      <c r="B1758" s="9" t="s">
        <v>2741</v>
      </c>
      <c r="C1758" s="8" t="n">
        <v>64</v>
      </c>
      <c r="D1758" s="9" t="str">
        <f aca="false">INDEX(Radicals!$B$2:$B$215,MATCH(C1758,Radicals!$A$2:$A$215,0))</f>
        <v>手</v>
      </c>
      <c r="E1758" s="10" t="str">
        <f aca="false">INDEX(Radicals!$G$2:$G$215,MATCH(C1758,Radicals!$A$2:$A$215,0))</f>
        <v>hand</v>
      </c>
      <c r="F1758" s="8" t="n">
        <f aca="false">INDEX(Radicals!$D$2:$D$215,MATCH(C1758,Radicals!$A$2:$A$215,0))</f>
        <v>4</v>
      </c>
      <c r="G1758" s="8" t="n">
        <v>12</v>
      </c>
    </row>
    <row r="1759" customFormat="false" ht="17.35" hidden="false" customHeight="false" outlineLevel="0" collapsed="false">
      <c r="A1759" s="8" t="n">
        <v>1758</v>
      </c>
      <c r="B1759" s="9" t="s">
        <v>2742</v>
      </c>
      <c r="C1759" s="8" t="n">
        <v>198</v>
      </c>
      <c r="D1759" s="9" t="str">
        <f aca="false">INDEX(Radicals!$B$2:$B$215,MATCH(C1759,Radicals!$A$2:$A$215,0))</f>
        <v>鹿</v>
      </c>
      <c r="E1759" s="10" t="str">
        <f aca="false">INDEX(Radicals!$G$2:$G$215,MATCH(C1759,Radicals!$A$2:$A$215,0))</f>
        <v>deer</v>
      </c>
      <c r="F1759" s="8" t="n">
        <f aca="false">INDEX(Radicals!$D$2:$D$215,MATCH(C1759,Radicals!$A$2:$A$215,0))</f>
        <v>11</v>
      </c>
      <c r="G1759" s="8" t="n">
        <v>19</v>
      </c>
    </row>
    <row r="1760" customFormat="false" ht="17.35" hidden="false" customHeight="false" outlineLevel="0" collapsed="false">
      <c r="A1760" s="8" t="n">
        <v>1759</v>
      </c>
      <c r="B1760" s="9" t="s">
        <v>2743</v>
      </c>
      <c r="C1760" s="8" t="n">
        <v>120</v>
      </c>
      <c r="D1760" s="9" t="str">
        <f aca="false">INDEX(Radicals!$B$2:$B$215,MATCH(C1760,Radicals!$A$2:$A$215,0))</f>
        <v>糸</v>
      </c>
      <c r="E1760" s="10" t="str">
        <f aca="false">INDEX(Radicals!$G$2:$G$215,MATCH(C1760,Radicals!$A$2:$A$215,0))</f>
        <v>thread, silk</v>
      </c>
      <c r="F1760" s="8" t="n">
        <f aca="false">INDEX(Radicals!$D$2:$D$215,MATCH(C1760,Radicals!$A$2:$A$215,0))</f>
        <v>6</v>
      </c>
      <c r="G1760" s="8" t="n">
        <v>14</v>
      </c>
    </row>
    <row r="1761" customFormat="false" ht="17.35" hidden="false" customHeight="false" outlineLevel="0" collapsed="false">
      <c r="A1761" s="8" t="n">
        <v>1760</v>
      </c>
      <c r="B1761" s="9" t="s">
        <v>2744</v>
      </c>
      <c r="C1761" s="8" t="n">
        <v>132</v>
      </c>
      <c r="D1761" s="9" t="str">
        <f aca="false">INDEX(Radicals!$B$2:$B$215,MATCH(C1761,Radicals!$A$2:$A$215,0))</f>
        <v>自</v>
      </c>
      <c r="E1761" s="10" t="str">
        <f aca="false">INDEX(Radicals!$G$2:$G$215,MATCH(C1761,Radicals!$A$2:$A$215,0))</f>
        <v>self</v>
      </c>
      <c r="F1761" s="8" t="n">
        <f aca="false">INDEX(Radicals!$D$2:$D$215,MATCH(C1761,Radicals!$A$2:$A$215,0))</f>
        <v>6</v>
      </c>
      <c r="G1761" s="8" t="n">
        <v>9</v>
      </c>
    </row>
    <row r="1762" customFormat="false" ht="17.35" hidden="false" customHeight="false" outlineLevel="0" collapsed="false">
      <c r="A1762" s="8" t="n">
        <v>1761</v>
      </c>
      <c r="B1762" s="9" t="s">
        <v>2745</v>
      </c>
      <c r="C1762" s="8" t="n">
        <v>167</v>
      </c>
      <c r="D1762" s="9" t="str">
        <f aca="false">INDEX(Radicals!$B$2:$B$215,MATCH(C1762,Radicals!$A$2:$A$215,0))</f>
        <v>金</v>
      </c>
      <c r="E1762" s="10" t="str">
        <f aca="false">INDEX(Radicals!$G$2:$G$215,MATCH(C1762,Radicals!$A$2:$A$215,0))</f>
        <v>metal, gold</v>
      </c>
      <c r="F1762" s="8" t="n">
        <f aca="false">INDEX(Radicals!$D$2:$D$215,MATCH(C1762,Radicals!$A$2:$A$215,0))</f>
        <v>8</v>
      </c>
      <c r="G1762" s="8" t="n">
        <v>10</v>
      </c>
    </row>
    <row r="1763" customFormat="false" ht="17.35" hidden="false" customHeight="false" outlineLevel="0" collapsed="false">
      <c r="A1763" s="8" t="n">
        <v>1762</v>
      </c>
      <c r="B1763" s="9" t="s">
        <v>2746</v>
      </c>
      <c r="C1763" s="8" t="n">
        <v>61</v>
      </c>
      <c r="D1763" s="9" t="str">
        <f aca="false">INDEX(Radicals!$B$2:$B$215,MATCH(C1763,Radicals!$A$2:$A$215,0))</f>
        <v>心</v>
      </c>
      <c r="E1763" s="10" t="str">
        <f aca="false">INDEX(Radicals!$G$2:$G$215,MATCH(C1763,Radicals!$A$2:$A$215,0))</f>
        <v>heart, mind</v>
      </c>
      <c r="F1763" s="8" t="n">
        <f aca="false">INDEX(Radicals!$D$2:$D$215,MATCH(C1763,Radicals!$A$2:$A$215,0))</f>
        <v>4</v>
      </c>
      <c r="G1763" s="8" t="n">
        <v>10</v>
      </c>
    </row>
    <row r="1764" customFormat="false" ht="17.35" hidden="false" customHeight="false" outlineLevel="0" collapsed="false">
      <c r="A1764" s="8" t="n">
        <v>1763</v>
      </c>
      <c r="B1764" s="9" t="s">
        <v>2747</v>
      </c>
      <c r="C1764" s="8" t="n">
        <v>18</v>
      </c>
      <c r="D1764" s="9" t="str">
        <f aca="false">INDEX(Radicals!$B$2:$B$215,MATCH(C1764,Radicals!$A$2:$A$215,0))</f>
        <v>刀</v>
      </c>
      <c r="E1764" s="10" t="str">
        <f aca="false">INDEX(Radicals!$G$2:$G$215,MATCH(C1764,Radicals!$A$2:$A$215,0))</f>
        <v>knife, sword</v>
      </c>
      <c r="F1764" s="8" t="n">
        <f aca="false">INDEX(Radicals!$D$2:$D$215,MATCH(C1764,Radicals!$A$2:$A$215,0))</f>
        <v>2</v>
      </c>
      <c r="G1764" s="8" t="n">
        <v>3</v>
      </c>
    </row>
    <row r="1765" customFormat="false" ht="17.35" hidden="false" customHeight="false" outlineLevel="0" collapsed="false">
      <c r="A1765" s="8" t="n">
        <v>1764</v>
      </c>
      <c r="B1765" s="9" t="s">
        <v>2748</v>
      </c>
      <c r="C1765" s="8" t="n">
        <v>120</v>
      </c>
      <c r="D1765" s="9" t="str">
        <f aca="false">INDEX(Radicals!$B$2:$B$215,MATCH(C1765,Radicals!$A$2:$A$215,0))</f>
        <v>糸</v>
      </c>
      <c r="E1765" s="10" t="str">
        <f aca="false">INDEX(Radicals!$G$2:$G$215,MATCH(C1765,Radicals!$A$2:$A$215,0))</f>
        <v>thread, silk</v>
      </c>
      <c r="F1765" s="8" t="n">
        <f aca="false">INDEX(Radicals!$D$2:$D$215,MATCH(C1765,Radicals!$A$2:$A$215,0))</f>
        <v>6</v>
      </c>
      <c r="G1765" s="8" t="n">
        <v>16</v>
      </c>
    </row>
    <row r="1766" customFormat="false" ht="17.35" hidden="false" customHeight="false" outlineLevel="0" collapsed="false">
      <c r="A1766" s="8" t="n">
        <v>1765</v>
      </c>
      <c r="B1766" s="9" t="s">
        <v>2749</v>
      </c>
      <c r="C1766" s="8" t="n">
        <v>72</v>
      </c>
      <c r="D1766" s="9" t="str">
        <f aca="false">INDEX(Radicals!$B$2:$B$215,MATCH(C1766,Radicals!$A$2:$A$215,0))</f>
        <v>日</v>
      </c>
      <c r="E1766" s="10" t="str">
        <f aca="false">INDEX(Radicals!$G$2:$G$215,MATCH(C1766,Radicals!$A$2:$A$215,0))</f>
        <v>sun, day</v>
      </c>
      <c r="F1766" s="8" t="n">
        <f aca="false">INDEX(Radicals!$D$2:$D$215,MATCH(C1766,Radicals!$A$2:$A$215,0))</f>
        <v>4</v>
      </c>
      <c r="G1766" s="8" t="n">
        <v>14</v>
      </c>
    </row>
    <row r="1767" customFormat="false" ht="17.35" hidden="false" customHeight="false" outlineLevel="0" collapsed="false">
      <c r="A1767" s="8" t="n">
        <v>1766</v>
      </c>
      <c r="B1767" s="9" t="s">
        <v>2750</v>
      </c>
      <c r="C1767" s="8" t="n">
        <v>40</v>
      </c>
      <c r="D1767" s="9" t="str">
        <f aca="false">INDEX(Radicals!$B$2:$B$215,MATCH(C1767,Radicals!$A$2:$A$215,0))</f>
        <v>宀</v>
      </c>
      <c r="E1767" s="10" t="str">
        <f aca="false">INDEX(Radicals!$G$2:$G$215,MATCH(C1767,Radicals!$A$2:$A$215,0))</f>
        <v>roof</v>
      </c>
      <c r="F1767" s="8" t="n">
        <f aca="false">INDEX(Radicals!$D$2:$D$215,MATCH(C1767,Radicals!$A$2:$A$215,0))</f>
        <v>3</v>
      </c>
      <c r="G1767" s="8" t="n">
        <v>8</v>
      </c>
    </row>
    <row r="1768" customFormat="false" ht="17.35" hidden="false" customHeight="false" outlineLevel="0" collapsed="false">
      <c r="A1768" s="8" t="n">
        <v>1767</v>
      </c>
      <c r="B1768" s="9" t="s">
        <v>2751</v>
      </c>
      <c r="C1768" s="8" t="n">
        <v>109</v>
      </c>
      <c r="D1768" s="9" t="str">
        <f aca="false">INDEX(Radicals!$B$2:$B$215,MATCH(C1768,Radicals!$A$2:$A$215,0))</f>
        <v>目</v>
      </c>
      <c r="E1768" s="10" t="str">
        <f aca="false">INDEX(Radicals!$G$2:$G$215,MATCH(C1768,Radicals!$A$2:$A$215,0))</f>
        <v>eye</v>
      </c>
      <c r="F1768" s="8" t="n">
        <f aca="false">INDEX(Radicals!$D$2:$D$215,MATCH(C1768,Radicals!$A$2:$A$215,0))</f>
        <v>5</v>
      </c>
      <c r="G1768" s="8" t="n">
        <v>8</v>
      </c>
    </row>
    <row r="1769" customFormat="false" ht="17.35" hidden="false" customHeight="false" outlineLevel="0" collapsed="false">
      <c r="A1769" s="8" t="n">
        <v>1768</v>
      </c>
      <c r="B1769" s="9" t="s">
        <v>2752</v>
      </c>
      <c r="C1769" s="8" t="n">
        <v>119</v>
      </c>
      <c r="D1769" s="9" t="str">
        <f aca="false">INDEX(Radicals!$B$2:$B$215,MATCH(C1769,Radicals!$A$2:$A$215,0))</f>
        <v>米</v>
      </c>
      <c r="E1769" s="10" t="str">
        <f aca="false">INDEX(Radicals!$G$2:$G$215,MATCH(C1769,Radicals!$A$2:$A$215,0))</f>
        <v>rice</v>
      </c>
      <c r="F1769" s="8" t="n">
        <f aca="false">INDEX(Radicals!$D$2:$D$215,MATCH(C1769,Radicals!$A$2:$A$215,0))</f>
        <v>6</v>
      </c>
      <c r="G1769" s="8" t="n">
        <v>10</v>
      </c>
    </row>
    <row r="1770" customFormat="false" ht="17.35" hidden="false" customHeight="false" outlineLevel="0" collapsed="false">
      <c r="A1770" s="8" t="n">
        <v>1769</v>
      </c>
      <c r="B1770" s="9" t="s">
        <v>2753</v>
      </c>
      <c r="C1770" s="8" t="n">
        <v>161</v>
      </c>
      <c r="D1770" s="9" t="str">
        <f aca="false">INDEX(Radicals!$B$2:$B$215,MATCH(C1770,Radicals!$A$2:$A$215,0))</f>
        <v>辰</v>
      </c>
      <c r="E1770" s="10" t="str">
        <f aca="false">INDEX(Radicals!$G$2:$G$215,MATCH(C1770,Radicals!$A$2:$A$215,0))</f>
        <v>morning, 5th zodiac sign (dragon)</v>
      </c>
      <c r="F1770" s="8" t="n">
        <f aca="false">INDEX(Radicals!$D$2:$D$215,MATCH(C1770,Radicals!$A$2:$A$215,0))</f>
        <v>7</v>
      </c>
      <c r="G1770" s="8" t="n">
        <v>10</v>
      </c>
    </row>
    <row r="1771" customFormat="false" ht="17.35" hidden="false" customHeight="false" outlineLevel="0" collapsed="false">
      <c r="A1771" s="8" t="n">
        <v>1770</v>
      </c>
      <c r="B1771" s="9" t="s">
        <v>2754</v>
      </c>
      <c r="C1771" s="8" t="n">
        <v>79</v>
      </c>
      <c r="D1771" s="9" t="str">
        <f aca="false">INDEX(Radicals!$B$2:$B$215,MATCH(C1771,Radicals!$A$2:$A$215,0))</f>
        <v>殳</v>
      </c>
      <c r="E1771" s="10" t="str">
        <f aca="false">INDEX(Radicals!$G$2:$G$215,MATCH(C1771,Radicals!$A$2:$A$215,0))</f>
        <v>weapon, to strike</v>
      </c>
      <c r="F1771" s="8" t="n">
        <f aca="false">INDEX(Radicals!$D$2:$D$215,MATCH(C1771,Radicals!$A$2:$A$215,0))</f>
        <v>4</v>
      </c>
      <c r="G1771" s="8" t="n">
        <v>15</v>
      </c>
    </row>
    <row r="1772" customFormat="false" ht="17.35" hidden="false" customHeight="false" outlineLevel="0" collapsed="false">
      <c r="A1772" s="8" t="n">
        <v>1771</v>
      </c>
      <c r="B1772" s="9" t="s">
        <v>2755</v>
      </c>
      <c r="C1772" s="8" t="n">
        <v>159</v>
      </c>
      <c r="D1772" s="9" t="str">
        <f aca="false">INDEX(Radicals!$B$2:$B$215,MATCH(C1772,Radicals!$A$2:$A$215,0))</f>
        <v>車</v>
      </c>
      <c r="E1772" s="10" t="str">
        <f aca="false">INDEX(Radicals!$G$2:$G$215,MATCH(C1772,Radicals!$A$2:$A$215,0))</f>
        <v>cart, vehicle</v>
      </c>
      <c r="F1772" s="8" t="n">
        <f aca="false">INDEX(Radicals!$D$2:$D$215,MATCH(C1772,Radicals!$A$2:$A$215,0))</f>
        <v>7</v>
      </c>
      <c r="G1772" s="8" t="n">
        <v>17</v>
      </c>
    </row>
    <row r="1773" customFormat="false" ht="17.35" hidden="false" customHeight="false" outlineLevel="0" collapsed="false">
      <c r="A1773" s="8" t="n">
        <v>1772</v>
      </c>
      <c r="B1773" s="9" t="s">
        <v>2756</v>
      </c>
      <c r="C1773" s="8" t="n">
        <v>94</v>
      </c>
      <c r="D1773" s="9" t="str">
        <f aca="false">INDEX(Radicals!$B$2:$B$215,MATCH(C1773,Radicals!$A$2:$A$215,0))</f>
        <v>犬</v>
      </c>
      <c r="E1773" s="10" t="str">
        <f aca="false">INDEX(Radicals!$G$2:$G$215,MATCH(C1773,Radicals!$A$2:$A$215,0))</f>
        <v>dog</v>
      </c>
      <c r="F1773" s="8" t="n">
        <f aca="false">INDEX(Radicals!$D$2:$D$215,MATCH(C1773,Radicals!$A$2:$A$215,0))</f>
        <v>4</v>
      </c>
      <c r="G1773" s="8" t="n">
        <v>13</v>
      </c>
    </row>
    <row r="1774" customFormat="false" ht="17.35" hidden="false" customHeight="false" outlineLevel="0" collapsed="false">
      <c r="A1774" s="8" t="n">
        <v>1773</v>
      </c>
      <c r="B1774" s="9" t="s">
        <v>2757</v>
      </c>
      <c r="C1774" s="8" t="n">
        <v>57</v>
      </c>
      <c r="D1774" s="9" t="str">
        <f aca="false">INDEX(Radicals!$B$2:$B$215,MATCH(C1774,Radicals!$A$2:$A$215,0))</f>
        <v>弓</v>
      </c>
      <c r="E1774" s="10" t="str">
        <f aca="false">INDEX(Radicals!$G$2:$G$215,MATCH(C1774,Radicals!$A$2:$A$215,0))</f>
        <v>bow</v>
      </c>
      <c r="F1774" s="8" t="n">
        <f aca="false">INDEX(Radicals!$D$2:$D$215,MATCH(C1774,Radicals!$A$2:$A$215,0))</f>
        <v>3</v>
      </c>
      <c r="G1774" s="8" t="n">
        <v>8</v>
      </c>
    </row>
    <row r="1775" customFormat="false" ht="17.35" hidden="false" customHeight="false" outlineLevel="0" collapsed="false">
      <c r="A1775" s="8" t="n">
        <v>1774</v>
      </c>
      <c r="B1775" s="9" t="s">
        <v>2758</v>
      </c>
      <c r="C1775" s="8" t="n">
        <v>46</v>
      </c>
      <c r="D1775" s="9" t="str">
        <f aca="false">INDEX(Radicals!$B$2:$B$215,MATCH(C1775,Radicals!$A$2:$A$215,0))</f>
        <v>山</v>
      </c>
      <c r="E1775" s="10" t="str">
        <f aca="false">INDEX(Radicals!$G$2:$G$215,MATCH(C1775,Radicals!$A$2:$A$215,0))</f>
        <v>mountain</v>
      </c>
      <c r="F1775" s="8" t="n">
        <f aca="false">INDEX(Radicals!$D$2:$D$215,MATCH(C1775,Radicals!$A$2:$A$215,0))</f>
        <v>3</v>
      </c>
      <c r="G1775" s="8" t="n">
        <v>14</v>
      </c>
    </row>
    <row r="1776" customFormat="false" ht="17.35" hidden="false" customHeight="false" outlineLevel="0" collapsed="false">
      <c r="A1776" s="8" t="n">
        <v>1775</v>
      </c>
      <c r="B1776" s="9" t="s">
        <v>2759</v>
      </c>
      <c r="C1776" s="8" t="n">
        <v>115</v>
      </c>
      <c r="D1776" s="9" t="str">
        <f aca="false">INDEX(Radicals!$B$2:$B$215,MATCH(C1776,Radicals!$A$2:$A$215,0))</f>
        <v>禾</v>
      </c>
      <c r="E1776" s="10" t="str">
        <f aca="false">INDEX(Radicals!$G$2:$G$215,MATCH(C1776,Radicals!$A$2:$A$215,0))</f>
        <v>grain, rice plant</v>
      </c>
      <c r="F1776" s="8" t="n">
        <f aca="false">INDEX(Radicals!$D$2:$D$215,MATCH(C1776,Radicals!$A$2:$A$215,0))</f>
        <v>5</v>
      </c>
      <c r="G1776" s="8" t="n">
        <v>13</v>
      </c>
    </row>
    <row r="1777" customFormat="false" ht="17.35" hidden="false" customHeight="false" outlineLevel="0" collapsed="false">
      <c r="A1777" s="8" t="n">
        <v>1776</v>
      </c>
      <c r="B1777" s="9" t="s">
        <v>2760</v>
      </c>
      <c r="C1777" s="8" t="n">
        <v>116</v>
      </c>
      <c r="D1777" s="9" t="str">
        <f aca="false">INDEX(Radicals!$B$2:$B$215,MATCH(C1777,Radicals!$A$2:$A$215,0))</f>
        <v>穴</v>
      </c>
      <c r="E1777" s="10" t="str">
        <f aca="false">INDEX(Radicals!$G$2:$G$215,MATCH(C1777,Radicals!$A$2:$A$215,0))</f>
        <v>cave, hole</v>
      </c>
      <c r="F1777" s="8" t="n">
        <f aca="false">INDEX(Radicals!$D$2:$D$215,MATCH(C1777,Radicals!$A$2:$A$215,0))</f>
        <v>5</v>
      </c>
      <c r="G1777" s="8" t="n">
        <v>11</v>
      </c>
    </row>
    <row r="1778" customFormat="false" ht="17.35" hidden="false" customHeight="false" outlineLevel="0" collapsed="false">
      <c r="A1778" s="8" t="n">
        <v>1777</v>
      </c>
      <c r="B1778" s="9" t="s">
        <v>2761</v>
      </c>
      <c r="C1778" s="8" t="n">
        <v>86</v>
      </c>
      <c r="D1778" s="9" t="str">
        <f aca="false">INDEX(Radicals!$B$2:$B$215,MATCH(C1778,Radicals!$A$2:$A$215,0))</f>
        <v>火</v>
      </c>
      <c r="E1778" s="10" t="str">
        <f aca="false">INDEX(Radicals!$G$2:$G$215,MATCH(C1778,Radicals!$A$2:$A$215,0))</f>
        <v>fire</v>
      </c>
      <c r="F1778" s="8" t="n">
        <f aca="false">INDEX(Radicals!$D$2:$D$215,MATCH(C1778,Radicals!$A$2:$A$215,0))</f>
        <v>4</v>
      </c>
      <c r="G1778" s="8" t="n">
        <v>8</v>
      </c>
    </row>
    <row r="1779" customFormat="false" ht="17.35" hidden="false" customHeight="false" outlineLevel="0" collapsed="false">
      <c r="A1779" s="8" t="n">
        <v>1778</v>
      </c>
      <c r="B1779" s="9" t="s">
        <v>2762</v>
      </c>
      <c r="C1779" s="8" t="n">
        <v>85</v>
      </c>
      <c r="D1779" s="9" t="str">
        <f aca="false">INDEX(Radicals!$B$2:$B$215,MATCH(C1779,Radicals!$A$2:$A$215,0))</f>
        <v>水</v>
      </c>
      <c r="E1779" s="10" t="str">
        <f aca="false">INDEX(Radicals!$G$2:$G$215,MATCH(C1779,Radicals!$A$2:$A$215,0))</f>
        <v>water</v>
      </c>
      <c r="F1779" s="8" t="n">
        <f aca="false">INDEX(Radicals!$D$2:$D$215,MATCH(C1779,Radicals!$A$2:$A$215,0))</f>
        <v>4</v>
      </c>
      <c r="G1779" s="8" t="n">
        <v>9</v>
      </c>
    </row>
    <row r="1780" customFormat="false" ht="17.35" hidden="false" customHeight="false" outlineLevel="0" collapsed="false">
      <c r="A1780" s="8" t="n">
        <v>1779</v>
      </c>
      <c r="B1780" s="9" t="s">
        <v>2763</v>
      </c>
      <c r="C1780" s="8" t="n">
        <v>64</v>
      </c>
      <c r="D1780" s="9" t="str">
        <f aca="false">INDEX(Radicals!$B$2:$B$215,MATCH(C1780,Radicals!$A$2:$A$215,0))</f>
        <v>手</v>
      </c>
      <c r="E1780" s="10" t="str">
        <f aca="false">INDEX(Radicals!$G$2:$G$215,MATCH(C1780,Radicals!$A$2:$A$215,0))</f>
        <v>hand</v>
      </c>
      <c r="F1780" s="8" t="n">
        <f aca="false">INDEX(Radicals!$D$2:$D$215,MATCH(C1780,Radicals!$A$2:$A$215,0))</f>
        <v>4</v>
      </c>
      <c r="G1780" s="8" t="n">
        <v>13</v>
      </c>
    </row>
    <row r="1781" customFormat="false" ht="17.35" hidden="false" customHeight="false" outlineLevel="0" collapsed="false">
      <c r="A1781" s="8" t="n">
        <v>1780</v>
      </c>
      <c r="B1781" s="9" t="s">
        <v>2764</v>
      </c>
      <c r="C1781" s="8" t="n">
        <v>184</v>
      </c>
      <c r="D1781" s="9" t="str">
        <f aca="false">INDEX(Radicals!$B$2:$B$215,MATCH(C1781,Radicals!$A$2:$A$215,0))</f>
        <v>食</v>
      </c>
      <c r="E1781" s="10" t="str">
        <f aca="false">INDEX(Radicals!$G$2:$G$215,MATCH(C1781,Radicals!$A$2:$A$215,0))</f>
        <v>eat, food</v>
      </c>
      <c r="F1781" s="8" t="n">
        <f aca="false">INDEX(Radicals!$D$2:$D$215,MATCH(C1781,Radicals!$A$2:$A$215,0))</f>
        <v>9</v>
      </c>
      <c r="G1781" s="8" t="n">
        <v>13</v>
      </c>
    </row>
    <row r="1782" customFormat="false" ht="17.35" hidden="false" customHeight="false" outlineLevel="0" collapsed="false">
      <c r="A1782" s="8" t="n">
        <v>1781</v>
      </c>
      <c r="B1782" s="9" t="s">
        <v>2765</v>
      </c>
      <c r="C1782" s="8" t="n">
        <v>17</v>
      </c>
      <c r="D1782" s="9" t="str">
        <f aca="false">INDEX(Radicals!$B$2:$B$215,MATCH(C1782,Radicals!$A$2:$A$215,0))</f>
        <v>凵</v>
      </c>
      <c r="E1782" s="10" t="str">
        <f aca="false">INDEX(Radicals!$G$2:$G$215,MATCH(C1782,Radicals!$A$2:$A$215,0))</f>
        <v>open box</v>
      </c>
      <c r="F1782" s="8" t="n">
        <f aca="false">INDEX(Radicals!$D$2:$D$215,MATCH(C1782,Radicals!$A$2:$A$215,0))</f>
        <v>2</v>
      </c>
      <c r="G1782" s="8" t="n">
        <v>8</v>
      </c>
    </row>
    <row r="1783" customFormat="false" ht="17.35" hidden="false" customHeight="false" outlineLevel="0" collapsed="false">
      <c r="A1783" s="8" t="n">
        <v>1782</v>
      </c>
      <c r="B1783" s="9" t="s">
        <v>2766</v>
      </c>
      <c r="C1783" s="8" t="n">
        <v>14</v>
      </c>
      <c r="D1783" s="9" t="str">
        <f aca="false">INDEX(Radicals!$B$2:$B$215,MATCH(C1783,Radicals!$A$2:$A$215,0))</f>
        <v>冖</v>
      </c>
      <c r="E1783" s="10" t="str">
        <f aca="false">INDEX(Radicals!$G$2:$G$215,MATCH(C1783,Radicals!$A$2:$A$215,0))</f>
        <v>cover, crown</v>
      </c>
      <c r="F1783" s="8" t="n">
        <f aca="false">INDEX(Radicals!$D$2:$D$215,MATCH(C1783,Radicals!$A$2:$A$215,0))</f>
        <v>2</v>
      </c>
      <c r="G1783" s="8" t="n">
        <v>4</v>
      </c>
    </row>
    <row r="1784" customFormat="false" ht="17.35" hidden="false" customHeight="false" outlineLevel="0" collapsed="false">
      <c r="A1784" s="8" t="n">
        <v>1783</v>
      </c>
      <c r="B1784" s="9" t="s">
        <v>2767</v>
      </c>
      <c r="C1784" s="8" t="n">
        <v>85</v>
      </c>
      <c r="D1784" s="9" t="str">
        <f aca="false">INDEX(Radicals!$B$2:$B$215,MATCH(C1784,Radicals!$A$2:$A$215,0))</f>
        <v>水</v>
      </c>
      <c r="E1784" s="10" t="str">
        <f aca="false">INDEX(Radicals!$G$2:$G$215,MATCH(C1784,Radicals!$A$2:$A$215,0))</f>
        <v>water</v>
      </c>
      <c r="F1784" s="8" t="n">
        <f aca="false">INDEX(Radicals!$D$2:$D$215,MATCH(C1784,Radicals!$A$2:$A$215,0))</f>
        <v>4</v>
      </c>
      <c r="G1784" s="8" t="n">
        <v>11</v>
      </c>
    </row>
    <row r="1785" customFormat="false" ht="17.35" hidden="false" customHeight="false" outlineLevel="0" collapsed="false">
      <c r="A1785" s="8" t="n">
        <v>1784</v>
      </c>
      <c r="B1785" s="9" t="s">
        <v>2768</v>
      </c>
      <c r="C1785" s="8" t="n">
        <v>75</v>
      </c>
      <c r="D1785" s="9" t="str">
        <f aca="false">INDEX(Radicals!$B$2:$B$215,MATCH(C1785,Radicals!$A$2:$A$215,0))</f>
        <v>木</v>
      </c>
      <c r="E1785" s="10" t="str">
        <f aca="false">INDEX(Radicals!$G$2:$G$215,MATCH(C1785,Radicals!$A$2:$A$215,0))</f>
        <v>tree, wood</v>
      </c>
      <c r="F1785" s="8" t="n">
        <f aca="false">INDEX(Radicals!$D$2:$D$215,MATCH(C1785,Radicals!$A$2:$A$215,0))</f>
        <v>4</v>
      </c>
      <c r="G1785" s="8" t="n">
        <v>10</v>
      </c>
    </row>
    <row r="1786" customFormat="false" ht="17.35" hidden="false" customHeight="false" outlineLevel="0" collapsed="false">
      <c r="A1786" s="8" t="n">
        <v>1785</v>
      </c>
      <c r="B1786" s="9" t="s">
        <v>2769</v>
      </c>
      <c r="C1786" s="8" t="n">
        <v>94</v>
      </c>
      <c r="D1786" s="9" t="str">
        <f aca="false">INDEX(Radicals!$B$2:$B$215,MATCH(C1786,Radicals!$A$2:$A$215,0))</f>
        <v>犬</v>
      </c>
      <c r="E1786" s="10" t="str">
        <f aca="false">INDEX(Radicals!$G$2:$G$215,MATCH(C1786,Radicals!$A$2:$A$215,0))</f>
        <v>dog</v>
      </c>
      <c r="F1786" s="8" t="n">
        <f aca="false">INDEX(Radicals!$D$2:$D$215,MATCH(C1786,Radicals!$A$2:$A$215,0))</f>
        <v>4</v>
      </c>
      <c r="G1786" s="8" t="n">
        <v>9</v>
      </c>
    </row>
    <row r="1787" customFormat="false" ht="17.35" hidden="false" customHeight="false" outlineLevel="0" collapsed="false">
      <c r="A1787" s="8" t="n">
        <v>1786</v>
      </c>
      <c r="B1787" s="9" t="s">
        <v>723</v>
      </c>
      <c r="C1787" s="8" t="n">
        <v>137</v>
      </c>
      <c r="D1787" s="9" t="str">
        <f aca="false">INDEX(Radicals!$B$2:$B$215,MATCH(C1787,Radicals!$A$2:$A$215,0))</f>
        <v>舟</v>
      </c>
      <c r="E1787" s="10" t="str">
        <f aca="false">INDEX(Radicals!$G$2:$G$215,MATCH(C1787,Radicals!$A$2:$A$215,0))</f>
        <v>boat</v>
      </c>
      <c r="F1787" s="8" t="n">
        <f aca="false">INDEX(Radicals!$D$2:$D$215,MATCH(C1787,Radicals!$A$2:$A$215,0))</f>
        <v>6</v>
      </c>
      <c r="G1787" s="8" t="n">
        <v>6</v>
      </c>
    </row>
    <row r="1788" customFormat="false" ht="17.35" hidden="false" customHeight="false" outlineLevel="0" collapsed="false">
      <c r="A1788" s="8" t="n">
        <v>1787</v>
      </c>
      <c r="B1788" s="9" t="s">
        <v>810</v>
      </c>
      <c r="C1788" s="8" t="n">
        <v>154</v>
      </c>
      <c r="D1788" s="9" t="str">
        <f aca="false">INDEX(Radicals!$B$2:$B$215,MATCH(C1788,Radicals!$A$2:$A$215,0))</f>
        <v>貝</v>
      </c>
      <c r="E1788" s="10" t="str">
        <f aca="false">INDEX(Radicals!$G$2:$G$215,MATCH(C1788,Radicals!$A$2:$A$215,0))</f>
        <v>shell, money</v>
      </c>
      <c r="F1788" s="8" t="n">
        <f aca="false">INDEX(Radicals!$D$2:$D$215,MATCH(C1788,Radicals!$A$2:$A$215,0))</f>
        <v>7</v>
      </c>
      <c r="G1788" s="8" t="n">
        <v>7</v>
      </c>
    </row>
    <row r="1789" customFormat="false" ht="17.35" hidden="false" customHeight="false" outlineLevel="0" collapsed="false">
      <c r="A1789" s="8" t="n">
        <v>1788</v>
      </c>
      <c r="B1789" s="9" t="s">
        <v>2770</v>
      </c>
      <c r="C1789" s="8" t="n">
        <v>75</v>
      </c>
      <c r="D1789" s="9" t="str">
        <f aca="false">INDEX(Radicals!$B$2:$B$215,MATCH(C1789,Radicals!$A$2:$A$215,0))</f>
        <v>木</v>
      </c>
      <c r="E1789" s="10" t="str">
        <f aca="false">INDEX(Radicals!$G$2:$G$215,MATCH(C1789,Radicals!$A$2:$A$215,0))</f>
        <v>tree, wood</v>
      </c>
      <c r="F1789" s="8" t="n">
        <f aca="false">INDEX(Radicals!$D$2:$D$215,MATCH(C1789,Radicals!$A$2:$A$215,0))</f>
        <v>4</v>
      </c>
      <c r="G1789" s="8" t="n">
        <v>6</v>
      </c>
    </row>
    <row r="1790" customFormat="false" ht="17.35" hidden="false" customHeight="false" outlineLevel="0" collapsed="false">
      <c r="A1790" s="8" t="n">
        <v>1789</v>
      </c>
      <c r="B1790" s="9" t="s">
        <v>2771</v>
      </c>
      <c r="C1790" s="8" t="n">
        <v>85</v>
      </c>
      <c r="D1790" s="9" t="str">
        <f aca="false">INDEX(Radicals!$B$2:$B$215,MATCH(C1790,Radicals!$A$2:$A$215,0))</f>
        <v>水</v>
      </c>
      <c r="E1790" s="10" t="str">
        <f aca="false">INDEX(Radicals!$G$2:$G$215,MATCH(C1790,Radicals!$A$2:$A$215,0))</f>
        <v>water</v>
      </c>
      <c r="F1790" s="8" t="n">
        <f aca="false">INDEX(Radicals!$D$2:$D$215,MATCH(C1790,Radicals!$A$2:$A$215,0))</f>
        <v>4</v>
      </c>
      <c r="G1790" s="8" t="n">
        <v>12</v>
      </c>
    </row>
    <row r="1791" customFormat="false" ht="17.35" hidden="false" customHeight="false" outlineLevel="0" collapsed="false">
      <c r="A1791" s="8" t="n">
        <v>1790</v>
      </c>
      <c r="B1791" s="9" t="s">
        <v>2772</v>
      </c>
      <c r="C1791" s="8" t="n">
        <v>120</v>
      </c>
      <c r="D1791" s="9" t="str">
        <f aca="false">INDEX(Radicals!$B$2:$B$215,MATCH(C1791,Radicals!$A$2:$A$215,0))</f>
        <v>糸</v>
      </c>
      <c r="E1791" s="10" t="str">
        <f aca="false">INDEX(Radicals!$G$2:$G$215,MATCH(C1791,Radicals!$A$2:$A$215,0))</f>
        <v>thread, silk</v>
      </c>
      <c r="F1791" s="8" t="n">
        <f aca="false">INDEX(Radicals!$D$2:$D$215,MATCH(C1791,Radicals!$A$2:$A$215,0))</f>
        <v>6</v>
      </c>
      <c r="G1791" s="8" t="n">
        <v>11</v>
      </c>
    </row>
    <row r="1792" customFormat="false" ht="17.35" hidden="false" customHeight="false" outlineLevel="0" collapsed="false">
      <c r="A1792" s="8" t="n">
        <v>1791</v>
      </c>
      <c r="B1792" s="9" t="s">
        <v>2773</v>
      </c>
      <c r="C1792" s="8" t="n">
        <v>75</v>
      </c>
      <c r="D1792" s="9" t="str">
        <f aca="false">INDEX(Radicals!$B$2:$B$215,MATCH(C1792,Radicals!$A$2:$A$215,0))</f>
        <v>木</v>
      </c>
      <c r="E1792" s="10" t="str">
        <f aca="false">INDEX(Radicals!$G$2:$G$215,MATCH(C1792,Radicals!$A$2:$A$215,0))</f>
        <v>tree, wood</v>
      </c>
      <c r="F1792" s="8" t="n">
        <f aca="false">INDEX(Radicals!$D$2:$D$215,MATCH(C1792,Radicals!$A$2:$A$215,0))</f>
        <v>4</v>
      </c>
      <c r="G1792" s="8" t="n">
        <v>8</v>
      </c>
    </row>
    <row r="1793" customFormat="false" ht="17.35" hidden="false" customHeight="false" outlineLevel="0" collapsed="false">
      <c r="A1793" s="8" t="n">
        <v>1792</v>
      </c>
      <c r="B1793" s="9" t="s">
        <v>2774</v>
      </c>
      <c r="C1793" s="8" t="n">
        <v>112</v>
      </c>
      <c r="D1793" s="9" t="str">
        <f aca="false">INDEX(Radicals!$B$2:$B$215,MATCH(C1793,Radicals!$A$2:$A$215,0))</f>
        <v>石</v>
      </c>
      <c r="E1793" s="10" t="str">
        <f aca="false">INDEX(Radicals!$G$2:$G$215,MATCH(C1793,Radicals!$A$2:$A$215,0))</f>
        <v>stone</v>
      </c>
      <c r="F1793" s="8" t="n">
        <f aca="false">INDEX(Radicals!$D$2:$D$215,MATCH(C1793,Radicals!$A$2:$A$215,0))</f>
        <v>5</v>
      </c>
      <c r="G1793" s="8" t="n">
        <v>14</v>
      </c>
    </row>
    <row r="1794" customFormat="false" ht="17.35" hidden="false" customHeight="false" outlineLevel="0" collapsed="false">
      <c r="A1794" s="8" t="n">
        <v>1793</v>
      </c>
      <c r="B1794" s="9" t="s">
        <v>2775</v>
      </c>
      <c r="C1794" s="8" t="n">
        <v>167</v>
      </c>
      <c r="D1794" s="9" t="str">
        <f aca="false">INDEX(Radicals!$B$2:$B$215,MATCH(C1794,Radicals!$A$2:$A$215,0))</f>
        <v>金</v>
      </c>
      <c r="E1794" s="10" t="str">
        <f aca="false">INDEX(Radicals!$G$2:$G$215,MATCH(C1794,Radicals!$A$2:$A$215,0))</f>
        <v>metal, gold</v>
      </c>
      <c r="F1794" s="8" t="n">
        <f aca="false">INDEX(Radicals!$D$2:$D$215,MATCH(C1794,Radicals!$A$2:$A$215,0))</f>
        <v>8</v>
      </c>
      <c r="G1794" s="8" t="n">
        <v>17</v>
      </c>
    </row>
    <row r="1795" customFormat="false" ht="17.35" hidden="false" customHeight="false" outlineLevel="0" collapsed="false">
      <c r="A1795" s="8" t="n">
        <v>1794</v>
      </c>
      <c r="B1795" s="9" t="s">
        <v>105</v>
      </c>
      <c r="C1795" s="8" t="n">
        <v>18</v>
      </c>
      <c r="D1795" s="9" t="str">
        <f aca="false">INDEX(Radicals!$B$2:$B$215,MATCH(C1795,Radicals!$A$2:$A$215,0))</f>
        <v>刀</v>
      </c>
      <c r="E1795" s="10" t="str">
        <f aca="false">INDEX(Radicals!$G$2:$G$215,MATCH(C1795,Radicals!$A$2:$A$215,0))</f>
        <v>knife, sword</v>
      </c>
      <c r="F1795" s="8" t="n">
        <f aca="false">INDEX(Radicals!$D$2:$D$215,MATCH(C1795,Radicals!$A$2:$A$215,0))</f>
        <v>2</v>
      </c>
      <c r="G1795" s="8" t="n">
        <v>2</v>
      </c>
    </row>
    <row r="1796" customFormat="false" ht="17.35" hidden="false" customHeight="false" outlineLevel="0" collapsed="false">
      <c r="A1796" s="8" t="n">
        <v>1795</v>
      </c>
      <c r="B1796" s="9" t="s">
        <v>1070</v>
      </c>
      <c r="C1796" s="8" t="n">
        <v>207</v>
      </c>
      <c r="D1796" s="9" t="str">
        <f aca="false">INDEX(Radicals!$B$2:$B$215,MATCH(C1796,Radicals!$A$2:$A$215,0))</f>
        <v>鼓</v>
      </c>
      <c r="E1796" s="10" t="str">
        <f aca="false">INDEX(Radicals!$G$2:$G$215,MATCH(C1796,Radicals!$A$2:$A$215,0))</f>
        <v>drum</v>
      </c>
      <c r="F1796" s="8" t="n">
        <f aca="false">INDEX(Radicals!$D$2:$D$215,MATCH(C1796,Radicals!$A$2:$A$215,0))</f>
        <v>13</v>
      </c>
      <c r="G1796" s="8" t="n">
        <v>13</v>
      </c>
    </row>
    <row r="1797" customFormat="false" ht="17.35" hidden="false" customHeight="false" outlineLevel="0" collapsed="false">
      <c r="A1797" s="8" t="n">
        <v>1796</v>
      </c>
      <c r="B1797" s="9" t="s">
        <v>2776</v>
      </c>
      <c r="C1797" s="8" t="n">
        <v>145</v>
      </c>
      <c r="D1797" s="9" t="str">
        <f aca="false">INDEX(Radicals!$B$2:$B$215,MATCH(C1797,Radicals!$A$2:$A$215,0))</f>
        <v>衣</v>
      </c>
      <c r="E1797" s="10" t="str">
        <f aca="false">INDEX(Radicals!$G$2:$G$215,MATCH(C1797,Radicals!$A$2:$A$215,0))</f>
        <v>clothes</v>
      </c>
      <c r="F1797" s="8" t="n">
        <f aca="false">INDEX(Radicals!$D$2:$D$215,MATCH(C1797,Radicals!$A$2:$A$215,0))</f>
        <v>6</v>
      </c>
      <c r="G1797" s="8" t="n">
        <v>13</v>
      </c>
    </row>
    <row r="1798" customFormat="false" ht="17.35" hidden="false" customHeight="false" outlineLevel="0" collapsed="false">
      <c r="A1798" s="8" t="n">
        <v>1797</v>
      </c>
      <c r="B1798" s="9" t="s">
        <v>2777</v>
      </c>
      <c r="C1798" s="8" t="n">
        <v>196</v>
      </c>
      <c r="D1798" s="9" t="str">
        <f aca="false">INDEX(Radicals!$B$2:$B$215,MATCH(C1798,Radicals!$A$2:$A$215,0))</f>
        <v>鳥</v>
      </c>
      <c r="E1798" s="10" t="str">
        <f aca="false">INDEX(Radicals!$G$2:$G$215,MATCH(C1798,Radicals!$A$2:$A$215,0))</f>
        <v>bird</v>
      </c>
      <c r="F1798" s="8" t="n">
        <f aca="false">INDEX(Radicals!$D$2:$D$215,MATCH(C1798,Radicals!$A$2:$A$215,0))</f>
        <v>11</v>
      </c>
      <c r="G1798" s="8" t="n">
        <v>16</v>
      </c>
    </row>
    <row r="1799" customFormat="false" ht="17.35" hidden="false" customHeight="false" outlineLevel="0" collapsed="false">
      <c r="A1799" s="8" t="n">
        <v>1798</v>
      </c>
      <c r="B1799" s="9" t="s">
        <v>2778</v>
      </c>
      <c r="C1799" s="8" t="n">
        <v>118</v>
      </c>
      <c r="D1799" s="9" t="str">
        <f aca="false">INDEX(Radicals!$B$2:$B$215,MATCH(C1799,Radicals!$A$2:$A$215,0))</f>
        <v>竹</v>
      </c>
      <c r="E1799" s="10" t="str">
        <f aca="false">INDEX(Radicals!$G$2:$G$215,MATCH(C1799,Radicals!$A$2:$A$215,0))</f>
        <v>bamboo</v>
      </c>
      <c r="F1799" s="8" t="n">
        <f aca="false">INDEX(Radicals!$D$2:$D$215,MATCH(C1799,Radicals!$A$2:$A$215,0))</f>
        <v>6</v>
      </c>
      <c r="G1799" s="8" t="n">
        <v>11</v>
      </c>
    </row>
    <row r="1800" customFormat="false" ht="17.35" hidden="false" customHeight="false" outlineLevel="0" collapsed="false">
      <c r="A1800" s="8" t="n">
        <v>1799</v>
      </c>
      <c r="B1800" s="9" t="s">
        <v>2779</v>
      </c>
      <c r="C1800" s="8" t="n">
        <v>94</v>
      </c>
      <c r="D1800" s="9" t="str">
        <f aca="false">INDEX(Radicals!$B$2:$B$215,MATCH(C1800,Radicals!$A$2:$A$215,0))</f>
        <v>犬</v>
      </c>
      <c r="E1800" s="10" t="str">
        <f aca="false">INDEX(Radicals!$G$2:$G$215,MATCH(C1800,Radicals!$A$2:$A$215,0))</f>
        <v>dog</v>
      </c>
      <c r="F1800" s="8" t="n">
        <f aca="false">INDEX(Radicals!$D$2:$D$215,MATCH(C1800,Radicals!$A$2:$A$215,0))</f>
        <v>4</v>
      </c>
      <c r="G1800" s="8" t="n">
        <v>12</v>
      </c>
    </row>
    <row r="1801" customFormat="false" ht="17.35" hidden="false" customHeight="false" outlineLevel="0" collapsed="false">
      <c r="A1801" s="8" t="n">
        <v>1800</v>
      </c>
      <c r="B1801" s="9" t="s">
        <v>2780</v>
      </c>
      <c r="C1801" s="8" t="n">
        <v>32</v>
      </c>
      <c r="D1801" s="9" t="str">
        <f aca="false">INDEX(Radicals!$B$2:$B$215,MATCH(C1801,Radicals!$A$2:$A$215,0))</f>
        <v>土</v>
      </c>
      <c r="E1801" s="10" t="str">
        <f aca="false">INDEX(Radicals!$G$2:$G$215,MATCH(C1801,Radicals!$A$2:$A$215,0))</f>
        <v>earth, soil</v>
      </c>
      <c r="F1801" s="8" t="n">
        <f aca="false">INDEX(Radicals!$D$2:$D$215,MATCH(C1801,Radicals!$A$2:$A$215,0))</f>
        <v>3</v>
      </c>
      <c r="G1801" s="8" t="n">
        <v>13</v>
      </c>
    </row>
    <row r="1802" customFormat="false" ht="17.35" hidden="false" customHeight="false" outlineLevel="0" collapsed="false">
      <c r="A1802" s="8" t="n">
        <v>1801</v>
      </c>
      <c r="B1802" s="9" t="s">
        <v>2781</v>
      </c>
      <c r="C1802" s="8" t="n">
        <v>70</v>
      </c>
      <c r="D1802" s="9" t="str">
        <f aca="false">INDEX(Radicals!$B$2:$B$215,MATCH(C1802,Radicals!$A$2:$A$215,0))</f>
        <v>方</v>
      </c>
      <c r="E1802" s="10" t="str">
        <f aca="false">INDEX(Radicals!$G$2:$G$215,MATCH(C1802,Radicals!$A$2:$A$215,0))</f>
        <v>square, direction</v>
      </c>
      <c r="F1802" s="8" t="n">
        <f aca="false">INDEX(Radicals!$D$2:$D$215,MATCH(C1802,Radicals!$A$2:$A$215,0))</f>
        <v>4</v>
      </c>
      <c r="G1802" s="8" t="n">
        <v>11</v>
      </c>
    </row>
    <row r="1803" customFormat="false" ht="17.35" hidden="false" customHeight="false" outlineLevel="0" collapsed="false">
      <c r="A1803" s="8" t="n">
        <v>1802</v>
      </c>
      <c r="B1803" s="9" t="s">
        <v>309</v>
      </c>
      <c r="C1803" s="8" t="n">
        <v>57</v>
      </c>
      <c r="D1803" s="9" t="str">
        <f aca="false">INDEX(Radicals!$B$2:$B$215,MATCH(C1803,Radicals!$A$2:$A$215,0))</f>
        <v>弓</v>
      </c>
      <c r="E1803" s="10" t="str">
        <f aca="false">INDEX(Radicals!$G$2:$G$215,MATCH(C1803,Radicals!$A$2:$A$215,0))</f>
        <v>bow</v>
      </c>
      <c r="F1803" s="8" t="n">
        <f aca="false">INDEX(Radicals!$D$2:$D$215,MATCH(C1803,Radicals!$A$2:$A$215,0))</f>
        <v>3</v>
      </c>
      <c r="G1803" s="8" t="n">
        <v>3</v>
      </c>
    </row>
    <row r="1804" customFormat="false" ht="17.35" hidden="false" customHeight="false" outlineLevel="0" collapsed="false">
      <c r="A1804" s="8" t="n">
        <v>1803</v>
      </c>
      <c r="B1804" s="9" t="s">
        <v>2782</v>
      </c>
      <c r="C1804" s="8" t="n">
        <v>50</v>
      </c>
      <c r="D1804" s="9" t="str">
        <f aca="false">INDEX(Radicals!$B$2:$B$215,MATCH(C1804,Radicals!$A$2:$A$215,0))</f>
        <v>巾</v>
      </c>
      <c r="E1804" s="10" t="str">
        <f aca="false">INDEX(Radicals!$G$2:$G$215,MATCH(C1804,Radicals!$A$2:$A$215,0))</f>
        <v>turban, cloth</v>
      </c>
      <c r="F1804" s="8" t="n">
        <f aca="false">INDEX(Radicals!$D$2:$D$215,MATCH(C1804,Radicals!$A$2:$A$215,0))</f>
        <v>3</v>
      </c>
      <c r="G1804" s="8" t="n">
        <v>15</v>
      </c>
    </row>
    <row r="1805" customFormat="false" ht="17.35" hidden="false" customHeight="false" outlineLevel="0" collapsed="false">
      <c r="A1805" s="8" t="n">
        <v>1804</v>
      </c>
      <c r="B1805" s="9" t="s">
        <v>2783</v>
      </c>
      <c r="C1805" s="8" t="n">
        <v>130</v>
      </c>
      <c r="D1805" s="9" t="str">
        <f aca="false">INDEX(Radicals!$B$2:$B$215,MATCH(C1805,Radicals!$A$2:$A$215,0))</f>
        <v>肉</v>
      </c>
      <c r="E1805" s="10" t="str">
        <f aca="false">INDEX(Radicals!$G$2:$G$215,MATCH(C1805,Radicals!$A$2:$A$215,0))</f>
        <v>meat, flesh</v>
      </c>
      <c r="F1805" s="8" t="n">
        <f aca="false">INDEX(Radicals!$D$2:$D$215,MATCH(C1805,Radicals!$A$2:$A$215,0))</f>
        <v>6</v>
      </c>
      <c r="G1805" s="8" t="n">
        <v>14</v>
      </c>
    </row>
    <row r="1806" customFormat="false" ht="17.35" hidden="false" customHeight="false" outlineLevel="0" collapsed="false">
      <c r="A1806" s="8" t="n">
        <v>1805</v>
      </c>
      <c r="B1806" s="9" t="s">
        <v>2784</v>
      </c>
      <c r="C1806" s="8" t="n">
        <v>63</v>
      </c>
      <c r="D1806" s="9" t="str">
        <f aca="false">INDEX(Radicals!$B$2:$B$215,MATCH(C1806,Radicals!$A$2:$A$215,0))</f>
        <v>戶</v>
      </c>
      <c r="E1806" s="10" t="str">
        <f aca="false">INDEX(Radicals!$G$2:$G$215,MATCH(C1806,Radicals!$A$2:$A$215,0))</f>
        <v>door</v>
      </c>
      <c r="F1806" s="8" t="n">
        <f aca="false">INDEX(Radicals!$D$2:$D$215,MATCH(C1806,Radicals!$A$2:$A$215,0))</f>
        <v>4</v>
      </c>
      <c r="G1806" s="8" t="n">
        <v>10</v>
      </c>
    </row>
    <row r="1807" customFormat="false" ht="17.35" hidden="false" customHeight="false" outlineLevel="0" collapsed="false">
      <c r="A1807" s="8" t="n">
        <v>1806</v>
      </c>
      <c r="B1807" s="9" t="s">
        <v>2785</v>
      </c>
      <c r="C1807" s="8" t="n">
        <v>130</v>
      </c>
      <c r="D1807" s="9" t="str">
        <f aca="false">INDEX(Radicals!$B$2:$B$215,MATCH(C1807,Radicals!$A$2:$A$215,0))</f>
        <v>肉</v>
      </c>
      <c r="E1807" s="10" t="str">
        <f aca="false">INDEX(Radicals!$G$2:$G$215,MATCH(C1807,Radicals!$A$2:$A$215,0))</f>
        <v>meat, flesh</v>
      </c>
      <c r="F1807" s="8" t="n">
        <f aca="false">INDEX(Radicals!$D$2:$D$215,MATCH(C1807,Radicals!$A$2:$A$215,0))</f>
        <v>6</v>
      </c>
      <c r="G1807" s="8" t="n">
        <v>10</v>
      </c>
    </row>
    <row r="1808" customFormat="false" ht="17.35" hidden="false" customHeight="false" outlineLevel="0" collapsed="false">
      <c r="A1808" s="8" t="n">
        <v>1807</v>
      </c>
      <c r="B1808" s="9" t="s">
        <v>2786</v>
      </c>
      <c r="C1808" s="8" t="n">
        <v>130</v>
      </c>
      <c r="D1808" s="9" t="str">
        <f aca="false">INDEX(Radicals!$B$2:$B$215,MATCH(C1808,Radicals!$A$2:$A$215,0))</f>
        <v>肉</v>
      </c>
      <c r="E1808" s="10" t="str">
        <f aca="false">INDEX(Radicals!$G$2:$G$215,MATCH(C1808,Radicals!$A$2:$A$215,0))</f>
        <v>meat, flesh</v>
      </c>
      <c r="F1808" s="8" t="n">
        <f aca="false">INDEX(Radicals!$D$2:$D$215,MATCH(C1808,Radicals!$A$2:$A$215,0))</f>
        <v>6</v>
      </c>
      <c r="G1808" s="8" t="n">
        <v>13</v>
      </c>
    </row>
    <row r="1809" customFormat="false" ht="17.35" hidden="false" customHeight="false" outlineLevel="0" collapsed="false">
      <c r="A1809" s="8" t="n">
        <v>1808</v>
      </c>
      <c r="B1809" s="9" t="s">
        <v>2787</v>
      </c>
      <c r="C1809" s="8" t="n">
        <v>61</v>
      </c>
      <c r="D1809" s="9" t="str">
        <f aca="false">INDEX(Radicals!$B$2:$B$215,MATCH(C1809,Radicals!$A$2:$A$215,0))</f>
        <v>心</v>
      </c>
      <c r="E1809" s="10" t="str">
        <f aca="false">INDEX(Radicals!$G$2:$G$215,MATCH(C1809,Radicals!$A$2:$A$215,0))</f>
        <v>heart, mind</v>
      </c>
      <c r="F1809" s="8" t="n">
        <f aca="false">INDEX(Radicals!$D$2:$D$215,MATCH(C1809,Radicals!$A$2:$A$215,0))</f>
        <v>4</v>
      </c>
      <c r="G1809" s="8" t="n">
        <v>14</v>
      </c>
    </row>
    <row r="1810" customFormat="false" ht="17.35" hidden="false" customHeight="false" outlineLevel="0" collapsed="false">
      <c r="A1810" s="8" t="n">
        <v>1809</v>
      </c>
      <c r="B1810" s="9" t="s">
        <v>2788</v>
      </c>
      <c r="C1810" s="8" t="n">
        <v>75</v>
      </c>
      <c r="D1810" s="9" t="str">
        <f aca="false">INDEX(Radicals!$B$2:$B$215,MATCH(C1810,Radicals!$A$2:$A$215,0))</f>
        <v>木</v>
      </c>
      <c r="E1810" s="10" t="str">
        <f aca="false">INDEX(Radicals!$G$2:$G$215,MATCH(C1810,Radicals!$A$2:$A$215,0))</f>
        <v>tree, wood</v>
      </c>
      <c r="F1810" s="8" t="n">
        <f aca="false">INDEX(Radicals!$D$2:$D$215,MATCH(C1810,Radicals!$A$2:$A$215,0))</f>
        <v>4</v>
      </c>
      <c r="G1810" s="8" t="n">
        <v>15</v>
      </c>
    </row>
    <row r="1811" customFormat="false" ht="17.35" hidden="false" customHeight="false" outlineLevel="0" collapsed="false">
      <c r="A1811" s="8" t="n">
        <v>1810</v>
      </c>
      <c r="B1811" s="9" t="s">
        <v>2789</v>
      </c>
      <c r="C1811" s="8" t="n">
        <v>167</v>
      </c>
      <c r="D1811" s="9" t="str">
        <f aca="false">INDEX(Radicals!$B$2:$B$215,MATCH(C1811,Radicals!$A$2:$A$215,0))</f>
        <v>金</v>
      </c>
      <c r="E1811" s="10" t="str">
        <f aca="false">INDEX(Radicals!$G$2:$G$215,MATCH(C1811,Radicals!$A$2:$A$215,0))</f>
        <v>metal, gold</v>
      </c>
      <c r="F1811" s="8" t="n">
        <f aca="false">INDEX(Radicals!$D$2:$D$215,MATCH(C1811,Radicals!$A$2:$A$215,0))</f>
        <v>8</v>
      </c>
      <c r="G1811" s="8" t="n">
        <v>17</v>
      </c>
    </row>
    <row r="1812" customFormat="false" ht="17.35" hidden="false" customHeight="false" outlineLevel="0" collapsed="false">
      <c r="A1812" s="8" t="n">
        <v>1811</v>
      </c>
      <c r="B1812" s="9" t="s">
        <v>2790</v>
      </c>
      <c r="C1812" s="8" t="n">
        <v>61</v>
      </c>
      <c r="D1812" s="9" t="str">
        <f aca="false">INDEX(Radicals!$B$2:$B$215,MATCH(C1812,Radicals!$A$2:$A$215,0))</f>
        <v>心</v>
      </c>
      <c r="E1812" s="10" t="str">
        <f aca="false">INDEX(Radicals!$G$2:$G$215,MATCH(C1812,Radicals!$A$2:$A$215,0))</f>
        <v>heart, mind</v>
      </c>
      <c r="F1812" s="8" t="n">
        <f aca="false">INDEX(Radicals!$D$2:$D$215,MATCH(C1812,Radicals!$A$2:$A$215,0))</f>
        <v>4</v>
      </c>
      <c r="G1812" s="8" t="n">
        <v>13</v>
      </c>
    </row>
    <row r="1813" customFormat="false" ht="17.35" hidden="false" customHeight="false" outlineLevel="0" collapsed="false">
      <c r="A1813" s="8" t="n">
        <v>1812</v>
      </c>
      <c r="B1813" s="9" t="s">
        <v>573</v>
      </c>
      <c r="C1813" s="8" t="n">
        <v>108</v>
      </c>
      <c r="D1813" s="9" t="str">
        <f aca="false">INDEX(Radicals!$B$2:$B$215,MATCH(C1813,Radicals!$A$2:$A$215,0))</f>
        <v>皿</v>
      </c>
      <c r="E1813" s="10" t="str">
        <f aca="false">INDEX(Radicals!$G$2:$G$215,MATCH(C1813,Radicals!$A$2:$A$215,0))</f>
        <v>dish</v>
      </c>
      <c r="F1813" s="8" t="n">
        <f aca="false">INDEX(Radicals!$D$2:$D$215,MATCH(C1813,Radicals!$A$2:$A$215,0))</f>
        <v>5</v>
      </c>
      <c r="G1813" s="8" t="n">
        <v>5</v>
      </c>
    </row>
    <row r="1814" customFormat="false" ht="17.35" hidden="false" customHeight="false" outlineLevel="0" collapsed="false">
      <c r="A1814" s="8" t="n">
        <v>1813</v>
      </c>
      <c r="B1814" s="9" t="s">
        <v>2791</v>
      </c>
      <c r="C1814" s="8" t="n">
        <v>130</v>
      </c>
      <c r="D1814" s="9" t="str">
        <f aca="false">INDEX(Radicals!$B$2:$B$215,MATCH(C1814,Radicals!$A$2:$A$215,0))</f>
        <v>肉</v>
      </c>
      <c r="E1814" s="10" t="str">
        <f aca="false">INDEX(Radicals!$G$2:$G$215,MATCH(C1814,Radicals!$A$2:$A$215,0))</f>
        <v>meat, flesh</v>
      </c>
      <c r="F1814" s="8" t="n">
        <f aca="false">INDEX(Radicals!$D$2:$D$215,MATCH(C1814,Radicals!$A$2:$A$215,0))</f>
        <v>6</v>
      </c>
      <c r="G1814" s="8" t="n">
        <v>8</v>
      </c>
    </row>
    <row r="1815" customFormat="false" ht="17.35" hidden="false" customHeight="false" outlineLevel="0" collapsed="false">
      <c r="A1815" s="8" t="n">
        <v>1814</v>
      </c>
      <c r="B1815" s="9" t="s">
        <v>2792</v>
      </c>
      <c r="C1815" s="8" t="n">
        <v>75</v>
      </c>
      <c r="D1815" s="9" t="str">
        <f aca="false">INDEX(Radicals!$B$2:$B$215,MATCH(C1815,Radicals!$A$2:$A$215,0))</f>
        <v>木</v>
      </c>
      <c r="E1815" s="10" t="str">
        <f aca="false">INDEX(Radicals!$G$2:$G$215,MATCH(C1815,Radicals!$A$2:$A$215,0))</f>
        <v>tree, wood</v>
      </c>
      <c r="F1815" s="8" t="n">
        <f aca="false">INDEX(Radicals!$D$2:$D$215,MATCH(C1815,Radicals!$A$2:$A$215,0))</f>
        <v>4</v>
      </c>
      <c r="G1815" s="8" t="n">
        <v>14</v>
      </c>
    </row>
    <row r="1816" customFormat="false" ht="17.35" hidden="false" customHeight="false" outlineLevel="0" collapsed="false">
      <c r="A1816" s="8" t="n">
        <v>1815</v>
      </c>
      <c r="B1816" s="9" t="s">
        <v>2793</v>
      </c>
      <c r="C1816" s="8" t="n">
        <v>75</v>
      </c>
      <c r="D1816" s="9" t="str">
        <f aca="false">INDEX(Radicals!$B$2:$B$215,MATCH(C1816,Radicals!$A$2:$A$215,0))</f>
        <v>木</v>
      </c>
      <c r="E1816" s="10" t="str">
        <f aca="false">INDEX(Radicals!$G$2:$G$215,MATCH(C1816,Radicals!$A$2:$A$215,0))</f>
        <v>tree, wood</v>
      </c>
      <c r="F1816" s="8" t="n">
        <f aca="false">INDEX(Radicals!$D$2:$D$215,MATCH(C1816,Radicals!$A$2:$A$215,0))</f>
        <v>4</v>
      </c>
      <c r="G1816" s="8" t="n">
        <v>13</v>
      </c>
    </row>
    <row r="1817" customFormat="false" ht="17.35" hidden="false" customHeight="false" outlineLevel="0" collapsed="false">
      <c r="A1817" s="8" t="n">
        <v>1816</v>
      </c>
      <c r="B1817" s="9" t="s">
        <v>2794</v>
      </c>
      <c r="C1817" s="8" t="n">
        <v>9</v>
      </c>
      <c r="D1817" s="9" t="str">
        <f aca="false">INDEX(Radicals!$B$2:$B$215,MATCH(C1817,Radicals!$A$2:$A$215,0))</f>
        <v>人</v>
      </c>
      <c r="E1817" s="10" t="str">
        <f aca="false">INDEX(Radicals!$G$2:$G$215,MATCH(C1817,Radicals!$A$2:$A$215,0))</f>
        <v>person</v>
      </c>
      <c r="F1817" s="8" t="n">
        <f aca="false">INDEX(Radicals!$D$2:$D$215,MATCH(C1817,Radicals!$A$2:$A$215,0))</f>
        <v>2</v>
      </c>
      <c r="G1817" s="8" t="n">
        <v>6</v>
      </c>
    </row>
    <row r="1818" customFormat="false" ht="17.35" hidden="false" customHeight="false" outlineLevel="0" collapsed="false">
      <c r="A1818" s="8" t="n">
        <v>1817</v>
      </c>
      <c r="B1818" s="9" t="s">
        <v>2795</v>
      </c>
      <c r="C1818" s="8" t="n">
        <v>187</v>
      </c>
      <c r="D1818" s="9" t="str">
        <f aca="false">INDEX(Radicals!$B$2:$B$215,MATCH(C1818,Radicals!$A$2:$A$215,0))</f>
        <v>馬</v>
      </c>
      <c r="E1818" s="10" t="str">
        <f aca="false">INDEX(Radicals!$G$2:$G$215,MATCH(C1818,Radicals!$A$2:$A$215,0))</f>
        <v>horse</v>
      </c>
      <c r="F1818" s="8" t="n">
        <f aca="false">INDEX(Radicals!$D$2:$D$215,MATCH(C1818,Radicals!$A$2:$A$215,0))</f>
        <v>10</v>
      </c>
      <c r="G1818" s="8" t="n">
        <v>17</v>
      </c>
    </row>
    <row r="1819" customFormat="false" ht="17.35" hidden="false" customHeight="false" outlineLevel="0" collapsed="false">
      <c r="A1819" s="8" t="n">
        <v>1818</v>
      </c>
      <c r="B1819" s="9" t="s">
        <v>2796</v>
      </c>
      <c r="C1819" s="8" t="n">
        <v>85</v>
      </c>
      <c r="D1819" s="9" t="str">
        <f aca="false">INDEX(Radicals!$B$2:$B$215,MATCH(C1819,Radicals!$A$2:$A$215,0))</f>
        <v>水</v>
      </c>
      <c r="E1819" s="10" t="str">
        <f aca="false">INDEX(Radicals!$G$2:$G$215,MATCH(C1819,Radicals!$A$2:$A$215,0))</f>
        <v>water</v>
      </c>
      <c r="F1819" s="8" t="n">
        <f aca="false">INDEX(Radicals!$D$2:$D$215,MATCH(C1819,Radicals!$A$2:$A$215,0))</f>
        <v>4</v>
      </c>
      <c r="G1819" s="8" t="n">
        <v>14</v>
      </c>
    </row>
    <row r="1820" customFormat="false" ht="17.35" hidden="false" customHeight="false" outlineLevel="0" collapsed="false">
      <c r="A1820" s="8" t="n">
        <v>1819</v>
      </c>
      <c r="B1820" s="9" t="s">
        <v>2797</v>
      </c>
      <c r="C1820" s="8" t="n">
        <v>86</v>
      </c>
      <c r="D1820" s="9" t="str">
        <f aca="false">INDEX(Radicals!$B$2:$B$215,MATCH(C1820,Radicals!$A$2:$A$215,0))</f>
        <v>火</v>
      </c>
      <c r="E1820" s="10" t="str">
        <f aca="false">INDEX(Radicals!$G$2:$G$215,MATCH(C1820,Radicals!$A$2:$A$215,0))</f>
        <v>fire</v>
      </c>
      <c r="F1820" s="8" t="n">
        <f aca="false">INDEX(Radicals!$D$2:$D$215,MATCH(C1820,Radicals!$A$2:$A$215,0))</f>
        <v>4</v>
      </c>
      <c r="G1820" s="8" t="n">
        <v>17</v>
      </c>
    </row>
    <row r="1821" customFormat="false" ht="17.35" hidden="false" customHeight="false" outlineLevel="0" collapsed="false">
      <c r="A1821" s="8" t="n">
        <v>1820</v>
      </c>
      <c r="B1821" s="9" t="s">
        <v>2798</v>
      </c>
      <c r="C1821" s="8" t="n">
        <v>120</v>
      </c>
      <c r="D1821" s="9" t="str">
        <f aca="false">INDEX(Radicals!$B$2:$B$215,MATCH(C1821,Radicals!$A$2:$A$215,0))</f>
        <v>糸</v>
      </c>
      <c r="E1821" s="10" t="str">
        <f aca="false">INDEX(Radicals!$G$2:$G$215,MATCH(C1821,Radicals!$A$2:$A$215,0))</f>
        <v>thread, silk</v>
      </c>
      <c r="F1821" s="8" t="n">
        <f aca="false">INDEX(Radicals!$D$2:$D$215,MATCH(C1821,Radicals!$A$2:$A$215,0))</f>
        <v>6</v>
      </c>
      <c r="G1821" s="8" t="n">
        <v>9</v>
      </c>
    </row>
    <row r="1822" customFormat="false" ht="17.35" hidden="false" customHeight="false" outlineLevel="0" collapsed="false">
      <c r="A1822" s="8" t="n">
        <v>1821</v>
      </c>
      <c r="B1822" s="9" t="s">
        <v>2799</v>
      </c>
      <c r="C1822" s="8" t="n">
        <v>8</v>
      </c>
      <c r="D1822" s="9" t="str">
        <f aca="false">INDEX(Radicals!$B$2:$B$215,MATCH(C1822,Radicals!$A$2:$A$215,0))</f>
        <v>亠</v>
      </c>
      <c r="E1822" s="10" t="str">
        <f aca="false">INDEX(Radicals!$G$2:$G$215,MATCH(C1822,Radicals!$A$2:$A$215,0))</f>
        <v>lid, top</v>
      </c>
      <c r="F1822" s="8" t="n">
        <f aca="false">INDEX(Radicals!$D$2:$D$215,MATCH(C1822,Radicals!$A$2:$A$215,0))</f>
        <v>2</v>
      </c>
      <c r="G1822" s="8" t="n">
        <v>9</v>
      </c>
    </row>
    <row r="1823" customFormat="false" ht="17.35" hidden="false" customHeight="false" outlineLevel="0" collapsed="false">
      <c r="A1823" s="8" t="n">
        <v>1822</v>
      </c>
      <c r="B1823" s="9" t="s">
        <v>2800</v>
      </c>
      <c r="C1823" s="8" t="n">
        <v>32</v>
      </c>
      <c r="D1823" s="9" t="str">
        <f aca="false">INDEX(Radicals!$B$2:$B$215,MATCH(C1823,Radicals!$A$2:$A$215,0))</f>
        <v>土</v>
      </c>
      <c r="E1823" s="10" t="str">
        <f aca="false">INDEX(Radicals!$G$2:$G$215,MATCH(C1823,Radicals!$A$2:$A$215,0))</f>
        <v>earth, soil</v>
      </c>
      <c r="F1823" s="8" t="n">
        <f aca="false">INDEX(Radicals!$D$2:$D$215,MATCH(C1823,Radicals!$A$2:$A$215,0))</f>
        <v>3</v>
      </c>
      <c r="G1823" s="8" t="n">
        <v>15</v>
      </c>
    </row>
    <row r="1824" customFormat="false" ht="17.35" hidden="false" customHeight="false" outlineLevel="0" collapsed="false">
      <c r="A1824" s="8" t="n">
        <v>1823</v>
      </c>
      <c r="B1824" s="9" t="s">
        <v>2801</v>
      </c>
      <c r="C1824" s="8" t="n">
        <v>32</v>
      </c>
      <c r="D1824" s="9" t="str">
        <f aca="false">INDEX(Radicals!$B$2:$B$215,MATCH(C1824,Radicals!$A$2:$A$215,0))</f>
        <v>土</v>
      </c>
      <c r="E1824" s="10" t="str">
        <f aca="false">INDEX(Radicals!$G$2:$G$215,MATCH(C1824,Radicals!$A$2:$A$215,0))</f>
        <v>earth, soil</v>
      </c>
      <c r="F1824" s="8" t="n">
        <f aca="false">INDEX(Radicals!$D$2:$D$215,MATCH(C1824,Radicals!$A$2:$A$215,0))</f>
        <v>3</v>
      </c>
      <c r="G1824" s="8" t="n">
        <v>8</v>
      </c>
    </row>
    <row r="1825" customFormat="false" ht="17.35" hidden="false" customHeight="false" outlineLevel="0" collapsed="false">
      <c r="A1825" s="8" t="n">
        <v>1824</v>
      </c>
      <c r="B1825" s="9" t="s">
        <v>2802</v>
      </c>
      <c r="C1825" s="8" t="n">
        <v>102</v>
      </c>
      <c r="D1825" s="9" t="str">
        <f aca="false">INDEX(Radicals!$B$2:$B$215,MATCH(C1825,Radicals!$A$2:$A$215,0))</f>
        <v>田</v>
      </c>
      <c r="E1825" s="10" t="str">
        <f aca="false">INDEX(Radicals!$G$2:$G$215,MATCH(C1825,Radicals!$A$2:$A$215,0))</f>
        <v>field, paddy</v>
      </c>
      <c r="F1825" s="8" t="n">
        <f aca="false">INDEX(Radicals!$D$2:$D$215,MATCH(C1825,Radicals!$A$2:$A$215,0))</f>
        <v>5</v>
      </c>
      <c r="G1825" s="8" t="n">
        <v>10</v>
      </c>
    </row>
    <row r="1826" customFormat="false" ht="17.35" hidden="false" customHeight="false" outlineLevel="0" collapsed="false">
      <c r="A1826" s="8" t="n">
        <v>1825</v>
      </c>
      <c r="B1826" s="9" t="s">
        <v>2803</v>
      </c>
      <c r="C1826" s="8" t="n">
        <v>120</v>
      </c>
      <c r="D1826" s="9" t="str">
        <f aca="false">INDEX(Radicals!$B$2:$B$215,MATCH(C1826,Radicals!$A$2:$A$215,0))</f>
        <v>糸</v>
      </c>
      <c r="E1826" s="10" t="str">
        <f aca="false">INDEX(Radicals!$G$2:$G$215,MATCH(C1826,Radicals!$A$2:$A$215,0))</f>
        <v>thread, silk</v>
      </c>
      <c r="F1826" s="8" t="n">
        <f aca="false">INDEX(Radicals!$D$2:$D$215,MATCH(C1826,Radicals!$A$2:$A$215,0))</f>
        <v>6</v>
      </c>
      <c r="G1826" s="8" t="n">
        <v>11</v>
      </c>
    </row>
    <row r="1827" customFormat="false" ht="17.35" hidden="false" customHeight="false" outlineLevel="0" collapsed="false">
      <c r="A1827" s="8" t="n">
        <v>1826</v>
      </c>
      <c r="B1827" s="9" t="s">
        <v>2804</v>
      </c>
      <c r="C1827" s="8" t="n">
        <v>61</v>
      </c>
      <c r="D1827" s="9" t="str">
        <f aca="false">INDEX(Radicals!$B$2:$B$215,MATCH(C1827,Radicals!$A$2:$A$215,0))</f>
        <v>心</v>
      </c>
      <c r="E1827" s="10" t="str">
        <f aca="false">INDEX(Radicals!$G$2:$G$215,MATCH(C1827,Radicals!$A$2:$A$215,0))</f>
        <v>heart, mind</v>
      </c>
      <c r="F1827" s="8" t="n">
        <f aca="false">INDEX(Radicals!$D$2:$D$215,MATCH(C1827,Radicals!$A$2:$A$215,0))</f>
        <v>4</v>
      </c>
      <c r="G1827" s="8" t="n">
        <v>12</v>
      </c>
    </row>
    <row r="1828" customFormat="false" ht="17.35" hidden="false" customHeight="false" outlineLevel="0" collapsed="false">
      <c r="A1828" s="8" t="n">
        <v>1827</v>
      </c>
      <c r="B1828" s="9" t="s">
        <v>2805</v>
      </c>
      <c r="C1828" s="8" t="n">
        <v>38</v>
      </c>
      <c r="D1828" s="9" t="str">
        <f aca="false">INDEX(Radicals!$B$2:$B$215,MATCH(C1828,Radicals!$A$2:$A$215,0))</f>
        <v>女</v>
      </c>
      <c r="E1828" s="10" t="str">
        <f aca="false">INDEX(Radicals!$G$2:$G$215,MATCH(C1828,Radicals!$A$2:$A$215,0))</f>
        <v>woman</v>
      </c>
      <c r="F1828" s="8" t="n">
        <f aca="false">INDEX(Radicals!$D$2:$D$215,MATCH(C1828,Radicals!$A$2:$A$215,0))</f>
        <v>3</v>
      </c>
      <c r="G1828" s="8" t="n">
        <v>10</v>
      </c>
    </row>
    <row r="1829" customFormat="false" ht="17.35" hidden="false" customHeight="false" outlineLevel="0" collapsed="false">
      <c r="A1829" s="8" t="n">
        <v>1828</v>
      </c>
      <c r="B1829" s="9" t="s">
        <v>2806</v>
      </c>
      <c r="C1829" s="8" t="n">
        <v>30</v>
      </c>
      <c r="D1829" s="9" t="str">
        <f aca="false">INDEX(Radicals!$B$2:$B$215,MATCH(C1829,Radicals!$A$2:$A$215,0))</f>
        <v>口</v>
      </c>
      <c r="E1829" s="10" t="str">
        <f aca="false">INDEX(Radicals!$G$2:$G$215,MATCH(C1829,Radicals!$A$2:$A$215,0))</f>
        <v>mouth</v>
      </c>
      <c r="F1829" s="8" t="n">
        <f aca="false">INDEX(Radicals!$D$2:$D$215,MATCH(C1829,Radicals!$A$2:$A$215,0))</f>
        <v>3</v>
      </c>
      <c r="G1829" s="8" t="n">
        <v>7</v>
      </c>
    </row>
    <row r="1830" customFormat="false" ht="17.35" hidden="false" customHeight="false" outlineLevel="0" collapsed="false">
      <c r="A1830" s="8" t="n">
        <v>1829</v>
      </c>
      <c r="B1830" s="9" t="s">
        <v>2807</v>
      </c>
      <c r="C1830" s="8" t="n">
        <v>75</v>
      </c>
      <c r="D1830" s="9" t="str">
        <f aca="false">INDEX(Radicals!$B$2:$B$215,MATCH(C1830,Radicals!$A$2:$A$215,0))</f>
        <v>木</v>
      </c>
      <c r="E1830" s="10" t="str">
        <f aca="false">INDEX(Radicals!$G$2:$G$215,MATCH(C1830,Radicals!$A$2:$A$215,0))</f>
        <v>tree, wood</v>
      </c>
      <c r="F1830" s="8" t="n">
        <f aca="false">INDEX(Radicals!$D$2:$D$215,MATCH(C1830,Radicals!$A$2:$A$215,0))</f>
        <v>4</v>
      </c>
      <c r="G1830" s="8" t="n">
        <v>13</v>
      </c>
    </row>
    <row r="1831" customFormat="false" ht="17.35" hidden="false" customHeight="false" outlineLevel="0" collapsed="false">
      <c r="A1831" s="8" t="n">
        <v>1830</v>
      </c>
      <c r="B1831" s="9" t="s">
        <v>713</v>
      </c>
      <c r="C1831" s="8" t="n">
        <v>135</v>
      </c>
      <c r="D1831" s="9" t="str">
        <f aca="false">INDEX(Radicals!$B$2:$B$215,MATCH(C1831,Radicals!$A$2:$A$215,0))</f>
        <v>舌</v>
      </c>
      <c r="E1831" s="10" t="str">
        <f aca="false">INDEX(Radicals!$G$2:$G$215,MATCH(C1831,Radicals!$A$2:$A$215,0))</f>
        <v>tongue</v>
      </c>
      <c r="F1831" s="8" t="n">
        <f aca="false">INDEX(Radicals!$D$2:$D$215,MATCH(C1831,Radicals!$A$2:$A$215,0))</f>
        <v>6</v>
      </c>
      <c r="G1831" s="8" t="n">
        <v>6</v>
      </c>
    </row>
    <row r="1832" customFormat="false" ht="17.35" hidden="false" customHeight="false" outlineLevel="0" collapsed="false">
      <c r="A1832" s="8" t="n">
        <v>1831</v>
      </c>
      <c r="B1832" s="9" t="s">
        <v>2808</v>
      </c>
      <c r="C1832" s="8" t="n">
        <v>122</v>
      </c>
      <c r="D1832" s="9" t="str">
        <f aca="false">INDEX(Radicals!$B$2:$B$215,MATCH(C1832,Radicals!$A$2:$A$215,0))</f>
        <v>网</v>
      </c>
      <c r="E1832" s="10" t="str">
        <f aca="false">INDEX(Radicals!$G$2:$G$215,MATCH(C1832,Radicals!$A$2:$A$215,0))</f>
        <v>net</v>
      </c>
      <c r="F1832" s="8" t="n">
        <f aca="false">INDEX(Radicals!$D$2:$D$215,MATCH(C1832,Radicals!$A$2:$A$215,0))</f>
        <v>6</v>
      </c>
      <c r="G1832" s="8" t="n">
        <v>19</v>
      </c>
    </row>
    <row r="1833" customFormat="false" ht="17.35" hidden="false" customHeight="false" outlineLevel="0" collapsed="false">
      <c r="A1833" s="8" t="n">
        <v>1832</v>
      </c>
      <c r="B1833" s="9" t="s">
        <v>2809</v>
      </c>
      <c r="C1833" s="8" t="n">
        <v>32</v>
      </c>
      <c r="D1833" s="9" t="str">
        <f aca="false">INDEX(Radicals!$B$2:$B$215,MATCH(C1833,Radicals!$A$2:$A$215,0))</f>
        <v>土</v>
      </c>
      <c r="E1833" s="10" t="str">
        <f aca="false">INDEX(Radicals!$G$2:$G$215,MATCH(C1833,Radicals!$A$2:$A$215,0))</f>
        <v>earth, soil</v>
      </c>
      <c r="F1833" s="8" t="n">
        <f aca="false">INDEX(Radicals!$D$2:$D$215,MATCH(C1833,Radicals!$A$2:$A$215,0))</f>
        <v>3</v>
      </c>
      <c r="G1833" s="8" t="n">
        <v>7</v>
      </c>
    </row>
    <row r="1834" customFormat="false" ht="17.35" hidden="false" customHeight="false" outlineLevel="0" collapsed="false">
      <c r="A1834" s="8" t="n">
        <v>1833</v>
      </c>
      <c r="B1834" s="9" t="s">
        <v>2810</v>
      </c>
      <c r="C1834" s="8" t="n">
        <v>46</v>
      </c>
      <c r="D1834" s="9" t="str">
        <f aca="false">INDEX(Radicals!$B$2:$B$215,MATCH(C1834,Radicals!$A$2:$A$215,0))</f>
        <v>山</v>
      </c>
      <c r="E1834" s="10" t="str">
        <f aca="false">INDEX(Radicals!$G$2:$G$215,MATCH(C1834,Radicals!$A$2:$A$215,0))</f>
        <v>mountain</v>
      </c>
      <c r="F1834" s="8" t="n">
        <f aca="false">INDEX(Radicals!$D$2:$D$215,MATCH(C1834,Radicals!$A$2:$A$215,0))</f>
        <v>3</v>
      </c>
      <c r="G1834" s="8" t="n">
        <v>9</v>
      </c>
    </row>
    <row r="1835" customFormat="false" ht="17.35" hidden="false" customHeight="false" outlineLevel="0" collapsed="false">
      <c r="A1835" s="8" t="n">
        <v>1834</v>
      </c>
      <c r="B1835" s="9" t="s">
        <v>2811</v>
      </c>
      <c r="C1835" s="8" t="n">
        <v>9</v>
      </c>
      <c r="D1835" s="9" t="str">
        <f aca="false">INDEX(Radicals!$B$2:$B$215,MATCH(C1835,Radicals!$A$2:$A$215,0))</f>
        <v>人</v>
      </c>
      <c r="E1835" s="10" t="str">
        <f aca="false">INDEX(Radicals!$G$2:$G$215,MATCH(C1835,Radicals!$A$2:$A$215,0))</f>
        <v>person</v>
      </c>
      <c r="F1835" s="8" t="n">
        <f aca="false">INDEX(Radicals!$D$2:$D$215,MATCH(C1835,Radicals!$A$2:$A$215,0))</f>
        <v>2</v>
      </c>
      <c r="G1835" s="8" t="n">
        <v>10</v>
      </c>
    </row>
    <row r="1836" customFormat="false" ht="17.35" hidden="false" customHeight="false" outlineLevel="0" collapsed="false">
      <c r="A1836" s="8" t="n">
        <v>1835</v>
      </c>
      <c r="B1836" s="9" t="s">
        <v>2812</v>
      </c>
      <c r="C1836" s="8" t="n">
        <v>27</v>
      </c>
      <c r="D1836" s="9" t="str">
        <f aca="false">INDEX(Radicals!$B$2:$B$215,MATCH(C1836,Radicals!$A$2:$A$215,0))</f>
        <v>厂</v>
      </c>
      <c r="E1836" s="10" t="str">
        <f aca="false">INDEX(Radicals!$G$2:$G$215,MATCH(C1836,Radicals!$A$2:$A$215,0))</f>
        <v>cliff</v>
      </c>
      <c r="F1836" s="8" t="n">
        <f aca="false">INDEX(Radicals!$D$2:$D$215,MATCH(C1836,Radicals!$A$2:$A$215,0))</f>
        <v>2</v>
      </c>
      <c r="G1836" s="8" t="n">
        <v>9</v>
      </c>
    </row>
    <row r="1837" customFormat="false" ht="17.35" hidden="false" customHeight="false" outlineLevel="0" collapsed="false">
      <c r="A1837" s="8" t="n">
        <v>1836</v>
      </c>
      <c r="B1837" s="9" t="s">
        <v>2813</v>
      </c>
      <c r="C1837" s="8" t="n">
        <v>46</v>
      </c>
      <c r="D1837" s="9" t="str">
        <f aca="false">INDEX(Radicals!$B$2:$B$215,MATCH(C1837,Radicals!$A$2:$A$215,0))</f>
        <v>山</v>
      </c>
      <c r="E1837" s="10" t="str">
        <f aca="false">INDEX(Radicals!$G$2:$G$215,MATCH(C1837,Radicals!$A$2:$A$215,0))</f>
        <v>mountain</v>
      </c>
      <c r="F1837" s="8" t="n">
        <f aca="false">INDEX(Radicals!$D$2:$D$215,MATCH(C1837,Radicals!$A$2:$A$215,0))</f>
        <v>3</v>
      </c>
      <c r="G1837" s="8" t="n">
        <v>10</v>
      </c>
    </row>
    <row r="1838" customFormat="false" ht="17.35" hidden="false" customHeight="false" outlineLevel="0" collapsed="false">
      <c r="A1838" s="8" t="n">
        <v>1837</v>
      </c>
      <c r="B1838" s="9" t="s">
        <v>2814</v>
      </c>
      <c r="C1838" s="8" t="n">
        <v>32</v>
      </c>
      <c r="D1838" s="9" t="str">
        <f aca="false">INDEX(Radicals!$B$2:$B$215,MATCH(C1838,Radicals!$A$2:$A$215,0))</f>
        <v>土</v>
      </c>
      <c r="E1838" s="10" t="str">
        <f aca="false">INDEX(Radicals!$G$2:$G$215,MATCH(C1838,Radicals!$A$2:$A$215,0))</f>
        <v>earth, soil</v>
      </c>
      <c r="F1838" s="8" t="n">
        <f aca="false">INDEX(Radicals!$D$2:$D$215,MATCH(C1838,Radicals!$A$2:$A$215,0))</f>
        <v>3</v>
      </c>
      <c r="G1838" s="8" t="n">
        <v>6</v>
      </c>
    </row>
    <row r="1839" customFormat="false" ht="17.35" hidden="false" customHeight="false" outlineLevel="0" collapsed="false">
      <c r="A1839" s="8" t="n">
        <v>1838</v>
      </c>
      <c r="B1839" s="9" t="s">
        <v>2815</v>
      </c>
      <c r="C1839" s="8" t="n">
        <v>164</v>
      </c>
      <c r="D1839" s="9" t="str">
        <f aca="false">INDEX(Radicals!$B$2:$B$215,MATCH(C1839,Radicals!$A$2:$A$215,0))</f>
        <v>酉</v>
      </c>
      <c r="E1839" s="10" t="str">
        <f aca="false">INDEX(Radicals!$G$2:$G$215,MATCH(C1839,Radicals!$A$2:$A$215,0))</f>
        <v>wine, 10th zodiac sign (rooster)</v>
      </c>
      <c r="F1839" s="8" t="n">
        <f aca="false">INDEX(Radicals!$D$2:$D$215,MATCH(C1839,Radicals!$A$2:$A$215,0))</f>
        <v>7</v>
      </c>
      <c r="G1839" s="8" t="n">
        <v>20</v>
      </c>
    </row>
    <row r="1840" customFormat="false" ht="17.35" hidden="false" customHeight="false" outlineLevel="0" collapsed="false">
      <c r="A1840" s="8" t="n">
        <v>1839</v>
      </c>
      <c r="B1840" s="9" t="s">
        <v>2816</v>
      </c>
      <c r="C1840" s="8" t="n">
        <v>140</v>
      </c>
      <c r="D1840" s="9" t="str">
        <f aca="false">INDEX(Radicals!$B$2:$B$215,MATCH(C1840,Radicals!$A$2:$A$215,0))</f>
        <v>艸</v>
      </c>
      <c r="E1840" s="10" t="str">
        <f aca="false">INDEX(Radicals!$G$2:$G$215,MATCH(C1840,Radicals!$A$2:$A$215,0))</f>
        <v>grass, plant</v>
      </c>
      <c r="F1840" s="8" t="n">
        <f aca="false">INDEX(Radicals!$D$2:$D$215,MATCH(C1840,Radicals!$A$2:$A$215,0))</f>
        <v>6</v>
      </c>
      <c r="G1840" s="8" t="n">
        <v>13</v>
      </c>
    </row>
    <row r="1841" customFormat="false" ht="17.35" hidden="false" customHeight="false" outlineLevel="0" collapsed="false">
      <c r="A1841" s="8" t="n">
        <v>1840</v>
      </c>
      <c r="B1841" s="9" t="s">
        <v>2817</v>
      </c>
      <c r="C1841" s="8" t="n">
        <v>57</v>
      </c>
      <c r="D1841" s="9" t="str">
        <f aca="false">INDEX(Radicals!$B$2:$B$215,MATCH(C1841,Radicals!$A$2:$A$215,0))</f>
        <v>弓</v>
      </c>
      <c r="E1841" s="10" t="str">
        <f aca="false">INDEX(Radicals!$G$2:$G$215,MATCH(C1841,Radicals!$A$2:$A$215,0))</f>
        <v>bow</v>
      </c>
      <c r="F1841" s="8" t="n">
        <f aca="false">INDEX(Radicals!$D$2:$D$215,MATCH(C1841,Radicals!$A$2:$A$215,0))</f>
        <v>3</v>
      </c>
      <c r="G1841" s="8" t="n">
        <v>4</v>
      </c>
    </row>
    <row r="1842" customFormat="false" ht="17.35" hidden="false" customHeight="false" outlineLevel="0" collapsed="false">
      <c r="A1842" s="8" t="n">
        <v>1841</v>
      </c>
      <c r="B1842" s="9" t="s">
        <v>31</v>
      </c>
      <c r="C1842" s="8" t="n">
        <v>5</v>
      </c>
      <c r="D1842" s="9" t="str">
        <f aca="false">INDEX(Radicals!$B$2:$B$215,MATCH(C1842,Radicals!$A$2:$A$215,0))</f>
        <v>乙</v>
      </c>
      <c r="E1842" s="10" t="str">
        <f aca="false">INDEX(Radicals!$G$2:$G$215,MATCH(C1842,Radicals!$A$2:$A$215,0))</f>
        <v>second, hook</v>
      </c>
      <c r="F1842" s="8" t="n">
        <f aca="false">INDEX(Radicals!$D$2:$D$215,MATCH(C1842,Radicals!$A$2:$A$215,0))</f>
        <v>1</v>
      </c>
      <c r="G1842" s="8" t="n">
        <v>1</v>
      </c>
    </row>
    <row r="1843" customFormat="false" ht="17.35" hidden="false" customHeight="false" outlineLevel="0" collapsed="false">
      <c r="A1843" s="8" t="n">
        <v>1842</v>
      </c>
      <c r="B1843" s="9" t="s">
        <v>2818</v>
      </c>
      <c r="C1843" s="8" t="n">
        <v>9</v>
      </c>
      <c r="D1843" s="9" t="str">
        <f aca="false">INDEX(Radicals!$B$2:$B$215,MATCH(C1843,Radicals!$A$2:$A$215,0))</f>
        <v>人</v>
      </c>
      <c r="E1843" s="10" t="str">
        <f aca="false">INDEX(Radicals!$G$2:$G$215,MATCH(C1843,Radicals!$A$2:$A$215,0))</f>
        <v>person</v>
      </c>
      <c r="F1843" s="8" t="n">
        <f aca="false">INDEX(Radicals!$D$2:$D$215,MATCH(C1843,Radicals!$A$2:$A$215,0))</f>
        <v>2</v>
      </c>
      <c r="G1843" s="8" t="n">
        <v>10</v>
      </c>
    </row>
    <row r="1844" customFormat="false" ht="17.35" hidden="false" customHeight="false" outlineLevel="0" collapsed="false">
      <c r="A1844" s="8" t="n">
        <v>1843</v>
      </c>
      <c r="B1844" s="9" t="s">
        <v>2819</v>
      </c>
      <c r="C1844" s="8" t="n">
        <v>85</v>
      </c>
      <c r="D1844" s="9" t="str">
        <f aca="false">INDEX(Radicals!$B$2:$B$215,MATCH(C1844,Radicals!$A$2:$A$215,0))</f>
        <v>水</v>
      </c>
      <c r="E1844" s="10" t="str">
        <f aca="false">INDEX(Radicals!$G$2:$G$215,MATCH(C1844,Radicals!$A$2:$A$215,0))</f>
        <v>water</v>
      </c>
      <c r="F1844" s="8" t="n">
        <f aca="false">INDEX(Radicals!$D$2:$D$215,MATCH(C1844,Radicals!$A$2:$A$215,0))</f>
        <v>4</v>
      </c>
      <c r="G1844" s="8" t="n">
        <v>5</v>
      </c>
    </row>
    <row r="1845" customFormat="false" ht="17.35" hidden="false" customHeight="false" outlineLevel="0" collapsed="false">
      <c r="A1845" s="8" t="n">
        <v>1844</v>
      </c>
      <c r="B1845" s="9" t="s">
        <v>2820</v>
      </c>
      <c r="C1845" s="8" t="n">
        <v>44</v>
      </c>
      <c r="D1845" s="9" t="str">
        <f aca="false">INDEX(Radicals!$B$2:$B$215,MATCH(C1845,Radicals!$A$2:$A$215,0))</f>
        <v>尸</v>
      </c>
      <c r="E1845" s="10" t="str">
        <f aca="false">INDEX(Radicals!$G$2:$G$215,MATCH(C1845,Radicals!$A$2:$A$215,0))</f>
        <v>corpse, body</v>
      </c>
      <c r="F1845" s="8" t="n">
        <f aca="false">INDEX(Radicals!$D$2:$D$215,MATCH(C1845,Radicals!$A$2:$A$215,0))</f>
        <v>3</v>
      </c>
      <c r="G1845" s="8" t="n">
        <v>5</v>
      </c>
    </row>
    <row r="1846" customFormat="false" ht="17.35" hidden="false" customHeight="false" outlineLevel="0" collapsed="false">
      <c r="A1846" s="8" t="n">
        <v>1845</v>
      </c>
      <c r="B1846" s="9" t="s">
        <v>2821</v>
      </c>
      <c r="C1846" s="8" t="n">
        <v>162</v>
      </c>
      <c r="D1846" s="9" t="str">
        <f aca="false">INDEX(Radicals!$B$2:$B$215,MATCH(C1846,Radicals!$A$2:$A$215,0))</f>
        <v>辵</v>
      </c>
      <c r="E1846" s="10" t="str">
        <f aca="false">INDEX(Radicals!$G$2:$G$215,MATCH(C1846,Radicals!$A$2:$A$215,0))</f>
        <v>walk, movement</v>
      </c>
      <c r="F1846" s="8" t="n">
        <f aca="false">INDEX(Radicals!$D$2:$D$215,MATCH(C1846,Radicals!$A$2:$A$215,0))</f>
        <v>7</v>
      </c>
      <c r="G1846" s="8" t="n">
        <v>12</v>
      </c>
    </row>
    <row r="1847" customFormat="false" ht="17.35" hidden="false" customHeight="false" outlineLevel="0" collapsed="false">
      <c r="A1847" s="8" t="n">
        <v>1846</v>
      </c>
      <c r="B1847" s="9" t="s">
        <v>2822</v>
      </c>
      <c r="C1847" s="8" t="n">
        <v>32</v>
      </c>
      <c r="D1847" s="9" t="str">
        <f aca="false">INDEX(Radicals!$B$2:$B$215,MATCH(C1847,Radicals!$A$2:$A$215,0))</f>
        <v>土</v>
      </c>
      <c r="E1847" s="10" t="str">
        <f aca="false">INDEX(Radicals!$G$2:$G$215,MATCH(C1847,Radicals!$A$2:$A$215,0))</f>
        <v>earth, soil</v>
      </c>
      <c r="F1847" s="8" t="n">
        <f aca="false">INDEX(Radicals!$D$2:$D$215,MATCH(C1847,Radicals!$A$2:$A$215,0))</f>
        <v>3</v>
      </c>
      <c r="G1847" s="8" t="n">
        <v>12</v>
      </c>
    </row>
    <row r="1848" customFormat="false" ht="17.35" hidden="false" customHeight="false" outlineLevel="0" collapsed="false">
      <c r="A1848" s="8" t="n">
        <v>1847</v>
      </c>
      <c r="B1848" s="9" t="s">
        <v>2823</v>
      </c>
      <c r="C1848" s="8" t="n">
        <v>144</v>
      </c>
      <c r="D1848" s="9" t="str">
        <f aca="false">INDEX(Radicals!$B$2:$B$215,MATCH(C1848,Radicals!$A$2:$A$215,0))</f>
        <v>行</v>
      </c>
      <c r="E1848" s="10" t="str">
        <f aca="false">INDEX(Radicals!$G$2:$G$215,MATCH(C1848,Radicals!$A$2:$A$215,0))</f>
        <v>walk, go, line</v>
      </c>
      <c r="F1848" s="8" t="n">
        <f aca="false">INDEX(Radicals!$D$2:$D$215,MATCH(C1848,Radicals!$A$2:$A$215,0))</f>
        <v>6</v>
      </c>
      <c r="G1848" s="8" t="n">
        <v>16</v>
      </c>
    </row>
    <row r="1849" customFormat="false" ht="17.35" hidden="false" customHeight="false" outlineLevel="0" collapsed="false">
      <c r="A1849" s="8" t="n">
        <v>1848</v>
      </c>
      <c r="B1849" s="9" t="s">
        <v>2824</v>
      </c>
      <c r="C1849" s="8" t="n">
        <v>30</v>
      </c>
      <c r="D1849" s="9" t="str">
        <f aca="false">INDEX(Radicals!$B$2:$B$215,MATCH(C1849,Radicals!$A$2:$A$215,0))</f>
        <v>口</v>
      </c>
      <c r="E1849" s="10" t="str">
        <f aca="false">INDEX(Radicals!$G$2:$G$215,MATCH(C1849,Radicals!$A$2:$A$215,0))</f>
        <v>mouth</v>
      </c>
      <c r="F1849" s="8" t="n">
        <f aca="false">INDEX(Radicals!$D$2:$D$215,MATCH(C1849,Radicals!$A$2:$A$215,0))</f>
        <v>3</v>
      </c>
      <c r="G1849" s="8" t="n">
        <v>7</v>
      </c>
    </row>
    <row r="1850" customFormat="false" ht="17.35" hidden="false" customHeight="false" outlineLevel="0" collapsed="false">
      <c r="A1850" s="8" t="n">
        <v>1849</v>
      </c>
      <c r="B1850" s="9" t="s">
        <v>2825</v>
      </c>
      <c r="C1850" s="8" t="n">
        <v>140</v>
      </c>
      <c r="D1850" s="9" t="str">
        <f aca="false">INDEX(Radicals!$B$2:$B$215,MATCH(C1850,Radicals!$A$2:$A$215,0))</f>
        <v>艸</v>
      </c>
      <c r="E1850" s="10" t="str">
        <f aca="false">INDEX(Radicals!$G$2:$G$215,MATCH(C1850,Radicals!$A$2:$A$215,0))</f>
        <v>grass, plant</v>
      </c>
      <c r="F1850" s="8" t="n">
        <f aca="false">INDEX(Radicals!$D$2:$D$215,MATCH(C1850,Radicals!$A$2:$A$215,0))</f>
        <v>6</v>
      </c>
      <c r="G1850" s="8" t="n">
        <v>16</v>
      </c>
    </row>
    <row r="1851" customFormat="false" ht="17.35" hidden="false" customHeight="false" outlineLevel="0" collapsed="false">
      <c r="A1851" s="8" t="n">
        <v>1850</v>
      </c>
      <c r="B1851" s="9" t="s">
        <v>523</v>
      </c>
      <c r="C1851" s="8" t="n">
        <v>98</v>
      </c>
      <c r="D1851" s="9" t="str">
        <f aca="false">INDEX(Radicals!$B$2:$B$215,MATCH(C1851,Radicals!$A$2:$A$215,0))</f>
        <v>瓦</v>
      </c>
      <c r="E1851" s="10" t="str">
        <f aca="false">INDEX(Radicals!$G$2:$G$215,MATCH(C1851,Radicals!$A$2:$A$215,0))</f>
        <v>tile</v>
      </c>
      <c r="F1851" s="8" t="n">
        <f aca="false">INDEX(Radicals!$D$2:$D$215,MATCH(C1851,Radicals!$A$2:$A$215,0))</f>
        <v>5</v>
      </c>
      <c r="G1851" s="8" t="n">
        <v>5</v>
      </c>
    </row>
    <row r="1852" customFormat="false" ht="17.35" hidden="false" customHeight="false" outlineLevel="0" collapsed="false">
      <c r="A1852" s="8" t="n">
        <v>1851</v>
      </c>
      <c r="B1852" s="9" t="s">
        <v>2826</v>
      </c>
      <c r="C1852" s="8" t="n">
        <v>94</v>
      </c>
      <c r="D1852" s="9" t="str">
        <f aca="false">INDEX(Radicals!$B$2:$B$215,MATCH(C1852,Radicals!$A$2:$A$215,0))</f>
        <v>犬</v>
      </c>
      <c r="E1852" s="10" t="str">
        <f aca="false">INDEX(Radicals!$G$2:$G$215,MATCH(C1852,Radicals!$A$2:$A$215,0))</f>
        <v>dog</v>
      </c>
      <c r="F1852" s="8" t="n">
        <f aca="false">INDEX(Radicals!$D$2:$D$215,MATCH(C1852,Radicals!$A$2:$A$215,0))</f>
        <v>4</v>
      </c>
      <c r="G1852" s="8" t="n">
        <v>11</v>
      </c>
    </row>
    <row r="1853" customFormat="false" ht="17.35" hidden="false" customHeight="false" outlineLevel="0" collapsed="false">
      <c r="A1853" s="8" t="n">
        <v>1852</v>
      </c>
      <c r="B1853" s="9" t="s">
        <v>649</v>
      </c>
      <c r="C1853" s="8" t="n">
        <v>123</v>
      </c>
      <c r="D1853" s="9" t="str">
        <f aca="false">INDEX(Radicals!$B$2:$B$215,MATCH(C1853,Radicals!$A$2:$A$215,0))</f>
        <v>羊</v>
      </c>
      <c r="E1853" s="10" t="str">
        <f aca="false">INDEX(Radicals!$G$2:$G$215,MATCH(C1853,Radicals!$A$2:$A$215,0))</f>
        <v>sheep</v>
      </c>
      <c r="F1853" s="8" t="n">
        <f aca="false">INDEX(Radicals!$D$2:$D$215,MATCH(C1853,Radicals!$A$2:$A$215,0))</f>
        <v>6</v>
      </c>
      <c r="G1853" s="8" t="n">
        <v>6</v>
      </c>
    </row>
    <row r="1854" customFormat="false" ht="17.35" hidden="false" customHeight="false" outlineLevel="0" collapsed="false">
      <c r="A1854" s="8" t="n">
        <v>1853</v>
      </c>
      <c r="B1854" s="9" t="s">
        <v>2827</v>
      </c>
      <c r="C1854" s="8" t="n">
        <v>116</v>
      </c>
      <c r="D1854" s="9" t="str">
        <f aca="false">INDEX(Radicals!$B$2:$B$215,MATCH(C1854,Radicals!$A$2:$A$215,0))</f>
        <v>穴</v>
      </c>
      <c r="E1854" s="10" t="str">
        <f aca="false">INDEX(Radicals!$G$2:$G$215,MATCH(C1854,Radicals!$A$2:$A$215,0))</f>
        <v>cave, hole</v>
      </c>
      <c r="F1854" s="8" t="n">
        <f aca="false">INDEX(Radicals!$D$2:$D$215,MATCH(C1854,Radicals!$A$2:$A$215,0))</f>
        <v>5</v>
      </c>
      <c r="G1854" s="8" t="n">
        <v>14</v>
      </c>
    </row>
    <row r="1855" customFormat="false" ht="17.35" hidden="false" customHeight="false" outlineLevel="0" collapsed="false">
      <c r="A1855" s="8" t="n">
        <v>1854</v>
      </c>
      <c r="B1855" s="9" t="s">
        <v>2828</v>
      </c>
      <c r="C1855" s="8" t="n">
        <v>76</v>
      </c>
      <c r="D1855" s="9" t="str">
        <f aca="false">INDEX(Radicals!$B$2:$B$215,MATCH(C1855,Radicals!$A$2:$A$215,0))</f>
        <v>欠</v>
      </c>
      <c r="E1855" s="10" t="str">
        <f aca="false">INDEX(Radicals!$G$2:$G$215,MATCH(C1855,Radicals!$A$2:$A$215,0))</f>
        <v>lack, yawn</v>
      </c>
      <c r="F1855" s="8" t="n">
        <f aca="false">INDEX(Radicals!$D$2:$D$215,MATCH(C1855,Radicals!$A$2:$A$215,0))</f>
        <v>4</v>
      </c>
      <c r="G1855" s="8" t="n">
        <v>12</v>
      </c>
    </row>
    <row r="1856" customFormat="false" ht="17.35" hidden="false" customHeight="false" outlineLevel="0" collapsed="false">
      <c r="A1856" s="8" t="n">
        <v>1855</v>
      </c>
      <c r="B1856" s="9" t="s">
        <v>2829</v>
      </c>
      <c r="C1856" s="8" t="n">
        <v>169</v>
      </c>
      <c r="D1856" s="9" t="str">
        <f aca="false">INDEX(Radicals!$B$2:$B$215,MATCH(C1856,Radicals!$A$2:$A$215,0))</f>
        <v>門</v>
      </c>
      <c r="E1856" s="10" t="str">
        <f aca="false">INDEX(Radicals!$G$2:$G$215,MATCH(C1856,Radicals!$A$2:$A$215,0))</f>
        <v>gate</v>
      </c>
      <c r="F1856" s="8" t="n">
        <f aca="false">INDEX(Radicals!$D$2:$D$215,MATCH(C1856,Radicals!$A$2:$A$215,0))</f>
        <v>8</v>
      </c>
      <c r="G1856" s="8" t="n">
        <v>15</v>
      </c>
    </row>
    <row r="1857" customFormat="false" ht="17.35" hidden="false" customHeight="false" outlineLevel="0" collapsed="false">
      <c r="A1857" s="8" t="n">
        <v>1856</v>
      </c>
      <c r="B1857" s="9" t="s">
        <v>2830</v>
      </c>
      <c r="C1857" s="8" t="n">
        <v>172</v>
      </c>
      <c r="D1857" s="9" t="str">
        <f aca="false">INDEX(Radicals!$B$2:$B$215,MATCH(C1857,Radicals!$A$2:$A$215,0))</f>
        <v>隹</v>
      </c>
      <c r="E1857" s="10" t="str">
        <f aca="false">INDEX(Radicals!$G$2:$G$215,MATCH(C1857,Radicals!$A$2:$A$215,0))</f>
        <v>short-tailed bird</v>
      </c>
      <c r="F1857" s="8" t="n">
        <f aca="false">INDEX(Radicals!$D$2:$D$215,MATCH(C1857,Radicals!$A$2:$A$215,0))</f>
        <v>8</v>
      </c>
      <c r="G1857" s="8" t="n">
        <v>11</v>
      </c>
    </row>
    <row r="1858" customFormat="false" ht="17.35" hidden="false" customHeight="false" outlineLevel="0" collapsed="false">
      <c r="A1858" s="8" t="n">
        <v>1857</v>
      </c>
      <c r="B1858" s="9" t="s">
        <v>2831</v>
      </c>
      <c r="C1858" s="8" t="n">
        <v>9</v>
      </c>
      <c r="D1858" s="9" t="str">
        <f aca="false">INDEX(Radicals!$B$2:$B$215,MATCH(C1858,Radicals!$A$2:$A$215,0))</f>
        <v>人</v>
      </c>
      <c r="E1858" s="10" t="str">
        <f aca="false">INDEX(Radicals!$G$2:$G$215,MATCH(C1858,Radicals!$A$2:$A$215,0))</f>
        <v>person</v>
      </c>
      <c r="F1858" s="8" t="n">
        <f aca="false">INDEX(Radicals!$D$2:$D$215,MATCH(C1858,Radicals!$A$2:$A$215,0))</f>
        <v>2</v>
      </c>
      <c r="G1858" s="8" t="n">
        <v>11</v>
      </c>
    </row>
    <row r="1859" customFormat="false" ht="17.35" hidden="false" customHeight="false" outlineLevel="0" collapsed="false">
      <c r="A1859" s="8" t="n">
        <v>1858</v>
      </c>
      <c r="B1859" s="9" t="s">
        <v>2832</v>
      </c>
      <c r="C1859" s="8" t="n">
        <v>30</v>
      </c>
      <c r="D1859" s="9" t="str">
        <f aca="false">INDEX(Radicals!$B$2:$B$215,MATCH(C1859,Radicals!$A$2:$A$215,0))</f>
        <v>口</v>
      </c>
      <c r="E1859" s="10" t="str">
        <f aca="false">INDEX(Radicals!$G$2:$G$215,MATCH(C1859,Radicals!$A$2:$A$215,0))</f>
        <v>mouth</v>
      </c>
      <c r="F1859" s="8" t="n">
        <f aca="false">INDEX(Radicals!$D$2:$D$215,MATCH(C1859,Radicals!$A$2:$A$215,0))</f>
        <v>3</v>
      </c>
      <c r="G1859" s="8" t="n">
        <v>11</v>
      </c>
    </row>
    <row r="1860" customFormat="false" ht="17.35" hidden="false" customHeight="false" outlineLevel="0" collapsed="false">
      <c r="A1860" s="8" t="n">
        <v>1859</v>
      </c>
      <c r="B1860" s="9" t="s">
        <v>2833</v>
      </c>
      <c r="C1860" s="8" t="n">
        <v>66</v>
      </c>
      <c r="D1860" s="9" t="str">
        <f aca="false">INDEX(Radicals!$B$2:$B$215,MATCH(C1860,Radicals!$A$2:$A$215,0))</f>
        <v>攴</v>
      </c>
      <c r="E1860" s="10" t="str">
        <f aca="false">INDEX(Radicals!$G$2:$G$215,MATCH(C1860,Radicals!$A$2:$A$215,0))</f>
        <v>rap, tap, strike</v>
      </c>
      <c r="F1860" s="8" t="n">
        <f aca="false">INDEX(Radicals!$D$2:$D$215,MATCH(C1860,Radicals!$A$2:$A$215,0))</f>
        <v>4</v>
      </c>
      <c r="G1860" s="8" t="n">
        <v>12</v>
      </c>
    </row>
    <row r="1861" customFormat="false" ht="17.35" hidden="false" customHeight="false" outlineLevel="0" collapsed="false">
      <c r="A1861" s="8" t="n">
        <v>1860</v>
      </c>
      <c r="B1861" s="9" t="s">
        <v>2834</v>
      </c>
      <c r="C1861" s="8" t="n">
        <v>102</v>
      </c>
      <c r="D1861" s="9" t="str">
        <f aca="false">INDEX(Radicals!$B$2:$B$215,MATCH(C1861,Radicals!$A$2:$A$215,0))</f>
        <v>田</v>
      </c>
      <c r="E1861" s="10" t="str">
        <f aca="false">INDEX(Radicals!$G$2:$G$215,MATCH(C1861,Radicals!$A$2:$A$215,0))</f>
        <v>field, paddy</v>
      </c>
      <c r="F1861" s="8" t="n">
        <f aca="false">INDEX(Radicals!$D$2:$D$215,MATCH(C1861,Radicals!$A$2:$A$215,0))</f>
        <v>5</v>
      </c>
      <c r="G1861" s="8" t="n">
        <v>10</v>
      </c>
    </row>
    <row r="1862" customFormat="false" ht="17.35" hidden="false" customHeight="false" outlineLevel="0" collapsed="false">
      <c r="A1862" s="8" t="n">
        <v>1861</v>
      </c>
      <c r="B1862" s="9" t="s">
        <v>2835</v>
      </c>
      <c r="C1862" s="8" t="n">
        <v>130</v>
      </c>
      <c r="D1862" s="9" t="str">
        <f aca="false">INDEX(Radicals!$B$2:$B$215,MATCH(C1862,Radicals!$A$2:$A$215,0))</f>
        <v>肉</v>
      </c>
      <c r="E1862" s="10" t="str">
        <f aca="false">INDEX(Radicals!$G$2:$G$215,MATCH(C1862,Radicals!$A$2:$A$215,0))</f>
        <v>meat, flesh</v>
      </c>
      <c r="F1862" s="8" t="n">
        <f aca="false">INDEX(Radicals!$D$2:$D$215,MATCH(C1862,Radicals!$A$2:$A$215,0))</f>
        <v>6</v>
      </c>
      <c r="G1862" s="8" t="n">
        <v>9</v>
      </c>
    </row>
    <row r="1863" customFormat="false" ht="17.35" hidden="false" customHeight="false" outlineLevel="0" collapsed="false">
      <c r="A1863" s="8" t="n">
        <v>1862</v>
      </c>
      <c r="B1863" s="9" t="s">
        <v>2836</v>
      </c>
      <c r="C1863" s="8" t="n">
        <v>164</v>
      </c>
      <c r="D1863" s="9" t="str">
        <f aca="false">INDEX(Radicals!$B$2:$B$215,MATCH(C1863,Radicals!$A$2:$A$215,0))</f>
        <v>酉</v>
      </c>
      <c r="E1863" s="10" t="str">
        <f aca="false">INDEX(Radicals!$G$2:$G$215,MATCH(C1863,Radicals!$A$2:$A$215,0))</f>
        <v>wine, 10th zodiac sign (rooster)</v>
      </c>
      <c r="F1863" s="8" t="n">
        <f aca="false">INDEX(Radicals!$D$2:$D$215,MATCH(C1863,Radicals!$A$2:$A$215,0))</f>
        <v>7</v>
      </c>
      <c r="G1863" s="8" t="n">
        <v>14</v>
      </c>
    </row>
    <row r="1864" customFormat="false" ht="17.35" hidden="false" customHeight="false" outlineLevel="0" collapsed="false">
      <c r="A1864" s="8" t="n">
        <v>1863</v>
      </c>
      <c r="B1864" s="9" t="s">
        <v>2837</v>
      </c>
      <c r="C1864" s="8" t="n">
        <v>61</v>
      </c>
      <c r="D1864" s="9" t="str">
        <f aca="false">INDEX(Radicals!$B$2:$B$215,MATCH(C1864,Radicals!$A$2:$A$215,0))</f>
        <v>心</v>
      </c>
      <c r="E1864" s="10" t="str">
        <f aca="false">INDEX(Radicals!$G$2:$G$215,MATCH(C1864,Radicals!$A$2:$A$215,0))</f>
        <v>heart, mind</v>
      </c>
      <c r="F1864" s="8" t="n">
        <f aca="false">INDEX(Radicals!$D$2:$D$215,MATCH(C1864,Radicals!$A$2:$A$215,0))</f>
        <v>4</v>
      </c>
      <c r="G1864" s="8" t="n">
        <v>15</v>
      </c>
    </row>
    <row r="1865" customFormat="false" ht="17.35" hidden="false" customHeight="false" outlineLevel="0" collapsed="false">
      <c r="A1865" s="8" t="n">
        <v>1864</v>
      </c>
      <c r="B1865" s="9" t="s">
        <v>2838</v>
      </c>
      <c r="C1865" s="8" t="n">
        <v>152</v>
      </c>
      <c r="D1865" s="9" t="str">
        <f aca="false">INDEX(Radicals!$B$2:$B$215,MATCH(C1865,Radicals!$A$2:$A$215,0))</f>
        <v>豕</v>
      </c>
      <c r="E1865" s="10" t="str">
        <f aca="false">INDEX(Radicals!$G$2:$G$215,MATCH(C1865,Radicals!$A$2:$A$215,0))</f>
        <v>pig</v>
      </c>
      <c r="F1865" s="8" t="n">
        <f aca="false">INDEX(Radicals!$D$2:$D$215,MATCH(C1865,Radicals!$A$2:$A$215,0))</f>
        <v>7</v>
      </c>
      <c r="G1865" s="8" t="n">
        <v>11</v>
      </c>
    </row>
    <row r="1866" customFormat="false" ht="17.35" hidden="false" customHeight="false" outlineLevel="0" collapsed="false">
      <c r="A1866" s="8" t="n">
        <v>1865</v>
      </c>
      <c r="B1866" s="9" t="s">
        <v>2839</v>
      </c>
      <c r="C1866" s="8" t="n">
        <v>162</v>
      </c>
      <c r="D1866" s="9" t="str">
        <f aca="false">INDEX(Radicals!$B$2:$B$215,MATCH(C1866,Radicals!$A$2:$A$215,0))</f>
        <v>辵</v>
      </c>
      <c r="E1866" s="10" t="str">
        <f aca="false">INDEX(Radicals!$G$2:$G$215,MATCH(C1866,Radicals!$A$2:$A$215,0))</f>
        <v>walk, movement</v>
      </c>
      <c r="F1866" s="8" t="n">
        <f aca="false">INDEX(Radicals!$D$2:$D$215,MATCH(C1866,Radicals!$A$2:$A$215,0))</f>
        <v>7</v>
      </c>
      <c r="G1866" s="8" t="n">
        <v>14</v>
      </c>
    </row>
    <row r="1867" customFormat="false" ht="17.35" hidden="false" customHeight="false" outlineLevel="0" collapsed="false">
      <c r="A1867" s="8" t="n">
        <v>1866</v>
      </c>
      <c r="B1867" s="9" t="s">
        <v>2840</v>
      </c>
      <c r="C1867" s="8" t="n">
        <v>63</v>
      </c>
      <c r="D1867" s="9" t="str">
        <f aca="false">INDEX(Radicals!$B$2:$B$215,MATCH(C1867,Radicals!$A$2:$A$215,0))</f>
        <v>戶</v>
      </c>
      <c r="E1867" s="10" t="str">
        <f aca="false">INDEX(Radicals!$G$2:$G$215,MATCH(C1867,Radicals!$A$2:$A$215,0))</f>
        <v>door</v>
      </c>
      <c r="F1867" s="8" t="n">
        <f aca="false">INDEX(Radicals!$D$2:$D$215,MATCH(C1867,Radicals!$A$2:$A$215,0))</f>
        <v>4</v>
      </c>
      <c r="G1867" s="8" t="n">
        <v>12</v>
      </c>
    </row>
    <row r="1868" customFormat="false" ht="17.35" hidden="false" customHeight="false" outlineLevel="0" collapsed="false">
      <c r="A1868" s="8" t="n">
        <v>1867</v>
      </c>
      <c r="B1868" s="9" t="s">
        <v>2841</v>
      </c>
      <c r="C1868" s="8" t="n">
        <v>112</v>
      </c>
      <c r="D1868" s="9" t="str">
        <f aca="false">INDEX(Radicals!$B$2:$B$215,MATCH(C1868,Radicals!$A$2:$A$215,0))</f>
        <v>石</v>
      </c>
      <c r="E1868" s="10" t="str">
        <f aca="false">INDEX(Radicals!$G$2:$G$215,MATCH(C1868,Radicals!$A$2:$A$215,0))</f>
        <v>stone</v>
      </c>
      <c r="F1868" s="8" t="n">
        <f aca="false">INDEX(Radicals!$D$2:$D$215,MATCH(C1868,Radicals!$A$2:$A$215,0))</f>
        <v>5</v>
      </c>
      <c r="G1868" s="8" t="n">
        <v>12</v>
      </c>
    </row>
    <row r="1869" customFormat="false" ht="17.35" hidden="false" customHeight="false" outlineLevel="0" collapsed="false">
      <c r="A1869" s="8" t="n">
        <v>1868</v>
      </c>
      <c r="B1869" s="9" t="s">
        <v>2842</v>
      </c>
      <c r="C1869" s="8" t="n">
        <v>155</v>
      </c>
      <c r="D1869" s="9" t="str">
        <f aca="false">INDEX(Radicals!$B$2:$B$215,MATCH(C1869,Radicals!$A$2:$A$215,0))</f>
        <v>赤</v>
      </c>
      <c r="E1869" s="10" t="str">
        <f aca="false">INDEX(Radicals!$G$2:$G$215,MATCH(C1869,Radicals!$A$2:$A$215,0))</f>
        <v>red</v>
      </c>
      <c r="F1869" s="8" t="n">
        <f aca="false">INDEX(Radicals!$D$2:$D$215,MATCH(C1869,Radicals!$A$2:$A$215,0))</f>
        <v>7</v>
      </c>
      <c r="G1869" s="8" t="n">
        <v>11</v>
      </c>
    </row>
    <row r="1870" customFormat="false" ht="17.35" hidden="false" customHeight="false" outlineLevel="0" collapsed="false">
      <c r="A1870" s="8" t="n">
        <v>1869</v>
      </c>
      <c r="B1870" s="9" t="s">
        <v>2843</v>
      </c>
      <c r="C1870" s="8" t="n">
        <v>64</v>
      </c>
      <c r="D1870" s="9" t="str">
        <f aca="false">INDEX(Radicals!$B$2:$B$215,MATCH(C1870,Radicals!$A$2:$A$215,0))</f>
        <v>手</v>
      </c>
      <c r="E1870" s="10" t="str">
        <f aca="false">INDEX(Radicals!$G$2:$G$215,MATCH(C1870,Radicals!$A$2:$A$215,0))</f>
        <v>hand</v>
      </c>
      <c r="F1870" s="8" t="n">
        <f aca="false">INDEX(Radicals!$D$2:$D$215,MATCH(C1870,Radicals!$A$2:$A$215,0))</f>
        <v>4</v>
      </c>
      <c r="G1870" s="8" t="n">
        <v>10</v>
      </c>
    </row>
    <row r="1871" customFormat="false" ht="17.35" hidden="false" customHeight="false" outlineLevel="0" collapsed="false">
      <c r="A1871" s="8" t="n">
        <v>1870</v>
      </c>
      <c r="B1871" s="9" t="s">
        <v>2844</v>
      </c>
      <c r="C1871" s="8" t="n">
        <v>64</v>
      </c>
      <c r="D1871" s="9" t="str">
        <f aca="false">INDEX(Radicals!$B$2:$B$215,MATCH(C1871,Radicals!$A$2:$A$215,0))</f>
        <v>手</v>
      </c>
      <c r="E1871" s="10" t="str">
        <f aca="false">INDEX(Radicals!$G$2:$G$215,MATCH(C1871,Radicals!$A$2:$A$215,0))</f>
        <v>hand</v>
      </c>
      <c r="F1871" s="8" t="n">
        <f aca="false">INDEX(Radicals!$D$2:$D$215,MATCH(C1871,Radicals!$A$2:$A$215,0))</f>
        <v>4</v>
      </c>
      <c r="G1871" s="8" t="n">
        <v>9</v>
      </c>
    </row>
    <row r="1872" customFormat="false" ht="17.35" hidden="false" customHeight="false" outlineLevel="0" collapsed="false">
      <c r="A1872" s="8" t="n">
        <v>1871</v>
      </c>
      <c r="B1872" s="9" t="s">
        <v>2845</v>
      </c>
      <c r="C1872" s="8" t="n">
        <v>116</v>
      </c>
      <c r="D1872" s="9" t="str">
        <f aca="false">INDEX(Radicals!$B$2:$B$215,MATCH(C1872,Radicals!$A$2:$A$215,0))</f>
        <v>穴</v>
      </c>
      <c r="E1872" s="10" t="str">
        <f aca="false">INDEX(Radicals!$G$2:$G$215,MATCH(C1872,Radicals!$A$2:$A$215,0))</f>
        <v>cave, hole</v>
      </c>
      <c r="F1872" s="8" t="n">
        <f aca="false">INDEX(Radicals!$D$2:$D$215,MATCH(C1872,Radicals!$A$2:$A$215,0))</f>
        <v>5</v>
      </c>
      <c r="G1872" s="8" t="n">
        <v>9</v>
      </c>
    </row>
    <row r="1873" customFormat="false" ht="17.35" hidden="false" customHeight="false" outlineLevel="0" collapsed="false">
      <c r="A1873" s="8" t="n">
        <v>1872</v>
      </c>
      <c r="B1873" s="9" t="s">
        <v>2846</v>
      </c>
      <c r="C1873" s="8" t="n">
        <v>85</v>
      </c>
      <c r="D1873" s="9" t="str">
        <f aca="false">INDEX(Radicals!$B$2:$B$215,MATCH(C1873,Radicals!$A$2:$A$215,0))</f>
        <v>水</v>
      </c>
      <c r="E1873" s="10" t="str">
        <f aca="false">INDEX(Radicals!$G$2:$G$215,MATCH(C1873,Radicals!$A$2:$A$215,0))</f>
        <v>water</v>
      </c>
      <c r="F1873" s="8" t="n">
        <f aca="false">INDEX(Radicals!$D$2:$D$215,MATCH(C1873,Radicals!$A$2:$A$215,0))</f>
        <v>4</v>
      </c>
      <c r="G1873" s="8" t="n">
        <v>8</v>
      </c>
    </row>
    <row r="1874" customFormat="false" ht="17.35" hidden="false" customHeight="false" outlineLevel="0" collapsed="false">
      <c r="A1874" s="8" t="n">
        <v>1873</v>
      </c>
      <c r="B1874" s="9" t="s">
        <v>2847</v>
      </c>
      <c r="C1874" s="8" t="n">
        <v>96</v>
      </c>
      <c r="D1874" s="9" t="str">
        <f aca="false">INDEX(Radicals!$B$2:$B$215,MATCH(C1874,Radicals!$A$2:$A$215,0))</f>
        <v>玉</v>
      </c>
      <c r="E1874" s="10" t="str">
        <f aca="false">INDEX(Radicals!$G$2:$G$215,MATCH(C1874,Radicals!$A$2:$A$215,0))</f>
        <v>jade, king</v>
      </c>
      <c r="F1874" s="8" t="n">
        <f aca="false">INDEX(Radicals!$D$2:$D$215,MATCH(C1874,Radicals!$A$2:$A$215,0))</f>
        <v>5</v>
      </c>
      <c r="G1874" s="8" t="n">
        <v>13</v>
      </c>
    </row>
    <row r="1875" customFormat="false" ht="17.35" hidden="false" customHeight="false" outlineLevel="0" collapsed="false">
      <c r="A1875" s="8" t="n">
        <v>1874</v>
      </c>
      <c r="B1875" s="9" t="s">
        <v>162</v>
      </c>
      <c r="C1875" s="8" t="n">
        <v>29</v>
      </c>
      <c r="D1875" s="9" t="str">
        <f aca="false">INDEX(Radicals!$B$2:$B$215,MATCH(C1875,Radicals!$A$2:$A$215,0))</f>
        <v>又</v>
      </c>
      <c r="E1875" s="10" t="str">
        <f aca="false">INDEX(Radicals!$G$2:$G$215,MATCH(C1875,Radicals!$A$2:$A$215,0))</f>
        <v>again, right hand</v>
      </c>
      <c r="F1875" s="8" t="n">
        <f aca="false">INDEX(Radicals!$D$2:$D$215,MATCH(C1875,Radicals!$A$2:$A$215,0))</f>
        <v>2</v>
      </c>
      <c r="G1875" s="8" t="n">
        <v>2</v>
      </c>
    </row>
    <row r="1876" customFormat="false" ht="17.35" hidden="false" customHeight="false" outlineLevel="0" collapsed="false">
      <c r="A1876" s="8" t="n">
        <v>1875</v>
      </c>
      <c r="B1876" s="9" t="s">
        <v>2848</v>
      </c>
      <c r="C1876" s="8" t="n">
        <v>61</v>
      </c>
      <c r="D1876" s="9" t="str">
        <f aca="false">INDEX(Radicals!$B$2:$B$215,MATCH(C1876,Radicals!$A$2:$A$215,0))</f>
        <v>心</v>
      </c>
      <c r="E1876" s="10" t="str">
        <f aca="false">INDEX(Radicals!$G$2:$G$215,MATCH(C1876,Radicals!$A$2:$A$215,0))</f>
        <v>heart, mind</v>
      </c>
      <c r="F1876" s="8" t="n">
        <f aca="false">INDEX(Radicals!$D$2:$D$215,MATCH(C1876,Radicals!$A$2:$A$215,0))</f>
        <v>4</v>
      </c>
      <c r="G1876" s="8" t="n">
        <v>13</v>
      </c>
    </row>
    <row r="1877" customFormat="false" ht="17.35" hidden="false" customHeight="false" outlineLevel="0" collapsed="false">
      <c r="A1877" s="8" t="n">
        <v>1876</v>
      </c>
      <c r="B1877" s="9" t="s">
        <v>2849</v>
      </c>
      <c r="C1877" s="8" t="n">
        <v>120</v>
      </c>
      <c r="D1877" s="9" t="str">
        <f aca="false">INDEX(Radicals!$B$2:$B$215,MATCH(C1877,Radicals!$A$2:$A$215,0))</f>
        <v>糸</v>
      </c>
      <c r="E1877" s="10" t="str">
        <f aca="false">INDEX(Radicals!$G$2:$G$215,MATCH(C1877,Radicals!$A$2:$A$215,0))</f>
        <v>thread, silk</v>
      </c>
      <c r="F1877" s="8" t="n">
        <f aca="false">INDEX(Radicals!$D$2:$D$215,MATCH(C1877,Radicals!$A$2:$A$215,0))</f>
        <v>6</v>
      </c>
      <c r="G1877" s="8" t="n">
        <v>10</v>
      </c>
    </row>
    <row r="1878" customFormat="false" ht="17.35" hidden="false" customHeight="false" outlineLevel="0" collapsed="false">
      <c r="A1878" s="8" t="n">
        <v>1877</v>
      </c>
      <c r="B1878" s="9" t="s">
        <v>2850</v>
      </c>
      <c r="C1878" s="8" t="n">
        <v>61</v>
      </c>
      <c r="D1878" s="9" t="str">
        <f aca="false">INDEX(Radicals!$B$2:$B$215,MATCH(C1878,Radicals!$A$2:$A$215,0))</f>
        <v>心</v>
      </c>
      <c r="E1878" s="10" t="str">
        <f aca="false">INDEX(Radicals!$G$2:$G$215,MATCH(C1878,Radicals!$A$2:$A$215,0))</f>
        <v>heart, mind</v>
      </c>
      <c r="F1878" s="8" t="n">
        <f aca="false">INDEX(Radicals!$D$2:$D$215,MATCH(C1878,Radicals!$A$2:$A$215,0))</f>
        <v>4</v>
      </c>
      <c r="G1878" s="8" t="n">
        <v>9</v>
      </c>
    </row>
    <row r="1879" customFormat="false" ht="17.35" hidden="false" customHeight="false" outlineLevel="0" collapsed="false">
      <c r="A1879" s="8" t="n">
        <v>1878</v>
      </c>
      <c r="B1879" s="9" t="s">
        <v>2851</v>
      </c>
      <c r="C1879" s="8" t="n">
        <v>130</v>
      </c>
      <c r="D1879" s="9" t="str">
        <f aca="false">INDEX(Radicals!$B$2:$B$215,MATCH(C1879,Radicals!$A$2:$A$215,0))</f>
        <v>肉</v>
      </c>
      <c r="E1879" s="10" t="str">
        <f aca="false">INDEX(Radicals!$G$2:$G$215,MATCH(C1879,Radicals!$A$2:$A$215,0))</f>
        <v>meat, flesh</v>
      </c>
      <c r="F1879" s="8" t="n">
        <f aca="false">INDEX(Radicals!$D$2:$D$215,MATCH(C1879,Radicals!$A$2:$A$215,0))</f>
        <v>6</v>
      </c>
      <c r="G1879" s="8" t="n">
        <v>8</v>
      </c>
    </row>
    <row r="1880" customFormat="false" ht="17.35" hidden="false" customHeight="false" outlineLevel="0" collapsed="false">
      <c r="A1880" s="8" t="n">
        <v>1879</v>
      </c>
      <c r="B1880" s="9" t="s">
        <v>2852</v>
      </c>
      <c r="C1880" s="8" t="n">
        <v>64</v>
      </c>
      <c r="D1880" s="9" t="str">
        <f aca="false">INDEX(Radicals!$B$2:$B$215,MATCH(C1880,Radicals!$A$2:$A$215,0))</f>
        <v>手</v>
      </c>
      <c r="E1880" s="10" t="str">
        <f aca="false">INDEX(Radicals!$G$2:$G$215,MATCH(C1880,Radicals!$A$2:$A$215,0))</f>
        <v>hand</v>
      </c>
      <c r="F1880" s="8" t="n">
        <f aca="false">INDEX(Radicals!$D$2:$D$215,MATCH(C1880,Radicals!$A$2:$A$215,0))</f>
        <v>4</v>
      </c>
      <c r="G1880" s="8" t="n">
        <v>7</v>
      </c>
    </row>
    <row r="1881" customFormat="false" ht="17.35" hidden="false" customHeight="false" outlineLevel="0" collapsed="false">
      <c r="A1881" s="8" t="n">
        <v>1880</v>
      </c>
      <c r="B1881" s="9" t="s">
        <v>2853</v>
      </c>
      <c r="C1881" s="8" t="n">
        <v>62</v>
      </c>
      <c r="D1881" s="9" t="str">
        <f aca="false">INDEX(Radicals!$B$2:$B$215,MATCH(C1881,Radicals!$A$2:$A$215,0))</f>
        <v>戈</v>
      </c>
      <c r="E1881" s="10" t="str">
        <f aca="false">INDEX(Radicals!$G$2:$G$215,MATCH(C1881,Radicals!$A$2:$A$215,0))</f>
        <v>halberd, spear</v>
      </c>
      <c r="F1881" s="8" t="n">
        <f aca="false">INDEX(Radicals!$D$2:$D$215,MATCH(C1881,Radicals!$A$2:$A$215,0))</f>
        <v>4</v>
      </c>
      <c r="G1881" s="8" t="n">
        <v>15</v>
      </c>
    </row>
    <row r="1882" customFormat="false" ht="17.35" hidden="false" customHeight="false" outlineLevel="0" collapsed="false">
      <c r="A1882" s="8" t="n">
        <v>1881</v>
      </c>
      <c r="B1882" s="9" t="s">
        <v>2854</v>
      </c>
      <c r="C1882" s="8" t="n">
        <v>9</v>
      </c>
      <c r="D1882" s="9" t="str">
        <f aca="false">INDEX(Radicals!$B$2:$B$215,MATCH(C1882,Radicals!$A$2:$A$215,0))</f>
        <v>人</v>
      </c>
      <c r="E1882" s="10" t="str">
        <f aca="false">INDEX(Radicals!$G$2:$G$215,MATCH(C1882,Radicals!$A$2:$A$215,0))</f>
        <v>person</v>
      </c>
      <c r="F1882" s="8" t="n">
        <f aca="false">INDEX(Radicals!$D$2:$D$215,MATCH(C1882,Radicals!$A$2:$A$215,0))</f>
        <v>2</v>
      </c>
      <c r="G1882" s="8" t="n">
        <v>6</v>
      </c>
    </row>
    <row r="1883" customFormat="false" ht="17.35" hidden="false" customHeight="false" outlineLevel="0" collapsed="false">
      <c r="A1883" s="8" t="n">
        <v>1882</v>
      </c>
      <c r="B1883" s="9" t="s">
        <v>2855</v>
      </c>
      <c r="C1883" s="8" t="n">
        <v>61</v>
      </c>
      <c r="D1883" s="9" t="str">
        <f aca="false">INDEX(Radicals!$B$2:$B$215,MATCH(C1883,Radicals!$A$2:$A$215,0))</f>
        <v>心</v>
      </c>
      <c r="E1883" s="10" t="str">
        <f aca="false">INDEX(Radicals!$G$2:$G$215,MATCH(C1883,Radicals!$A$2:$A$215,0))</f>
        <v>heart, mind</v>
      </c>
      <c r="F1883" s="8" t="n">
        <f aca="false">INDEX(Radicals!$D$2:$D$215,MATCH(C1883,Radicals!$A$2:$A$215,0))</f>
        <v>4</v>
      </c>
      <c r="G1883" s="8" t="n">
        <v>7</v>
      </c>
    </row>
    <row r="1884" customFormat="false" ht="17.35" hidden="false" customHeight="false" outlineLevel="0" collapsed="false">
      <c r="A1884" s="8" t="n">
        <v>1883</v>
      </c>
      <c r="B1884" s="9" t="s">
        <v>2856</v>
      </c>
      <c r="C1884" s="8" t="n">
        <v>85</v>
      </c>
      <c r="D1884" s="9" t="str">
        <f aca="false">INDEX(Radicals!$B$2:$B$215,MATCH(C1884,Radicals!$A$2:$A$215,0))</f>
        <v>水</v>
      </c>
      <c r="E1884" s="10" t="str">
        <f aca="false">INDEX(Radicals!$G$2:$G$215,MATCH(C1884,Radicals!$A$2:$A$215,0))</f>
        <v>water</v>
      </c>
      <c r="F1884" s="8" t="n">
        <f aca="false">INDEX(Radicals!$D$2:$D$215,MATCH(C1884,Radicals!$A$2:$A$215,0))</f>
        <v>4</v>
      </c>
      <c r="G1884" s="8" t="n">
        <v>16</v>
      </c>
    </row>
    <row r="1885" customFormat="false" ht="17.35" hidden="false" customHeight="false" outlineLevel="0" collapsed="false">
      <c r="A1885" s="8" t="n">
        <v>1884</v>
      </c>
      <c r="B1885" s="9" t="s">
        <v>2857</v>
      </c>
      <c r="C1885" s="8" t="n">
        <v>37</v>
      </c>
      <c r="D1885" s="9" t="str">
        <f aca="false">INDEX(Radicals!$B$2:$B$215,MATCH(C1885,Radicals!$A$2:$A$215,0))</f>
        <v>大</v>
      </c>
      <c r="E1885" s="10" t="str">
        <f aca="false">INDEX(Radicals!$G$2:$G$215,MATCH(C1885,Radicals!$A$2:$A$215,0))</f>
        <v>big</v>
      </c>
      <c r="F1885" s="8" t="n">
        <f aca="false">INDEX(Radicals!$D$2:$D$215,MATCH(C1885,Radicals!$A$2:$A$215,0))</f>
        <v>3</v>
      </c>
      <c r="G1885" s="8" t="n">
        <v>8</v>
      </c>
    </row>
    <row r="1886" customFormat="false" ht="17.35" hidden="false" customHeight="false" outlineLevel="0" collapsed="false">
      <c r="A1886" s="8" t="n">
        <v>1885</v>
      </c>
      <c r="B1886" s="9" t="s">
        <v>369</v>
      </c>
      <c r="C1886" s="8" t="n">
        <v>68</v>
      </c>
      <c r="D1886" s="9" t="str">
        <f aca="false">INDEX(Radicals!$B$2:$B$215,MATCH(C1886,Radicals!$A$2:$A$215,0))</f>
        <v>斗</v>
      </c>
      <c r="E1886" s="10" t="str">
        <f aca="false">INDEX(Radicals!$G$2:$G$215,MATCH(C1886,Radicals!$A$2:$A$215,0))</f>
        <v>dipper, measure</v>
      </c>
      <c r="F1886" s="8" t="n">
        <f aca="false">INDEX(Radicals!$D$2:$D$215,MATCH(C1886,Radicals!$A$2:$A$215,0))</f>
        <v>4</v>
      </c>
      <c r="G1886" s="8" t="n">
        <v>4</v>
      </c>
    </row>
    <row r="1887" customFormat="false" ht="17.35" hidden="false" customHeight="false" outlineLevel="0" collapsed="false">
      <c r="A1887" s="8" t="n">
        <v>1886</v>
      </c>
      <c r="B1887" s="9" t="s">
        <v>2858</v>
      </c>
      <c r="C1887" s="8" t="n">
        <v>140</v>
      </c>
      <c r="D1887" s="9" t="str">
        <f aca="false">INDEX(Radicals!$B$2:$B$215,MATCH(C1887,Radicals!$A$2:$A$215,0))</f>
        <v>艸</v>
      </c>
      <c r="E1887" s="10" t="str">
        <f aca="false">INDEX(Radicals!$G$2:$G$215,MATCH(C1887,Radicals!$A$2:$A$215,0))</f>
        <v>grass, plant</v>
      </c>
      <c r="F1887" s="8" t="n">
        <f aca="false">INDEX(Radicals!$D$2:$D$215,MATCH(C1887,Radicals!$A$2:$A$215,0))</f>
        <v>6</v>
      </c>
      <c r="G1887" s="8" t="n">
        <v>19</v>
      </c>
    </row>
    <row r="1888" customFormat="false" ht="17.35" hidden="false" customHeight="false" outlineLevel="0" collapsed="false">
      <c r="A1888" s="8" t="n">
        <v>1887</v>
      </c>
      <c r="B1888" s="9" t="s">
        <v>2859</v>
      </c>
      <c r="C1888" s="8" t="n">
        <v>140</v>
      </c>
      <c r="D1888" s="9" t="str">
        <f aca="false">INDEX(Radicals!$B$2:$B$215,MATCH(C1888,Radicals!$A$2:$A$215,0))</f>
        <v>艸</v>
      </c>
      <c r="E1888" s="10" t="str">
        <f aca="false">INDEX(Radicals!$G$2:$G$215,MATCH(C1888,Radicals!$A$2:$A$215,0))</f>
        <v>grass, plant</v>
      </c>
      <c r="F1888" s="8" t="n">
        <f aca="false">INDEX(Radicals!$D$2:$D$215,MATCH(C1888,Radicals!$A$2:$A$215,0))</f>
        <v>6</v>
      </c>
      <c r="G1888" s="8" t="n">
        <v>13</v>
      </c>
    </row>
    <row r="1889" customFormat="false" ht="17.35" hidden="false" customHeight="false" outlineLevel="0" collapsed="false">
      <c r="A1889" s="8" t="n">
        <v>1888</v>
      </c>
      <c r="B1889" s="9" t="s">
        <v>2860</v>
      </c>
      <c r="C1889" s="8" t="n">
        <v>162</v>
      </c>
      <c r="D1889" s="9" t="str">
        <f aca="false">INDEX(Radicals!$B$2:$B$215,MATCH(C1889,Radicals!$A$2:$A$215,0))</f>
        <v>辵</v>
      </c>
      <c r="E1889" s="10" t="str">
        <f aca="false">INDEX(Radicals!$G$2:$G$215,MATCH(C1889,Radicals!$A$2:$A$215,0))</f>
        <v>walk, movement</v>
      </c>
      <c r="F1889" s="8" t="n">
        <f aca="false">INDEX(Radicals!$D$2:$D$215,MATCH(C1889,Radicals!$A$2:$A$215,0))</f>
        <v>7</v>
      </c>
      <c r="G1889" s="8" t="n">
        <v>6</v>
      </c>
    </row>
    <row r="1890" customFormat="false" ht="17.35" hidden="false" customHeight="false" outlineLevel="0" collapsed="false">
      <c r="A1890" s="8" t="n">
        <v>1889</v>
      </c>
      <c r="B1890" s="9" t="s">
        <v>2861</v>
      </c>
      <c r="C1890" s="8" t="n">
        <v>130</v>
      </c>
      <c r="D1890" s="9" t="str">
        <f aca="false">INDEX(Radicals!$B$2:$B$215,MATCH(C1890,Radicals!$A$2:$A$215,0))</f>
        <v>肉</v>
      </c>
      <c r="E1890" s="10" t="str">
        <f aca="false">INDEX(Radicals!$G$2:$G$215,MATCH(C1890,Radicals!$A$2:$A$215,0))</f>
        <v>meat, flesh</v>
      </c>
      <c r="F1890" s="8" t="n">
        <f aca="false">INDEX(Radicals!$D$2:$D$215,MATCH(C1890,Radicals!$A$2:$A$215,0))</f>
        <v>6</v>
      </c>
      <c r="G1890" s="8" t="n">
        <v>7</v>
      </c>
    </row>
    <row r="1891" customFormat="false" ht="17.35" hidden="false" customHeight="false" outlineLevel="0" collapsed="false">
      <c r="A1891" s="8" t="n">
        <v>1890</v>
      </c>
      <c r="B1891" s="9" t="s">
        <v>2862</v>
      </c>
      <c r="C1891" s="8" t="n">
        <v>167</v>
      </c>
      <c r="D1891" s="9" t="str">
        <f aca="false">INDEX(Radicals!$B$2:$B$215,MATCH(C1891,Radicals!$A$2:$A$215,0))</f>
        <v>金</v>
      </c>
      <c r="E1891" s="10" t="str">
        <f aca="false">INDEX(Radicals!$G$2:$G$215,MATCH(C1891,Radicals!$A$2:$A$215,0))</f>
        <v>metal, gold</v>
      </c>
      <c r="F1891" s="8" t="n">
        <f aca="false">INDEX(Radicals!$D$2:$D$215,MATCH(C1891,Radicals!$A$2:$A$215,0))</f>
        <v>8</v>
      </c>
      <c r="G1891" s="8" t="n">
        <v>13</v>
      </c>
    </row>
    <row r="1892" customFormat="false" ht="17.35" hidden="false" customHeight="false" outlineLevel="0" collapsed="false">
      <c r="A1892" s="8" t="n">
        <v>1891</v>
      </c>
      <c r="B1892" s="9" t="s">
        <v>2863</v>
      </c>
      <c r="C1892" s="8" t="n">
        <v>75</v>
      </c>
      <c r="D1892" s="9" t="str">
        <f aca="false">INDEX(Radicals!$B$2:$B$215,MATCH(C1892,Radicals!$A$2:$A$215,0))</f>
        <v>木</v>
      </c>
      <c r="E1892" s="10" t="str">
        <f aca="false">INDEX(Radicals!$G$2:$G$215,MATCH(C1892,Radicals!$A$2:$A$215,0))</f>
        <v>tree, wood</v>
      </c>
      <c r="F1892" s="8" t="n">
        <f aca="false">INDEX(Radicals!$D$2:$D$215,MATCH(C1892,Radicals!$A$2:$A$215,0))</f>
        <v>4</v>
      </c>
      <c r="G1892" s="8" t="n">
        <v>6</v>
      </c>
    </row>
    <row r="1893" customFormat="false" ht="17.35" hidden="false" customHeight="false" outlineLevel="0" collapsed="false">
      <c r="A1893" s="8" t="n">
        <v>1892</v>
      </c>
      <c r="B1893" s="9" t="s">
        <v>2864</v>
      </c>
      <c r="C1893" s="8" t="n">
        <v>79</v>
      </c>
      <c r="D1893" s="9" t="str">
        <f aca="false">INDEX(Radicals!$B$2:$B$215,MATCH(C1893,Radicals!$A$2:$A$215,0))</f>
        <v>殳</v>
      </c>
      <c r="E1893" s="10" t="str">
        <f aca="false">INDEX(Radicals!$G$2:$G$215,MATCH(C1893,Radicals!$A$2:$A$215,0))</f>
        <v>weapon, to strike</v>
      </c>
      <c r="F1893" s="8" t="n">
        <f aca="false">INDEX(Radicals!$D$2:$D$215,MATCH(C1893,Radicals!$A$2:$A$215,0))</f>
        <v>4</v>
      </c>
      <c r="G1893" s="8" t="n">
        <v>11</v>
      </c>
    </row>
    <row r="1894" customFormat="false" ht="17.35" hidden="false" customHeight="false" outlineLevel="0" collapsed="false">
      <c r="A1894" s="8" t="n">
        <v>1893</v>
      </c>
      <c r="B1894" s="9" t="s">
        <v>2865</v>
      </c>
      <c r="C1894" s="8" t="n">
        <v>8</v>
      </c>
      <c r="D1894" s="9" t="str">
        <f aca="false">INDEX(Radicals!$B$2:$B$215,MATCH(C1894,Radicals!$A$2:$A$215,0))</f>
        <v>亠</v>
      </c>
      <c r="E1894" s="10" t="str">
        <f aca="false">INDEX(Radicals!$G$2:$G$215,MATCH(C1894,Radicals!$A$2:$A$215,0))</f>
        <v>lid, top</v>
      </c>
      <c r="F1894" s="8" t="n">
        <f aca="false">INDEX(Radicals!$D$2:$D$215,MATCH(C1894,Radicals!$A$2:$A$215,0))</f>
        <v>2</v>
      </c>
      <c r="G1894" s="8" t="n">
        <v>8</v>
      </c>
    </row>
    <row r="1895" customFormat="false" ht="17.35" hidden="false" customHeight="false" outlineLevel="0" collapsed="false">
      <c r="A1895" s="8" t="n">
        <v>1894</v>
      </c>
      <c r="B1895" s="9" t="s">
        <v>2866</v>
      </c>
      <c r="C1895" s="8" t="n">
        <v>115</v>
      </c>
      <c r="D1895" s="9" t="str">
        <f aca="false">INDEX(Radicals!$B$2:$B$215,MATCH(C1895,Radicals!$A$2:$A$215,0))</f>
        <v>禾</v>
      </c>
      <c r="E1895" s="10" t="str">
        <f aca="false">INDEX(Radicals!$G$2:$G$215,MATCH(C1895,Radicals!$A$2:$A$215,0))</f>
        <v>grain, rice plant</v>
      </c>
      <c r="F1895" s="8" t="n">
        <f aca="false">INDEX(Radicals!$D$2:$D$215,MATCH(C1895,Radicals!$A$2:$A$215,0))</f>
        <v>5</v>
      </c>
      <c r="G1895" s="8" t="n">
        <v>10</v>
      </c>
    </row>
    <row r="1896" customFormat="false" ht="17.35" hidden="false" customHeight="false" outlineLevel="0" collapsed="false">
      <c r="A1896" s="8" t="n">
        <v>1895</v>
      </c>
      <c r="B1896" s="9" t="s">
        <v>2867</v>
      </c>
      <c r="C1896" s="8" t="n">
        <v>140</v>
      </c>
      <c r="D1896" s="9" t="str">
        <f aca="false">INDEX(Radicals!$B$2:$B$215,MATCH(C1896,Radicals!$A$2:$A$215,0))</f>
        <v>艸</v>
      </c>
      <c r="E1896" s="10" t="str">
        <f aca="false">INDEX(Radicals!$G$2:$G$215,MATCH(C1896,Radicals!$A$2:$A$215,0))</f>
        <v>grass, plant</v>
      </c>
      <c r="F1896" s="8" t="n">
        <f aca="false">INDEX(Radicals!$D$2:$D$215,MATCH(C1896,Radicals!$A$2:$A$215,0))</f>
        <v>6</v>
      </c>
      <c r="G1896" s="8" t="n">
        <v>8</v>
      </c>
    </row>
    <row r="1897" customFormat="false" ht="17.35" hidden="false" customHeight="false" outlineLevel="0" collapsed="false">
      <c r="A1897" s="8" t="n">
        <v>1896</v>
      </c>
      <c r="B1897" s="9" t="s">
        <v>2868</v>
      </c>
      <c r="C1897" s="8" t="n">
        <v>140</v>
      </c>
      <c r="D1897" s="9" t="str">
        <f aca="false">INDEX(Radicals!$B$2:$B$215,MATCH(C1897,Radicals!$A$2:$A$215,0))</f>
        <v>艸</v>
      </c>
      <c r="E1897" s="10" t="str">
        <f aca="false">INDEX(Radicals!$G$2:$G$215,MATCH(C1897,Radicals!$A$2:$A$215,0))</f>
        <v>grass, plant</v>
      </c>
      <c r="F1897" s="8" t="n">
        <f aca="false">INDEX(Radicals!$D$2:$D$215,MATCH(C1897,Radicals!$A$2:$A$215,0))</f>
        <v>6</v>
      </c>
      <c r="G1897" s="8" t="n">
        <v>18</v>
      </c>
    </row>
    <row r="1898" customFormat="false" ht="17.35" hidden="false" customHeight="false" outlineLevel="0" collapsed="false">
      <c r="A1898" s="8" t="n">
        <v>1897</v>
      </c>
      <c r="B1898" s="9" t="s">
        <v>2869</v>
      </c>
      <c r="C1898" s="8" t="n">
        <v>85</v>
      </c>
      <c r="D1898" s="9" t="str">
        <f aca="false">INDEX(Radicals!$B$2:$B$215,MATCH(C1898,Radicals!$A$2:$A$215,0))</f>
        <v>水</v>
      </c>
      <c r="E1898" s="10" t="str">
        <f aca="false">INDEX(Radicals!$G$2:$G$215,MATCH(C1898,Radicals!$A$2:$A$215,0))</f>
        <v>water</v>
      </c>
      <c r="F1898" s="8" t="n">
        <f aca="false">INDEX(Radicals!$D$2:$D$215,MATCH(C1898,Radicals!$A$2:$A$215,0))</f>
        <v>4</v>
      </c>
      <c r="G1898" s="8" t="n">
        <v>7</v>
      </c>
    </row>
    <row r="1899" customFormat="false" ht="17.35" hidden="false" customHeight="false" outlineLevel="0" collapsed="false">
      <c r="A1899" s="8" t="n">
        <v>1898</v>
      </c>
      <c r="B1899" s="9" t="s">
        <v>2870</v>
      </c>
      <c r="C1899" s="8" t="n">
        <v>159</v>
      </c>
      <c r="D1899" s="9" t="str">
        <f aca="false">INDEX(Radicals!$B$2:$B$215,MATCH(C1899,Radicals!$A$2:$A$215,0))</f>
        <v>車</v>
      </c>
      <c r="E1899" s="10" t="str">
        <f aca="false">INDEX(Radicals!$G$2:$G$215,MATCH(C1899,Radicals!$A$2:$A$215,0))</f>
        <v>cart, vehicle</v>
      </c>
      <c r="F1899" s="8" t="n">
        <f aca="false">INDEX(Radicals!$D$2:$D$215,MATCH(C1899,Radicals!$A$2:$A$215,0))</f>
        <v>7</v>
      </c>
      <c r="G1899" s="8" t="n">
        <v>14</v>
      </c>
    </row>
    <row r="1900" customFormat="false" ht="17.35" hidden="false" customHeight="false" outlineLevel="0" collapsed="false">
      <c r="A1900" s="8" t="n">
        <v>1899</v>
      </c>
      <c r="B1900" s="9" t="s">
        <v>2871</v>
      </c>
      <c r="C1900" s="8" t="n">
        <v>72</v>
      </c>
      <c r="D1900" s="9" t="str">
        <f aca="false">INDEX(Radicals!$B$2:$B$215,MATCH(C1900,Radicals!$A$2:$A$215,0))</f>
        <v>日</v>
      </c>
      <c r="E1900" s="10" t="str">
        <f aca="false">INDEX(Radicals!$G$2:$G$215,MATCH(C1900,Radicals!$A$2:$A$215,0))</f>
        <v>sun, day</v>
      </c>
      <c r="F1900" s="8" t="n">
        <f aca="false">INDEX(Radicals!$D$2:$D$215,MATCH(C1900,Radicals!$A$2:$A$215,0))</f>
        <v>4</v>
      </c>
      <c r="G1900" s="8" t="n">
        <v>16</v>
      </c>
    </row>
    <row r="1901" customFormat="false" ht="17.35" hidden="false" customHeight="false" outlineLevel="0" collapsed="false">
      <c r="A1901" s="8" t="n">
        <v>1900</v>
      </c>
      <c r="B1901" s="9" t="s">
        <v>2872</v>
      </c>
      <c r="C1901" s="8" t="n">
        <v>38</v>
      </c>
      <c r="D1901" s="9" t="str">
        <f aca="false">INDEX(Radicals!$B$2:$B$215,MATCH(C1901,Radicals!$A$2:$A$215,0))</f>
        <v>女</v>
      </c>
      <c r="E1901" s="10" t="str">
        <f aca="false">INDEX(Radicals!$G$2:$G$215,MATCH(C1901,Radicals!$A$2:$A$215,0))</f>
        <v>woman</v>
      </c>
      <c r="F1901" s="8" t="n">
        <f aca="false">INDEX(Radicals!$D$2:$D$215,MATCH(C1901,Radicals!$A$2:$A$215,0))</f>
        <v>3</v>
      </c>
      <c r="G1901" s="8" t="n">
        <v>12</v>
      </c>
    </row>
    <row r="1902" customFormat="false" ht="17.35" hidden="false" customHeight="false" outlineLevel="0" collapsed="false">
      <c r="A1902" s="8" t="n">
        <v>1901</v>
      </c>
      <c r="B1902" s="9" t="s">
        <v>2873</v>
      </c>
      <c r="C1902" s="8" t="n">
        <v>196</v>
      </c>
      <c r="D1902" s="9" t="str">
        <f aca="false">INDEX(Radicals!$B$2:$B$215,MATCH(C1902,Radicals!$A$2:$A$215,0))</f>
        <v>鳥</v>
      </c>
      <c r="E1902" s="10" t="str">
        <f aca="false">INDEX(Radicals!$G$2:$G$215,MATCH(C1902,Radicals!$A$2:$A$215,0))</f>
        <v>bird</v>
      </c>
      <c r="F1902" s="8" t="n">
        <f aca="false">INDEX(Radicals!$D$2:$D$215,MATCH(C1902,Radicals!$A$2:$A$215,0))</f>
        <v>11</v>
      </c>
      <c r="G1902" s="8" t="n">
        <v>19</v>
      </c>
    </row>
    <row r="1903" customFormat="false" ht="17.35" hidden="false" customHeight="false" outlineLevel="0" collapsed="false">
      <c r="A1903" s="8" t="n">
        <v>1902</v>
      </c>
      <c r="B1903" s="9" t="s">
        <v>2874</v>
      </c>
      <c r="C1903" s="8" t="n">
        <v>113</v>
      </c>
      <c r="D1903" s="9" t="str">
        <f aca="false">INDEX(Radicals!$B$2:$B$215,MATCH(C1903,Radicals!$A$2:$A$215,0))</f>
        <v>示</v>
      </c>
      <c r="E1903" s="10" t="str">
        <f aca="false">INDEX(Radicals!$G$2:$G$215,MATCH(C1903,Radicals!$A$2:$A$215,0))</f>
        <v>spirit, altar, show</v>
      </c>
      <c r="F1903" s="8" t="n">
        <f aca="false">INDEX(Radicals!$D$2:$D$215,MATCH(C1903,Radicals!$A$2:$A$215,0))</f>
        <v>5</v>
      </c>
      <c r="G1903" s="8" t="n">
        <v>13</v>
      </c>
    </row>
    <row r="1904" customFormat="false" ht="17.35" hidden="false" customHeight="false" outlineLevel="0" collapsed="false">
      <c r="A1904" s="8" t="n">
        <v>1903</v>
      </c>
      <c r="B1904" s="9" t="s">
        <v>2875</v>
      </c>
      <c r="C1904" s="8" t="n">
        <v>30</v>
      </c>
      <c r="D1904" s="9" t="str">
        <f aca="false">INDEX(Radicals!$B$2:$B$215,MATCH(C1904,Radicals!$A$2:$A$215,0))</f>
        <v>口</v>
      </c>
      <c r="E1904" s="10" t="str">
        <f aca="false">INDEX(Radicals!$G$2:$G$215,MATCH(C1904,Radicals!$A$2:$A$215,0))</f>
        <v>mouth</v>
      </c>
      <c r="F1904" s="8" t="n">
        <f aca="false">INDEX(Radicals!$D$2:$D$215,MATCH(C1904,Radicals!$A$2:$A$215,0))</f>
        <v>3</v>
      </c>
      <c r="G1904" s="8" t="n">
        <v>15</v>
      </c>
    </row>
    <row r="1905" customFormat="false" ht="17.35" hidden="false" customHeight="false" outlineLevel="0" collapsed="false">
      <c r="A1905" s="8" t="n">
        <v>1904</v>
      </c>
      <c r="B1905" s="9" t="s">
        <v>2876</v>
      </c>
      <c r="C1905" s="8" t="n">
        <v>130</v>
      </c>
      <c r="D1905" s="9" t="str">
        <f aca="false">INDEX(Radicals!$B$2:$B$215,MATCH(C1905,Radicals!$A$2:$A$215,0))</f>
        <v>肉</v>
      </c>
      <c r="E1905" s="10" t="str">
        <f aca="false">INDEX(Radicals!$G$2:$G$215,MATCH(C1905,Radicals!$A$2:$A$215,0))</f>
        <v>meat, flesh</v>
      </c>
      <c r="F1905" s="8" t="n">
        <f aca="false">INDEX(Radicals!$D$2:$D$215,MATCH(C1905,Radicals!$A$2:$A$215,0))</f>
        <v>6</v>
      </c>
      <c r="G1905" s="8" t="n">
        <v>10</v>
      </c>
    </row>
    <row r="1906" customFormat="false" ht="17.35" hidden="false" customHeight="false" outlineLevel="0" collapsed="false">
      <c r="A1906" s="8" t="n">
        <v>1905</v>
      </c>
      <c r="B1906" s="9" t="s">
        <v>2877</v>
      </c>
      <c r="C1906" s="8" t="n">
        <v>119</v>
      </c>
      <c r="D1906" s="9" t="str">
        <f aca="false">INDEX(Radicals!$B$2:$B$215,MATCH(C1906,Radicals!$A$2:$A$215,0))</f>
        <v>米</v>
      </c>
      <c r="E1906" s="10" t="str">
        <f aca="false">INDEX(Radicals!$G$2:$G$215,MATCH(C1906,Radicals!$A$2:$A$215,0))</f>
        <v>rice</v>
      </c>
      <c r="F1906" s="8" t="n">
        <f aca="false">INDEX(Radicals!$D$2:$D$215,MATCH(C1906,Radicals!$A$2:$A$215,0))</f>
        <v>6</v>
      </c>
      <c r="G1906" s="8" t="n">
        <v>11</v>
      </c>
    </row>
    <row r="1907" customFormat="false" ht="17.35" hidden="false" customHeight="false" outlineLevel="0" collapsed="false">
      <c r="A1907" s="8" t="n">
        <v>1906</v>
      </c>
      <c r="B1907" s="9" t="s">
        <v>2878</v>
      </c>
      <c r="C1907" s="8" t="n">
        <v>14</v>
      </c>
      <c r="D1907" s="9" t="str">
        <f aca="false">INDEX(Radicals!$B$2:$B$215,MATCH(C1907,Radicals!$A$2:$A$215,0))</f>
        <v>冖</v>
      </c>
      <c r="E1907" s="10" t="str">
        <f aca="false">INDEX(Radicals!$G$2:$G$215,MATCH(C1907,Radicals!$A$2:$A$215,0))</f>
        <v>cover, crown</v>
      </c>
      <c r="F1907" s="8" t="n">
        <f aca="false">INDEX(Radicals!$D$2:$D$215,MATCH(C1907,Radicals!$A$2:$A$215,0))</f>
        <v>2</v>
      </c>
      <c r="G1907" s="8" t="n">
        <v>11</v>
      </c>
    </row>
    <row r="1908" customFormat="false" ht="17.35" hidden="false" customHeight="false" outlineLevel="0" collapsed="false">
      <c r="A1908" s="8" t="n">
        <v>1907</v>
      </c>
      <c r="B1908" s="9" t="s">
        <v>2879</v>
      </c>
      <c r="C1908" s="8" t="n">
        <v>162</v>
      </c>
      <c r="D1908" s="9" t="str">
        <f aca="false">INDEX(Radicals!$B$2:$B$215,MATCH(C1908,Radicals!$A$2:$A$215,0))</f>
        <v>辵</v>
      </c>
      <c r="E1908" s="10" t="str">
        <f aca="false">INDEX(Radicals!$G$2:$G$215,MATCH(C1908,Radicals!$A$2:$A$215,0))</f>
        <v>walk, movement</v>
      </c>
      <c r="F1908" s="8" t="n">
        <f aca="false">INDEX(Radicals!$D$2:$D$215,MATCH(C1908,Radicals!$A$2:$A$215,0))</f>
        <v>7</v>
      </c>
      <c r="G1908" s="8" t="n">
        <v>8</v>
      </c>
    </row>
    <row r="1909" customFormat="false" ht="17.35" hidden="false" customHeight="false" outlineLevel="0" collapsed="false">
      <c r="A1909" s="8" t="n">
        <v>1908</v>
      </c>
      <c r="B1909" s="9" t="s">
        <v>2880</v>
      </c>
      <c r="C1909" s="8" t="n">
        <v>64</v>
      </c>
      <c r="D1909" s="9" t="str">
        <f aca="false">INDEX(Radicals!$B$2:$B$215,MATCH(C1909,Radicals!$A$2:$A$215,0))</f>
        <v>手</v>
      </c>
      <c r="E1909" s="10" t="str">
        <f aca="false">INDEX(Radicals!$G$2:$G$215,MATCH(C1909,Radicals!$A$2:$A$215,0))</f>
        <v>hand</v>
      </c>
      <c r="F1909" s="8" t="n">
        <f aca="false">INDEX(Radicals!$D$2:$D$215,MATCH(C1909,Radicals!$A$2:$A$215,0))</f>
        <v>4</v>
      </c>
      <c r="G1909" s="8" t="n">
        <v>10</v>
      </c>
    </row>
    <row r="1910" customFormat="false" ht="17.35" hidden="false" customHeight="false" outlineLevel="0" collapsed="false">
      <c r="A1910" s="8" t="n">
        <v>1909</v>
      </c>
      <c r="B1910" s="9" t="s">
        <v>2881</v>
      </c>
      <c r="C1910" s="8" t="n">
        <v>85</v>
      </c>
      <c r="D1910" s="9" t="str">
        <f aca="false">INDEX(Radicals!$B$2:$B$215,MATCH(C1910,Radicals!$A$2:$A$215,0))</f>
        <v>水</v>
      </c>
      <c r="E1910" s="10" t="str">
        <f aca="false">INDEX(Radicals!$G$2:$G$215,MATCH(C1910,Radicals!$A$2:$A$215,0))</f>
        <v>water</v>
      </c>
      <c r="F1910" s="8" t="n">
        <f aca="false">INDEX(Radicals!$D$2:$D$215,MATCH(C1910,Radicals!$A$2:$A$215,0))</f>
        <v>4</v>
      </c>
      <c r="G1910" s="8" t="n">
        <v>12</v>
      </c>
    </row>
    <row r="1911" customFormat="false" ht="17.35" hidden="false" customHeight="false" outlineLevel="0" collapsed="false">
      <c r="A1911" s="8" t="n">
        <v>1910</v>
      </c>
      <c r="B1911" s="9" t="s">
        <v>2882</v>
      </c>
      <c r="C1911" s="8" t="n">
        <v>46</v>
      </c>
      <c r="D1911" s="9" t="str">
        <f aca="false">INDEX(Radicals!$B$2:$B$215,MATCH(C1911,Radicals!$A$2:$A$215,0))</f>
        <v>山</v>
      </c>
      <c r="E1911" s="10" t="str">
        <f aca="false">INDEX(Radicals!$G$2:$G$215,MATCH(C1911,Radicals!$A$2:$A$215,0))</f>
        <v>mountain</v>
      </c>
      <c r="F1911" s="8" t="n">
        <f aca="false">INDEX(Radicals!$D$2:$D$215,MATCH(C1911,Radicals!$A$2:$A$215,0))</f>
        <v>3</v>
      </c>
      <c r="G1911" s="8" t="n">
        <v>12</v>
      </c>
    </row>
    <row r="1912" customFormat="false" ht="17.35" hidden="false" customHeight="false" outlineLevel="0" collapsed="false">
      <c r="A1912" s="8" t="n">
        <v>1911</v>
      </c>
      <c r="B1912" s="9" t="s">
        <v>2883</v>
      </c>
      <c r="C1912" s="8" t="n">
        <v>75</v>
      </c>
      <c r="D1912" s="9" t="str">
        <f aca="false">INDEX(Radicals!$B$2:$B$215,MATCH(C1912,Radicals!$A$2:$A$215,0))</f>
        <v>木</v>
      </c>
      <c r="E1912" s="10" t="str">
        <f aca="false">INDEX(Radicals!$G$2:$G$215,MATCH(C1912,Radicals!$A$2:$A$215,0))</f>
        <v>tree, wood</v>
      </c>
      <c r="F1912" s="8" t="n">
        <f aca="false">INDEX(Radicals!$D$2:$D$215,MATCH(C1912,Radicals!$A$2:$A$215,0))</f>
        <v>4</v>
      </c>
      <c r="G1912" s="8" t="n">
        <v>12</v>
      </c>
    </row>
    <row r="1913" customFormat="false" ht="17.35" hidden="false" customHeight="false" outlineLevel="0" collapsed="false">
      <c r="A1913" s="8" t="n">
        <v>1912</v>
      </c>
      <c r="B1913" s="9" t="s">
        <v>2884</v>
      </c>
      <c r="C1913" s="8" t="n">
        <v>85</v>
      </c>
      <c r="D1913" s="9" t="str">
        <f aca="false">INDEX(Radicals!$B$2:$B$215,MATCH(C1913,Radicals!$A$2:$A$215,0))</f>
        <v>水</v>
      </c>
      <c r="E1913" s="10" t="str">
        <f aca="false">INDEX(Radicals!$G$2:$G$215,MATCH(C1913,Radicals!$A$2:$A$215,0))</f>
        <v>water</v>
      </c>
      <c r="F1913" s="8" t="n">
        <f aca="false">INDEX(Radicals!$D$2:$D$215,MATCH(C1913,Radicals!$A$2:$A$215,0))</f>
        <v>4</v>
      </c>
      <c r="G1913" s="8" t="n">
        <v>21</v>
      </c>
    </row>
    <row r="1914" customFormat="false" ht="17.35" hidden="false" customHeight="false" outlineLevel="0" collapsed="false">
      <c r="A1914" s="8" t="n">
        <v>1913</v>
      </c>
      <c r="B1914" s="9" t="s">
        <v>2885</v>
      </c>
      <c r="C1914" s="8" t="n">
        <v>32</v>
      </c>
      <c r="D1914" s="9" t="str">
        <f aca="false">INDEX(Radicals!$B$2:$B$215,MATCH(C1914,Radicals!$A$2:$A$215,0))</f>
        <v>土</v>
      </c>
      <c r="E1914" s="10" t="str">
        <f aca="false">INDEX(Radicals!$G$2:$G$215,MATCH(C1914,Radicals!$A$2:$A$215,0))</f>
        <v>earth, soil</v>
      </c>
      <c r="F1914" s="8" t="n">
        <f aca="false">INDEX(Radicals!$D$2:$D$215,MATCH(C1914,Radicals!$A$2:$A$215,0))</f>
        <v>3</v>
      </c>
      <c r="G1914" s="8" t="n">
        <v>12</v>
      </c>
    </row>
    <row r="1915" customFormat="false" ht="17.35" hidden="false" customHeight="false" outlineLevel="0" collapsed="false">
      <c r="A1915" s="8" t="n">
        <v>1914</v>
      </c>
      <c r="B1915" s="9" t="s">
        <v>2886</v>
      </c>
      <c r="C1915" s="8" t="n">
        <v>94</v>
      </c>
      <c r="D1915" s="9" t="str">
        <f aca="false">INDEX(Radicals!$B$2:$B$215,MATCH(C1915,Radicals!$A$2:$A$215,0))</f>
        <v>犬</v>
      </c>
      <c r="E1915" s="10" t="str">
        <f aca="false">INDEX(Radicals!$G$2:$G$215,MATCH(C1915,Radicals!$A$2:$A$215,0))</f>
        <v>dog</v>
      </c>
      <c r="F1915" s="8" t="n">
        <f aca="false">INDEX(Radicals!$D$2:$D$215,MATCH(C1915,Radicals!$A$2:$A$215,0))</f>
        <v>4</v>
      </c>
      <c r="G1915" s="8" t="n">
        <v>13</v>
      </c>
    </row>
    <row r="1916" customFormat="false" ht="17.35" hidden="false" customHeight="false" outlineLevel="0" collapsed="false">
      <c r="A1916" s="8" t="n">
        <v>1915</v>
      </c>
      <c r="B1916" s="9" t="s">
        <v>2887</v>
      </c>
      <c r="C1916" s="8" t="n">
        <v>38</v>
      </c>
      <c r="D1916" s="9" t="str">
        <f aca="false">INDEX(Radicals!$B$2:$B$215,MATCH(C1916,Radicals!$A$2:$A$215,0))</f>
        <v>女</v>
      </c>
      <c r="E1916" s="10" t="str">
        <f aca="false">INDEX(Radicals!$G$2:$G$215,MATCH(C1916,Radicals!$A$2:$A$215,0))</f>
        <v>woman</v>
      </c>
      <c r="F1916" s="8" t="n">
        <f aca="false">INDEX(Radicals!$D$2:$D$215,MATCH(C1916,Radicals!$A$2:$A$215,0))</f>
        <v>3</v>
      </c>
      <c r="G1916" s="8" t="n">
        <v>9</v>
      </c>
    </row>
    <row r="1917" customFormat="false" ht="17.35" hidden="false" customHeight="false" outlineLevel="0" collapsed="false">
      <c r="A1917" s="8" t="n">
        <v>1916</v>
      </c>
      <c r="B1917" s="9" t="s">
        <v>2888</v>
      </c>
      <c r="C1917" s="8" t="n">
        <v>120</v>
      </c>
      <c r="D1917" s="9" t="str">
        <f aca="false">INDEX(Radicals!$B$2:$B$215,MATCH(C1917,Radicals!$A$2:$A$215,0))</f>
        <v>糸</v>
      </c>
      <c r="E1917" s="10" t="str">
        <f aca="false">INDEX(Radicals!$G$2:$G$215,MATCH(C1917,Radicals!$A$2:$A$215,0))</f>
        <v>thread, silk</v>
      </c>
      <c r="F1917" s="8" t="n">
        <f aca="false">INDEX(Radicals!$D$2:$D$215,MATCH(C1917,Radicals!$A$2:$A$215,0))</f>
        <v>6</v>
      </c>
      <c r="G1917" s="8" t="n">
        <v>13</v>
      </c>
    </row>
    <row r="1918" customFormat="false" ht="17.35" hidden="false" customHeight="false" outlineLevel="0" collapsed="false">
      <c r="A1918" s="8" t="n">
        <v>1917</v>
      </c>
      <c r="B1918" s="9" t="s">
        <v>2889</v>
      </c>
      <c r="C1918" s="8" t="n">
        <v>170</v>
      </c>
      <c r="D1918" s="9" t="str">
        <f aca="false">INDEX(Radicals!$B$2:$B$215,MATCH(C1918,Radicals!$A$2:$A$215,0))</f>
        <v>阜</v>
      </c>
      <c r="E1918" s="10" t="str">
        <f aca="false">INDEX(Radicals!$G$2:$G$215,MATCH(C1918,Radicals!$A$2:$A$215,0))</f>
        <v>mound, hill</v>
      </c>
      <c r="F1918" s="8" t="n">
        <f aca="false">INDEX(Radicals!$D$2:$D$215,MATCH(C1918,Radicals!$A$2:$A$215,0))</f>
        <v>8</v>
      </c>
      <c r="G1918" s="8" t="n">
        <v>11</v>
      </c>
    </row>
    <row r="1919" customFormat="false" ht="17.35" hidden="false" customHeight="false" outlineLevel="0" collapsed="false">
      <c r="A1919" s="8" t="n">
        <v>1918</v>
      </c>
      <c r="B1919" s="9" t="s">
        <v>2890</v>
      </c>
      <c r="C1919" s="8" t="n">
        <v>18</v>
      </c>
      <c r="D1919" s="9" t="str">
        <f aca="false">INDEX(Radicals!$B$2:$B$215,MATCH(C1919,Radicals!$A$2:$A$215,0))</f>
        <v>刀</v>
      </c>
      <c r="E1919" s="10" t="str">
        <f aca="false">INDEX(Radicals!$G$2:$G$215,MATCH(C1919,Radicals!$A$2:$A$215,0))</f>
        <v>knife, sword</v>
      </c>
      <c r="F1919" s="8" t="n">
        <f aca="false">INDEX(Radicals!$D$2:$D$215,MATCH(C1919,Radicals!$A$2:$A$215,0))</f>
        <v>2</v>
      </c>
      <c r="G1919" s="8" t="n">
        <v>10</v>
      </c>
    </row>
    <row r="1920" customFormat="false" ht="17.35" hidden="false" customHeight="false" outlineLevel="0" collapsed="false">
      <c r="A1920" s="8" t="n">
        <v>1919</v>
      </c>
      <c r="B1920" s="9" t="s">
        <v>2891</v>
      </c>
      <c r="C1920" s="8" t="n">
        <v>149</v>
      </c>
      <c r="D1920" s="9" t="str">
        <f aca="false">INDEX(Radicals!$B$2:$B$215,MATCH(C1920,Radicals!$A$2:$A$215,0))</f>
        <v>言</v>
      </c>
      <c r="E1920" s="10" t="str">
        <f aca="false">INDEX(Radicals!$G$2:$G$215,MATCH(C1920,Radicals!$A$2:$A$215,0))</f>
        <v>speech, say</v>
      </c>
      <c r="F1920" s="8" t="n">
        <f aca="false">INDEX(Radicals!$D$2:$D$215,MATCH(C1920,Radicals!$A$2:$A$215,0))</f>
        <v>7</v>
      </c>
      <c r="G1920" s="8" t="n">
        <v>19</v>
      </c>
    </row>
    <row r="1921" customFormat="false" ht="17.35" hidden="false" customHeight="false" outlineLevel="0" collapsed="false">
      <c r="A1921" s="8" t="n">
        <v>1920</v>
      </c>
      <c r="B1921" s="9" t="s">
        <v>2892</v>
      </c>
      <c r="C1921" s="8" t="n">
        <v>163</v>
      </c>
      <c r="D1921" s="9" t="str">
        <f aca="false">INDEX(Radicals!$B$2:$B$215,MATCH(C1921,Radicals!$A$2:$A$215,0))</f>
        <v>邑</v>
      </c>
      <c r="E1921" s="10" t="str">
        <f aca="false">INDEX(Radicals!$G$2:$G$215,MATCH(C1921,Radicals!$A$2:$A$215,0))</f>
        <v>city, village</v>
      </c>
      <c r="F1921" s="8" t="n">
        <f aca="false">INDEX(Radicals!$D$2:$D$215,MATCH(C1921,Radicals!$A$2:$A$215,0))</f>
        <v>7</v>
      </c>
      <c r="G1921" s="8" t="n">
        <v>9</v>
      </c>
    </row>
    <row r="1922" customFormat="false" ht="17.35" hidden="false" customHeight="false" outlineLevel="0" collapsed="false">
      <c r="A1922" s="8" t="n">
        <v>1921</v>
      </c>
      <c r="B1922" s="9" t="s">
        <v>2893</v>
      </c>
      <c r="C1922" s="8" t="n">
        <v>61</v>
      </c>
      <c r="D1922" s="9" t="str">
        <f aca="false">INDEX(Radicals!$B$2:$B$215,MATCH(C1922,Radicals!$A$2:$A$215,0))</f>
        <v>心</v>
      </c>
      <c r="E1922" s="10" t="str">
        <f aca="false">INDEX(Radicals!$G$2:$G$215,MATCH(C1922,Radicals!$A$2:$A$215,0))</f>
        <v>heart, mind</v>
      </c>
      <c r="F1922" s="8" t="n">
        <f aca="false">INDEX(Radicals!$D$2:$D$215,MATCH(C1922,Radicals!$A$2:$A$215,0))</f>
        <v>4</v>
      </c>
      <c r="G1922" s="8" t="n">
        <v>11</v>
      </c>
    </row>
    <row r="1923" customFormat="false" ht="17.35" hidden="false" customHeight="false" outlineLevel="0" collapsed="false">
      <c r="A1923" s="8" t="n">
        <v>1922</v>
      </c>
      <c r="B1923" s="9" t="s">
        <v>2894</v>
      </c>
      <c r="C1923" s="8" t="n">
        <v>85</v>
      </c>
      <c r="D1923" s="9" t="str">
        <f aca="false">INDEX(Radicals!$B$2:$B$215,MATCH(C1923,Radicals!$A$2:$A$215,0))</f>
        <v>水</v>
      </c>
      <c r="E1923" s="10" t="str">
        <f aca="false">INDEX(Radicals!$G$2:$G$215,MATCH(C1923,Radicals!$A$2:$A$215,0))</f>
        <v>water</v>
      </c>
      <c r="F1923" s="8" t="n">
        <f aca="false">INDEX(Radicals!$D$2:$D$215,MATCH(C1923,Radicals!$A$2:$A$215,0))</f>
        <v>4</v>
      </c>
      <c r="G1923" s="8" t="n">
        <v>11</v>
      </c>
    </row>
    <row r="1924" customFormat="false" ht="17.35" hidden="false" customHeight="false" outlineLevel="0" collapsed="false">
      <c r="A1924" s="8" t="n">
        <v>1923</v>
      </c>
      <c r="B1924" s="9" t="s">
        <v>2895</v>
      </c>
      <c r="C1924" s="8" t="n">
        <v>50</v>
      </c>
      <c r="D1924" s="9" t="str">
        <f aca="false">INDEX(Radicals!$B$2:$B$215,MATCH(C1924,Radicals!$A$2:$A$215,0))</f>
        <v>巾</v>
      </c>
      <c r="E1924" s="10" t="str">
        <f aca="false">INDEX(Radicals!$G$2:$G$215,MATCH(C1924,Radicals!$A$2:$A$215,0))</f>
        <v>turban, cloth</v>
      </c>
      <c r="F1924" s="8" t="n">
        <f aca="false">INDEX(Radicals!$D$2:$D$215,MATCH(C1924,Radicals!$A$2:$A$215,0))</f>
        <v>3</v>
      </c>
      <c r="G1924" s="8" t="n">
        <v>6</v>
      </c>
    </row>
    <row r="1925" customFormat="false" ht="17.35" hidden="false" customHeight="false" outlineLevel="0" collapsed="false">
      <c r="A1925" s="8" t="n">
        <v>1924</v>
      </c>
      <c r="B1925" s="9" t="s">
        <v>2896</v>
      </c>
      <c r="C1925" s="8" t="n">
        <v>72</v>
      </c>
      <c r="D1925" s="9" t="str">
        <f aca="false">INDEX(Radicals!$B$2:$B$215,MATCH(C1925,Radicals!$A$2:$A$215,0))</f>
        <v>日</v>
      </c>
      <c r="E1925" s="10" t="str">
        <f aca="false">INDEX(Radicals!$G$2:$G$215,MATCH(C1925,Radicals!$A$2:$A$215,0))</f>
        <v>sun, day</v>
      </c>
      <c r="F1925" s="8" t="n">
        <f aca="false">INDEX(Radicals!$D$2:$D$215,MATCH(C1925,Radicals!$A$2:$A$215,0))</f>
        <v>4</v>
      </c>
      <c r="G1925" s="8" t="n">
        <v>12</v>
      </c>
    </row>
    <row r="1926" customFormat="false" ht="17.35" hidden="false" customHeight="false" outlineLevel="0" collapsed="false">
      <c r="A1926" s="8" t="n">
        <v>1925</v>
      </c>
      <c r="B1926" s="9" t="s">
        <v>2897</v>
      </c>
      <c r="C1926" s="8" t="n">
        <v>196</v>
      </c>
      <c r="D1926" s="9" t="str">
        <f aca="false">INDEX(Radicals!$B$2:$B$215,MATCH(C1926,Radicals!$A$2:$A$215,0))</f>
        <v>鳥</v>
      </c>
      <c r="E1926" s="10" t="str">
        <f aca="false">INDEX(Radicals!$G$2:$G$215,MATCH(C1926,Radicals!$A$2:$A$215,0))</f>
        <v>bird</v>
      </c>
      <c r="F1926" s="8" t="n">
        <f aca="false">INDEX(Radicals!$D$2:$D$215,MATCH(C1926,Radicals!$A$2:$A$215,0))</f>
        <v>11</v>
      </c>
      <c r="G1926" s="8" t="n">
        <v>23</v>
      </c>
    </row>
    <row r="1927" customFormat="false" ht="17.35" hidden="false" customHeight="false" outlineLevel="0" collapsed="false">
      <c r="A1927" s="8" t="n">
        <v>1926</v>
      </c>
      <c r="B1927" s="9" t="s">
        <v>2898</v>
      </c>
      <c r="C1927" s="8" t="n">
        <v>9</v>
      </c>
      <c r="D1927" s="9" t="str">
        <f aca="false">INDEX(Radicals!$B$2:$B$215,MATCH(C1927,Radicals!$A$2:$A$215,0))</f>
        <v>人</v>
      </c>
      <c r="E1927" s="10" t="str">
        <f aca="false">INDEX(Radicals!$G$2:$G$215,MATCH(C1927,Radicals!$A$2:$A$215,0))</f>
        <v>person</v>
      </c>
      <c r="F1927" s="8" t="n">
        <f aca="false">INDEX(Radicals!$D$2:$D$215,MATCH(C1927,Radicals!$A$2:$A$215,0))</f>
        <v>2</v>
      </c>
      <c r="G1927" s="8" t="n">
        <v>13</v>
      </c>
    </row>
    <row r="1928" customFormat="false" ht="17.35" hidden="false" customHeight="false" outlineLevel="0" collapsed="false">
      <c r="A1928" s="8" t="n">
        <v>1927</v>
      </c>
      <c r="B1928" s="9" t="s">
        <v>2899</v>
      </c>
      <c r="C1928" s="8" t="n">
        <v>75</v>
      </c>
      <c r="D1928" s="9" t="str">
        <f aca="false">INDEX(Radicals!$B$2:$B$215,MATCH(C1928,Radicals!$A$2:$A$215,0))</f>
        <v>木</v>
      </c>
      <c r="E1928" s="10" t="str">
        <f aca="false">INDEX(Radicals!$G$2:$G$215,MATCH(C1928,Radicals!$A$2:$A$215,0))</f>
        <v>tree, wood</v>
      </c>
      <c r="F1928" s="8" t="n">
        <f aca="false">INDEX(Radicals!$D$2:$D$215,MATCH(C1928,Radicals!$A$2:$A$215,0))</f>
        <v>4</v>
      </c>
      <c r="G1928" s="8" t="n">
        <v>13</v>
      </c>
    </row>
    <row r="1929" customFormat="false" ht="17.35" hidden="false" customHeight="false" outlineLevel="0" collapsed="false">
      <c r="A1929" s="8" t="n">
        <v>1928</v>
      </c>
      <c r="B1929" s="9" t="s">
        <v>2900</v>
      </c>
      <c r="C1929" s="8" t="n">
        <v>118</v>
      </c>
      <c r="D1929" s="9" t="str">
        <f aca="false">INDEX(Radicals!$B$2:$B$215,MATCH(C1929,Radicals!$A$2:$A$215,0))</f>
        <v>竹</v>
      </c>
      <c r="E1929" s="10" t="str">
        <f aca="false">INDEX(Radicals!$G$2:$G$215,MATCH(C1929,Radicals!$A$2:$A$215,0))</f>
        <v>bamboo</v>
      </c>
      <c r="F1929" s="8" t="n">
        <f aca="false">INDEX(Radicals!$D$2:$D$215,MATCH(C1929,Radicals!$A$2:$A$215,0))</f>
        <v>6</v>
      </c>
      <c r="G1929" s="8" t="n">
        <v>11</v>
      </c>
    </row>
    <row r="1930" customFormat="false" ht="17.35" hidden="false" customHeight="false" outlineLevel="0" collapsed="false">
      <c r="A1930" s="8" t="n">
        <v>1929</v>
      </c>
      <c r="B1930" s="9" t="s">
        <v>2901</v>
      </c>
      <c r="C1930" s="8" t="n">
        <v>140</v>
      </c>
      <c r="D1930" s="9" t="str">
        <f aca="false">INDEX(Radicals!$B$2:$B$215,MATCH(C1930,Radicals!$A$2:$A$215,0))</f>
        <v>艸</v>
      </c>
      <c r="E1930" s="10" t="str">
        <f aca="false">INDEX(Radicals!$G$2:$G$215,MATCH(C1930,Radicals!$A$2:$A$215,0))</f>
        <v>grass, plant</v>
      </c>
      <c r="F1930" s="8" t="n">
        <f aca="false">INDEX(Radicals!$D$2:$D$215,MATCH(C1930,Radicals!$A$2:$A$215,0))</f>
        <v>6</v>
      </c>
      <c r="G1930" s="8" t="n">
        <v>7</v>
      </c>
    </row>
    <row r="1931" customFormat="false" ht="17.35" hidden="false" customHeight="false" outlineLevel="0" collapsed="false">
      <c r="A1931" s="8" t="n">
        <v>1930</v>
      </c>
      <c r="B1931" s="9" t="s">
        <v>2902</v>
      </c>
      <c r="C1931" s="8" t="n">
        <v>12</v>
      </c>
      <c r="D1931" s="9" t="str">
        <f aca="false">INDEX(Radicals!$B$2:$B$215,MATCH(C1931,Radicals!$A$2:$A$215,0))</f>
        <v>八</v>
      </c>
      <c r="E1931" s="10" t="str">
        <f aca="false">INDEX(Radicals!$G$2:$G$215,MATCH(C1931,Radicals!$A$2:$A$215,0))</f>
        <v>eight</v>
      </c>
      <c r="F1931" s="8" t="n">
        <f aca="false">INDEX(Radicals!$D$2:$D$215,MATCH(C1931,Radicals!$A$2:$A$215,0))</f>
        <v>2</v>
      </c>
      <c r="G1931" s="8" t="n">
        <v>8</v>
      </c>
    </row>
    <row r="1932" customFormat="false" ht="17.35" hidden="false" customHeight="false" outlineLevel="0" collapsed="false">
      <c r="A1932" s="8" t="n">
        <v>1931</v>
      </c>
      <c r="B1932" s="9" t="s">
        <v>2903</v>
      </c>
      <c r="C1932" s="8" t="n">
        <v>96</v>
      </c>
      <c r="D1932" s="9" t="str">
        <f aca="false">INDEX(Radicals!$B$2:$B$215,MATCH(C1932,Radicals!$A$2:$A$215,0))</f>
        <v>玉</v>
      </c>
      <c r="E1932" s="10" t="str">
        <f aca="false">INDEX(Radicals!$G$2:$G$215,MATCH(C1932,Radicals!$A$2:$A$215,0))</f>
        <v>jade, king</v>
      </c>
      <c r="F1932" s="8" t="n">
        <f aca="false">INDEX(Radicals!$D$2:$D$215,MATCH(C1932,Radicals!$A$2:$A$215,0))</f>
        <v>5</v>
      </c>
      <c r="G1932" s="8" t="n">
        <v>9</v>
      </c>
    </row>
    <row r="1933" customFormat="false" ht="17.35" hidden="false" customHeight="false" outlineLevel="0" collapsed="false">
      <c r="A1933" s="8" t="n">
        <v>1932</v>
      </c>
      <c r="B1933" s="9" t="s">
        <v>2904</v>
      </c>
      <c r="C1933" s="8" t="n">
        <v>38</v>
      </c>
      <c r="D1933" s="9" t="str">
        <f aca="false">INDEX(Radicals!$B$2:$B$215,MATCH(C1933,Radicals!$A$2:$A$215,0))</f>
        <v>女</v>
      </c>
      <c r="E1933" s="10" t="str">
        <f aca="false">INDEX(Radicals!$G$2:$G$215,MATCH(C1933,Radicals!$A$2:$A$215,0))</f>
        <v>woman</v>
      </c>
      <c r="F1933" s="8" t="n">
        <f aca="false">INDEX(Radicals!$D$2:$D$215,MATCH(C1933,Radicals!$A$2:$A$215,0))</f>
        <v>3</v>
      </c>
      <c r="G1933" s="8" t="n">
        <v>5</v>
      </c>
    </row>
    <row r="1934" customFormat="false" ht="17.35" hidden="false" customHeight="false" outlineLevel="0" collapsed="false">
      <c r="A1934" s="8" t="n">
        <v>1933</v>
      </c>
      <c r="B1934" s="9" t="s">
        <v>2905</v>
      </c>
      <c r="C1934" s="8" t="n">
        <v>149</v>
      </c>
      <c r="D1934" s="9" t="str">
        <f aca="false">INDEX(Radicals!$B$2:$B$215,MATCH(C1934,Radicals!$A$2:$A$215,0))</f>
        <v>言</v>
      </c>
      <c r="E1934" s="10" t="str">
        <f aca="false">INDEX(Radicals!$G$2:$G$215,MATCH(C1934,Radicals!$A$2:$A$215,0))</f>
        <v>speech, say</v>
      </c>
      <c r="F1934" s="8" t="n">
        <f aca="false">INDEX(Radicals!$D$2:$D$215,MATCH(C1934,Radicals!$A$2:$A$215,0))</f>
        <v>7</v>
      </c>
      <c r="G1934" s="8" t="n">
        <v>15</v>
      </c>
    </row>
    <row r="1935" customFormat="false" ht="17.35" hidden="false" customHeight="false" outlineLevel="0" collapsed="false">
      <c r="A1935" s="8" t="n">
        <v>1934</v>
      </c>
      <c r="B1935" s="9" t="s">
        <v>2906</v>
      </c>
      <c r="C1935" s="8" t="n">
        <v>167</v>
      </c>
      <c r="D1935" s="9" t="str">
        <f aca="false">INDEX(Radicals!$B$2:$B$215,MATCH(C1935,Radicals!$A$2:$A$215,0))</f>
        <v>金</v>
      </c>
      <c r="E1935" s="10" t="str">
        <f aca="false">INDEX(Radicals!$G$2:$G$215,MATCH(C1935,Radicals!$A$2:$A$215,0))</f>
        <v>metal, gold</v>
      </c>
      <c r="F1935" s="8" t="n">
        <f aca="false">INDEX(Radicals!$D$2:$D$215,MATCH(C1935,Radicals!$A$2:$A$215,0))</f>
        <v>8</v>
      </c>
      <c r="G1935" s="8" t="n">
        <v>16</v>
      </c>
    </row>
    <row r="1936" customFormat="false" ht="17.35" hidden="false" customHeight="false" outlineLevel="0" collapsed="false">
      <c r="A1936" s="8" t="n">
        <v>1935</v>
      </c>
      <c r="B1936" s="9" t="s">
        <v>2907</v>
      </c>
      <c r="C1936" s="8" t="n">
        <v>64</v>
      </c>
      <c r="D1936" s="9" t="str">
        <f aca="false">INDEX(Radicals!$B$2:$B$215,MATCH(C1936,Radicals!$A$2:$A$215,0))</f>
        <v>手</v>
      </c>
      <c r="E1936" s="10" t="str">
        <f aca="false">INDEX(Radicals!$G$2:$G$215,MATCH(C1936,Radicals!$A$2:$A$215,0))</f>
        <v>hand</v>
      </c>
      <c r="F1936" s="8" t="n">
        <f aca="false">INDEX(Radicals!$D$2:$D$215,MATCH(C1936,Radicals!$A$2:$A$215,0))</f>
        <v>4</v>
      </c>
      <c r="G1936" s="8" t="n">
        <v>10</v>
      </c>
    </row>
    <row r="1937" customFormat="false" ht="17.35" hidden="false" customHeight="false" outlineLevel="0" collapsed="false">
      <c r="A1937" s="8" t="n">
        <v>1936</v>
      </c>
      <c r="B1937" s="9" t="s">
        <v>2908</v>
      </c>
      <c r="C1937" s="8" t="n">
        <v>124</v>
      </c>
      <c r="D1937" s="9" t="str">
        <f aca="false">INDEX(Radicals!$B$2:$B$215,MATCH(C1937,Radicals!$A$2:$A$215,0))</f>
        <v>羽</v>
      </c>
      <c r="E1937" s="10" t="str">
        <f aca="false">INDEX(Radicals!$G$2:$G$215,MATCH(C1937,Radicals!$A$2:$A$215,0))</f>
        <v>feather, wing</v>
      </c>
      <c r="F1937" s="8" t="n">
        <f aca="false">INDEX(Radicals!$D$2:$D$215,MATCH(C1937,Radicals!$A$2:$A$215,0))</f>
        <v>6</v>
      </c>
      <c r="G1937" s="8" t="n">
        <v>12</v>
      </c>
    </row>
    <row r="1938" customFormat="false" ht="17.35" hidden="false" customHeight="false" outlineLevel="0" collapsed="false">
      <c r="A1938" s="8" t="n">
        <v>1937</v>
      </c>
      <c r="B1938" s="9" t="s">
        <v>2909</v>
      </c>
      <c r="C1938" s="8" t="n">
        <v>162</v>
      </c>
      <c r="D1938" s="9" t="str">
        <f aca="false">INDEX(Radicals!$B$2:$B$215,MATCH(C1938,Radicals!$A$2:$A$215,0))</f>
        <v>辵</v>
      </c>
      <c r="E1938" s="10" t="str">
        <f aca="false">INDEX(Radicals!$G$2:$G$215,MATCH(C1938,Radicals!$A$2:$A$215,0))</f>
        <v>walk, movement</v>
      </c>
      <c r="F1938" s="8" t="n">
        <f aca="false">INDEX(Radicals!$D$2:$D$215,MATCH(C1938,Radicals!$A$2:$A$215,0))</f>
        <v>7</v>
      </c>
      <c r="G1938" s="8" t="n">
        <v>15</v>
      </c>
    </row>
    <row r="1939" customFormat="false" ht="17.35" hidden="false" customHeight="false" outlineLevel="0" collapsed="false">
      <c r="A1939" s="8" t="n">
        <v>1938</v>
      </c>
      <c r="B1939" s="9" t="s">
        <v>2910</v>
      </c>
      <c r="C1939" s="8" t="n">
        <v>64</v>
      </c>
      <c r="D1939" s="9" t="str">
        <f aca="false">INDEX(Radicals!$B$2:$B$215,MATCH(C1939,Radicals!$A$2:$A$215,0))</f>
        <v>手</v>
      </c>
      <c r="E1939" s="10" t="str">
        <f aca="false">INDEX(Radicals!$G$2:$G$215,MATCH(C1939,Radicals!$A$2:$A$215,0))</f>
        <v>hand</v>
      </c>
      <c r="F1939" s="8" t="n">
        <f aca="false">INDEX(Radicals!$D$2:$D$215,MATCH(C1939,Radicals!$A$2:$A$215,0))</f>
        <v>4</v>
      </c>
      <c r="G1939" s="8" t="n">
        <v>8</v>
      </c>
    </row>
    <row r="1940" customFormat="false" ht="17.35" hidden="false" customHeight="false" outlineLevel="0" collapsed="false">
      <c r="A1940" s="8" t="n">
        <v>1939</v>
      </c>
      <c r="B1940" s="9" t="s">
        <v>2911</v>
      </c>
      <c r="C1940" s="8" t="n">
        <v>9</v>
      </c>
      <c r="D1940" s="9" t="str">
        <f aca="false">INDEX(Radicals!$B$2:$B$215,MATCH(C1940,Radicals!$A$2:$A$215,0))</f>
        <v>人</v>
      </c>
      <c r="E1940" s="10" t="str">
        <f aca="false">INDEX(Radicals!$G$2:$G$215,MATCH(C1940,Radicals!$A$2:$A$215,0))</f>
        <v>person</v>
      </c>
      <c r="F1940" s="8" t="n">
        <f aca="false">INDEX(Radicals!$D$2:$D$215,MATCH(C1940,Radicals!$A$2:$A$215,0))</f>
        <v>2</v>
      </c>
      <c r="G1940" s="8" t="n">
        <v>8</v>
      </c>
    </row>
    <row r="1941" customFormat="false" ht="17.35" hidden="false" customHeight="false" outlineLevel="0" collapsed="false">
      <c r="A1941" s="8" t="n">
        <v>1940</v>
      </c>
      <c r="B1941" s="9" t="s">
        <v>2912</v>
      </c>
      <c r="C1941" s="8" t="n">
        <v>44</v>
      </c>
      <c r="D1941" s="9" t="str">
        <f aca="false">INDEX(Radicals!$B$2:$B$215,MATCH(C1941,Radicals!$A$2:$A$215,0))</f>
        <v>尸</v>
      </c>
      <c r="E1941" s="10" t="str">
        <f aca="false">INDEX(Radicals!$G$2:$G$215,MATCH(C1941,Radicals!$A$2:$A$215,0))</f>
        <v>corpse, body</v>
      </c>
      <c r="F1941" s="8" t="n">
        <f aca="false">INDEX(Radicals!$D$2:$D$215,MATCH(C1941,Radicals!$A$2:$A$215,0))</f>
        <v>3</v>
      </c>
      <c r="G1941" s="8" t="n">
        <v>4</v>
      </c>
    </row>
    <row r="1942" customFormat="false" ht="17.35" hidden="false" customHeight="false" outlineLevel="0" collapsed="false">
      <c r="A1942" s="8" t="n">
        <v>1941</v>
      </c>
      <c r="B1942" s="9" t="s">
        <v>2913</v>
      </c>
      <c r="C1942" s="8" t="n">
        <v>46</v>
      </c>
      <c r="D1942" s="9" t="str">
        <f aca="false">INDEX(Radicals!$B$2:$B$215,MATCH(C1942,Radicals!$A$2:$A$215,0))</f>
        <v>山</v>
      </c>
      <c r="E1942" s="10" t="str">
        <f aca="false">INDEX(Radicals!$G$2:$G$215,MATCH(C1942,Radicals!$A$2:$A$215,0))</f>
        <v>mountain</v>
      </c>
      <c r="F1942" s="8" t="n">
        <f aca="false">INDEX(Radicals!$D$2:$D$215,MATCH(C1942,Radicals!$A$2:$A$215,0))</f>
        <v>3</v>
      </c>
      <c r="G1942" s="8" t="n">
        <v>9</v>
      </c>
    </row>
    <row r="1943" customFormat="false" ht="17.35" hidden="false" customHeight="false" outlineLevel="0" collapsed="false">
      <c r="A1943" s="8" t="n">
        <v>1942</v>
      </c>
      <c r="B1943" s="9" t="s">
        <v>2914</v>
      </c>
      <c r="C1943" s="8" t="n">
        <v>118</v>
      </c>
      <c r="D1943" s="9" t="str">
        <f aca="false">INDEX(Radicals!$B$2:$B$215,MATCH(C1943,Radicals!$A$2:$A$215,0))</f>
        <v>竹</v>
      </c>
      <c r="E1943" s="10" t="str">
        <f aca="false">INDEX(Radicals!$G$2:$G$215,MATCH(C1943,Radicals!$A$2:$A$215,0))</f>
        <v>bamboo</v>
      </c>
      <c r="F1943" s="8" t="n">
        <f aca="false">INDEX(Radicals!$D$2:$D$215,MATCH(C1943,Radicals!$A$2:$A$215,0))</f>
        <v>6</v>
      </c>
      <c r="G1943" s="8" t="n">
        <v>16</v>
      </c>
    </row>
    <row r="1944" customFormat="false" ht="17.35" hidden="false" customHeight="false" outlineLevel="0" collapsed="false">
      <c r="A1944" s="8" t="n">
        <v>1943</v>
      </c>
      <c r="B1944" s="9" t="s">
        <v>2915</v>
      </c>
      <c r="C1944" s="8" t="n">
        <v>129</v>
      </c>
      <c r="D1944" s="9" t="str">
        <f aca="false">INDEX(Radicals!$B$2:$B$215,MATCH(C1944,Radicals!$A$2:$A$215,0))</f>
        <v>聿</v>
      </c>
      <c r="E1944" s="10" t="str">
        <f aca="false">INDEX(Radicals!$G$2:$G$215,MATCH(C1944,Radicals!$A$2:$A$215,0))</f>
        <v>brush</v>
      </c>
      <c r="F1944" s="8" t="n">
        <f aca="false">INDEX(Radicals!$D$2:$D$215,MATCH(C1944,Radicals!$A$2:$A$215,0))</f>
        <v>6</v>
      </c>
      <c r="G1944" s="8" t="n">
        <v>14</v>
      </c>
    </row>
    <row r="1945" customFormat="false" ht="17.35" hidden="false" customHeight="false" outlineLevel="0" collapsed="false">
      <c r="A1945" s="8" t="n">
        <v>1944</v>
      </c>
      <c r="B1945" s="9" t="s">
        <v>2916</v>
      </c>
      <c r="C1945" s="8" t="n">
        <v>85</v>
      </c>
      <c r="D1945" s="9" t="str">
        <f aca="false">INDEX(Radicals!$B$2:$B$215,MATCH(C1945,Radicals!$A$2:$A$215,0))</f>
        <v>水</v>
      </c>
      <c r="E1945" s="10" t="str">
        <f aca="false">INDEX(Radicals!$G$2:$G$215,MATCH(C1945,Radicals!$A$2:$A$215,0))</f>
        <v>water</v>
      </c>
      <c r="F1945" s="8" t="n">
        <f aca="false">INDEX(Radicals!$D$2:$D$215,MATCH(C1945,Radicals!$A$2:$A$215,0))</f>
        <v>4</v>
      </c>
      <c r="G1945" s="8" t="n">
        <v>11</v>
      </c>
    </row>
    <row r="1946" customFormat="false" ht="17.35" hidden="false" customHeight="false" outlineLevel="0" collapsed="false">
      <c r="A1946" s="8" t="n">
        <v>1945</v>
      </c>
      <c r="B1946" s="9" t="s">
        <v>2917</v>
      </c>
      <c r="C1946" s="8" t="n">
        <v>75</v>
      </c>
      <c r="D1946" s="9" t="str">
        <f aca="false">INDEX(Radicals!$B$2:$B$215,MATCH(C1946,Radicals!$A$2:$A$215,0))</f>
        <v>木</v>
      </c>
      <c r="E1946" s="10" t="str">
        <f aca="false">INDEX(Radicals!$G$2:$G$215,MATCH(C1946,Radicals!$A$2:$A$215,0))</f>
        <v>tree, wood</v>
      </c>
      <c r="F1946" s="8" t="n">
        <f aca="false">INDEX(Radicals!$D$2:$D$215,MATCH(C1946,Radicals!$A$2:$A$215,0))</f>
        <v>4</v>
      </c>
      <c r="G1946" s="8" t="n">
        <v>14</v>
      </c>
    </row>
    <row r="1947" customFormat="false" ht="17.35" hidden="false" customHeight="false" outlineLevel="0" collapsed="false">
      <c r="A1947" s="8" t="n">
        <v>1946</v>
      </c>
      <c r="B1947" s="9" t="s">
        <v>2918</v>
      </c>
      <c r="C1947" s="8" t="n">
        <v>9</v>
      </c>
      <c r="D1947" s="9" t="str">
        <f aca="false">INDEX(Radicals!$B$2:$B$215,MATCH(C1947,Radicals!$A$2:$A$215,0))</f>
        <v>人</v>
      </c>
      <c r="E1947" s="10" t="str">
        <f aca="false">INDEX(Radicals!$G$2:$G$215,MATCH(C1947,Radicals!$A$2:$A$215,0))</f>
        <v>person</v>
      </c>
      <c r="F1947" s="8" t="n">
        <f aca="false">INDEX(Radicals!$D$2:$D$215,MATCH(C1947,Radicals!$A$2:$A$215,0))</f>
        <v>2</v>
      </c>
      <c r="G1947" s="8" t="n">
        <v>10</v>
      </c>
    </row>
    <row r="1948" customFormat="false" ht="17.35" hidden="false" customHeight="false" outlineLevel="0" collapsed="false">
      <c r="A1948" s="8" t="n">
        <v>1947</v>
      </c>
      <c r="B1948" s="9" t="s">
        <v>2919</v>
      </c>
      <c r="C1948" s="8" t="n">
        <v>18</v>
      </c>
      <c r="D1948" s="9" t="str">
        <f aca="false">INDEX(Radicals!$B$2:$B$215,MATCH(C1948,Radicals!$A$2:$A$215,0))</f>
        <v>刀</v>
      </c>
      <c r="E1948" s="10" t="str">
        <f aca="false">INDEX(Radicals!$G$2:$G$215,MATCH(C1948,Radicals!$A$2:$A$215,0))</f>
        <v>knife, sword</v>
      </c>
      <c r="F1948" s="8" t="n">
        <f aca="false">INDEX(Radicals!$D$2:$D$215,MATCH(C1948,Radicals!$A$2:$A$215,0))</f>
        <v>2</v>
      </c>
      <c r="G1948" s="8" t="n">
        <v>15</v>
      </c>
    </row>
    <row r="1949" customFormat="false" ht="17.35" hidden="false" customHeight="false" outlineLevel="0" collapsed="false">
      <c r="A1949" s="8" t="n">
        <v>1948</v>
      </c>
      <c r="B1949" s="9" t="s">
        <v>2920</v>
      </c>
      <c r="C1949" s="8" t="n">
        <v>50</v>
      </c>
      <c r="D1949" s="9" t="str">
        <f aca="false">INDEX(Radicals!$B$2:$B$215,MATCH(C1949,Radicals!$A$2:$A$215,0))</f>
        <v>巾</v>
      </c>
      <c r="E1949" s="10" t="str">
        <f aca="false">INDEX(Radicals!$G$2:$G$215,MATCH(C1949,Radicals!$A$2:$A$215,0))</f>
        <v>turban, cloth</v>
      </c>
      <c r="F1949" s="8" t="n">
        <f aca="false">INDEX(Radicals!$D$2:$D$215,MATCH(C1949,Radicals!$A$2:$A$215,0))</f>
        <v>3</v>
      </c>
      <c r="G1949" s="8" t="n">
        <v>15</v>
      </c>
    </row>
    <row r="1950" customFormat="false" ht="17.35" hidden="false" customHeight="false" outlineLevel="0" collapsed="false">
      <c r="A1950" s="8" t="n">
        <v>1949</v>
      </c>
      <c r="B1950" s="9" t="s">
        <v>2921</v>
      </c>
      <c r="C1950" s="8" t="n">
        <v>149</v>
      </c>
      <c r="D1950" s="9" t="str">
        <f aca="false">INDEX(Radicals!$B$2:$B$215,MATCH(C1950,Radicals!$A$2:$A$215,0))</f>
        <v>言</v>
      </c>
      <c r="E1950" s="10" t="str">
        <f aca="false">INDEX(Radicals!$G$2:$G$215,MATCH(C1950,Radicals!$A$2:$A$215,0))</f>
        <v>speech, say</v>
      </c>
      <c r="F1950" s="8" t="n">
        <f aca="false">INDEX(Radicals!$D$2:$D$215,MATCH(C1950,Radicals!$A$2:$A$215,0))</f>
        <v>7</v>
      </c>
      <c r="G1950" s="8" t="n">
        <v>15</v>
      </c>
    </row>
    <row r="1951" customFormat="false" ht="17.35" hidden="false" customHeight="false" outlineLevel="0" collapsed="false">
      <c r="A1951" s="8" t="n">
        <v>1950</v>
      </c>
      <c r="B1951" s="9" t="s">
        <v>2922</v>
      </c>
      <c r="C1951" s="8" t="n">
        <v>29</v>
      </c>
      <c r="D1951" s="9" t="str">
        <f aca="false">INDEX(Radicals!$B$2:$B$215,MATCH(C1951,Radicals!$A$2:$A$215,0))</f>
        <v>又</v>
      </c>
      <c r="E1951" s="10" t="str">
        <f aca="false">INDEX(Radicals!$G$2:$G$215,MATCH(C1951,Radicals!$A$2:$A$215,0))</f>
        <v>again, right hand</v>
      </c>
      <c r="F1951" s="8" t="n">
        <f aca="false">INDEX(Radicals!$D$2:$D$215,MATCH(C1951,Radicals!$A$2:$A$215,0))</f>
        <v>2</v>
      </c>
      <c r="G1951" s="8" t="n">
        <v>8</v>
      </c>
    </row>
    <row r="1952" customFormat="false" ht="17.35" hidden="false" customHeight="false" outlineLevel="0" collapsed="false">
      <c r="A1952" s="8" t="n">
        <v>1951</v>
      </c>
      <c r="B1952" s="9" t="s">
        <v>2923</v>
      </c>
      <c r="C1952" s="8" t="n">
        <v>172</v>
      </c>
      <c r="D1952" s="9" t="str">
        <f aca="false">INDEX(Radicals!$B$2:$B$215,MATCH(C1952,Radicals!$A$2:$A$215,0))</f>
        <v>隹</v>
      </c>
      <c r="E1952" s="10" t="str">
        <f aca="false">INDEX(Radicals!$G$2:$G$215,MATCH(C1952,Radicals!$A$2:$A$215,0))</f>
        <v>short-tailed bird</v>
      </c>
      <c r="F1952" s="8" t="n">
        <f aca="false">INDEX(Radicals!$D$2:$D$215,MATCH(C1952,Radicals!$A$2:$A$215,0))</f>
        <v>8</v>
      </c>
      <c r="G1952" s="8" t="n">
        <v>14</v>
      </c>
    </row>
    <row r="1953" customFormat="false" ht="17.35" hidden="false" customHeight="false" outlineLevel="0" collapsed="false">
      <c r="A1953" s="8" t="n">
        <v>1952</v>
      </c>
      <c r="B1953" s="9" t="s">
        <v>2924</v>
      </c>
      <c r="C1953" s="8" t="n">
        <v>8</v>
      </c>
      <c r="D1953" s="9" t="str">
        <f aca="false">INDEX(Radicals!$B$2:$B$215,MATCH(C1953,Radicals!$A$2:$A$215,0))</f>
        <v>亠</v>
      </c>
      <c r="E1953" s="10" t="str">
        <f aca="false">INDEX(Radicals!$G$2:$G$215,MATCH(C1953,Radicals!$A$2:$A$215,0))</f>
        <v>lid, top</v>
      </c>
      <c r="F1953" s="8" t="n">
        <f aca="false">INDEX(Radicals!$D$2:$D$215,MATCH(C1953,Radicals!$A$2:$A$215,0))</f>
        <v>2</v>
      </c>
      <c r="G1953" s="8" t="n">
        <v>7</v>
      </c>
    </row>
    <row r="1954" customFormat="false" ht="17.35" hidden="false" customHeight="false" outlineLevel="0" collapsed="false">
      <c r="A1954" s="8" t="n">
        <v>1953</v>
      </c>
      <c r="B1954" s="9" t="s">
        <v>2925</v>
      </c>
      <c r="C1954" s="8" t="n">
        <v>32</v>
      </c>
      <c r="D1954" s="9" t="str">
        <f aca="false">INDEX(Radicals!$B$2:$B$215,MATCH(C1954,Radicals!$A$2:$A$215,0))</f>
        <v>土</v>
      </c>
      <c r="E1954" s="10" t="str">
        <f aca="false">INDEX(Radicals!$G$2:$G$215,MATCH(C1954,Radicals!$A$2:$A$215,0))</f>
        <v>earth, soil</v>
      </c>
      <c r="F1954" s="8" t="n">
        <f aca="false">INDEX(Radicals!$D$2:$D$215,MATCH(C1954,Radicals!$A$2:$A$215,0))</f>
        <v>3</v>
      </c>
      <c r="G1954" s="8" t="n">
        <v>12</v>
      </c>
    </row>
    <row r="1955" customFormat="false" ht="17.35" hidden="false" customHeight="false" outlineLevel="0" collapsed="false">
      <c r="A1955" s="8" t="n">
        <v>1954</v>
      </c>
      <c r="B1955" s="9" t="s">
        <v>2926</v>
      </c>
      <c r="C1955" s="8" t="n">
        <v>29</v>
      </c>
      <c r="D1955" s="9" t="str">
        <f aca="false">INDEX(Radicals!$B$2:$B$215,MATCH(C1955,Radicals!$A$2:$A$215,0))</f>
        <v>又</v>
      </c>
      <c r="E1955" s="10" t="str">
        <f aca="false">INDEX(Radicals!$G$2:$G$215,MATCH(C1955,Radicals!$A$2:$A$215,0))</f>
        <v>again, right hand</v>
      </c>
      <c r="F1955" s="8" t="n">
        <f aca="false">INDEX(Radicals!$D$2:$D$215,MATCH(C1955,Radicals!$A$2:$A$215,0))</f>
        <v>2</v>
      </c>
      <c r="G1955" s="8" t="n">
        <v>9</v>
      </c>
    </row>
    <row r="1956" customFormat="false" ht="17.35" hidden="false" customHeight="false" outlineLevel="0" collapsed="false">
      <c r="A1956" s="8" t="n">
        <v>1955</v>
      </c>
      <c r="B1956" s="9" t="s">
        <v>2927</v>
      </c>
      <c r="C1956" s="8" t="n">
        <v>164</v>
      </c>
      <c r="D1956" s="9" t="str">
        <f aca="false">INDEX(Radicals!$B$2:$B$215,MATCH(C1956,Radicals!$A$2:$A$215,0))</f>
        <v>酉</v>
      </c>
      <c r="E1956" s="10" t="str">
        <f aca="false">INDEX(Radicals!$G$2:$G$215,MATCH(C1956,Radicals!$A$2:$A$215,0))</f>
        <v>wine, 10th zodiac sign (rooster)</v>
      </c>
      <c r="F1956" s="8" t="n">
        <f aca="false">INDEX(Radicals!$D$2:$D$215,MATCH(C1956,Radicals!$A$2:$A$215,0))</f>
        <v>7</v>
      </c>
      <c r="G1956" s="8" t="n">
        <v>12</v>
      </c>
    </row>
    <row r="1957" customFormat="false" ht="17.35" hidden="false" customHeight="false" outlineLevel="0" collapsed="false">
      <c r="A1957" s="8" t="n">
        <v>1956</v>
      </c>
      <c r="B1957" s="9" t="s">
        <v>2928</v>
      </c>
      <c r="C1957" s="8" t="n">
        <v>30</v>
      </c>
      <c r="D1957" s="9" t="str">
        <f aca="false">INDEX(Radicals!$B$2:$B$215,MATCH(C1957,Radicals!$A$2:$A$215,0))</f>
        <v>口</v>
      </c>
      <c r="E1957" s="10" t="str">
        <f aca="false">INDEX(Radicals!$G$2:$G$215,MATCH(C1957,Radicals!$A$2:$A$215,0))</f>
        <v>mouth</v>
      </c>
      <c r="F1957" s="8" t="n">
        <f aca="false">INDEX(Radicals!$D$2:$D$215,MATCH(C1957,Radicals!$A$2:$A$215,0))</f>
        <v>3</v>
      </c>
      <c r="G1957" s="8" t="n">
        <v>7</v>
      </c>
    </row>
    <row r="1958" customFormat="false" ht="17.35" hidden="false" customHeight="false" outlineLevel="0" collapsed="false">
      <c r="A1958" s="8" t="n">
        <v>1957</v>
      </c>
      <c r="B1958" s="9" t="s">
        <v>2929</v>
      </c>
      <c r="C1958" s="8" t="n">
        <v>162</v>
      </c>
      <c r="D1958" s="9" t="str">
        <f aca="false">INDEX(Radicals!$B$2:$B$215,MATCH(C1958,Radicals!$A$2:$A$215,0))</f>
        <v>辵</v>
      </c>
      <c r="E1958" s="10" t="str">
        <f aca="false">INDEX(Radicals!$G$2:$G$215,MATCH(C1958,Radicals!$A$2:$A$215,0))</f>
        <v>walk, movement</v>
      </c>
      <c r="F1958" s="8" t="n">
        <f aca="false">INDEX(Radicals!$D$2:$D$215,MATCH(C1958,Radicals!$A$2:$A$215,0))</f>
        <v>7</v>
      </c>
      <c r="G1958" s="8" t="n">
        <v>10</v>
      </c>
    </row>
    <row r="1959" customFormat="false" ht="17.35" hidden="false" customHeight="false" outlineLevel="0" collapsed="false">
      <c r="A1959" s="8" t="n">
        <v>1958</v>
      </c>
      <c r="B1959" s="9" t="s">
        <v>2930</v>
      </c>
      <c r="C1959" s="8" t="n">
        <v>104</v>
      </c>
      <c r="D1959" s="9" t="str">
        <f aca="false">INDEX(Radicals!$B$2:$B$215,MATCH(C1959,Radicals!$A$2:$A$215,0))</f>
        <v>疒</v>
      </c>
      <c r="E1959" s="10" t="str">
        <f aca="false">INDEX(Radicals!$G$2:$G$215,MATCH(C1959,Radicals!$A$2:$A$215,0))</f>
        <v>sickness</v>
      </c>
      <c r="F1959" s="8" t="n">
        <f aca="false">INDEX(Radicals!$D$2:$D$215,MATCH(C1959,Radicals!$A$2:$A$215,0))</f>
        <v>5</v>
      </c>
      <c r="G1959" s="8" t="n">
        <v>11</v>
      </c>
    </row>
    <row r="1960" customFormat="false" ht="17.35" hidden="false" customHeight="false" outlineLevel="0" collapsed="false">
      <c r="A1960" s="8" t="n">
        <v>1959</v>
      </c>
      <c r="B1960" s="9" t="s">
        <v>2931</v>
      </c>
      <c r="C1960" s="8" t="n">
        <v>46</v>
      </c>
      <c r="D1960" s="9" t="str">
        <f aca="false">INDEX(Radicals!$B$2:$B$215,MATCH(C1960,Radicals!$A$2:$A$215,0))</f>
        <v>山</v>
      </c>
      <c r="E1960" s="10" t="str">
        <f aca="false">INDEX(Radicals!$G$2:$G$215,MATCH(C1960,Radicals!$A$2:$A$215,0))</f>
        <v>mountain</v>
      </c>
      <c r="F1960" s="8" t="n">
        <f aca="false">INDEX(Radicals!$D$2:$D$215,MATCH(C1960,Radicals!$A$2:$A$215,0))</f>
        <v>3</v>
      </c>
      <c r="G1960" s="8" t="n">
        <v>17</v>
      </c>
    </row>
    <row r="1961" customFormat="false" ht="17.35" hidden="false" customHeight="false" outlineLevel="0" collapsed="false">
      <c r="A1961" s="8" t="n">
        <v>1960</v>
      </c>
      <c r="B1961" s="9" t="s">
        <v>2932</v>
      </c>
      <c r="C1961" s="8" t="n">
        <v>145</v>
      </c>
      <c r="D1961" s="9" t="str">
        <f aca="false">INDEX(Radicals!$B$2:$B$215,MATCH(C1961,Radicals!$A$2:$A$215,0))</f>
        <v>衣</v>
      </c>
      <c r="E1961" s="10" t="str">
        <f aca="false">INDEX(Radicals!$G$2:$G$215,MATCH(C1961,Radicals!$A$2:$A$215,0))</f>
        <v>clothes</v>
      </c>
      <c r="F1961" s="8" t="n">
        <f aca="false">INDEX(Radicals!$D$2:$D$215,MATCH(C1961,Radicals!$A$2:$A$215,0))</f>
        <v>6</v>
      </c>
      <c r="G1961" s="8" t="n">
        <v>10</v>
      </c>
    </row>
    <row r="1962" customFormat="false" ht="17.35" hidden="false" customHeight="false" outlineLevel="0" collapsed="false">
      <c r="A1962" s="8" t="n">
        <v>1961</v>
      </c>
      <c r="B1962" s="9" t="s">
        <v>2933</v>
      </c>
      <c r="C1962" s="8" t="n">
        <v>99</v>
      </c>
      <c r="D1962" s="9" t="str">
        <f aca="false">INDEX(Radicals!$B$2:$B$215,MATCH(C1962,Radicals!$A$2:$A$215,0))</f>
        <v>甘</v>
      </c>
      <c r="E1962" s="10" t="str">
        <f aca="false">INDEX(Radicals!$G$2:$G$215,MATCH(C1962,Radicals!$A$2:$A$215,0))</f>
        <v>sweet</v>
      </c>
      <c r="F1962" s="8" t="n">
        <f aca="false">INDEX(Radicals!$D$2:$D$215,MATCH(C1962,Radicals!$A$2:$A$215,0))</f>
        <v>5</v>
      </c>
      <c r="G1962" s="8" t="n">
        <v>9</v>
      </c>
    </row>
    <row r="1963" customFormat="false" ht="17.35" hidden="false" customHeight="false" outlineLevel="0" collapsed="false">
      <c r="A1963" s="8" t="n">
        <v>1962</v>
      </c>
      <c r="B1963" s="9" t="s">
        <v>2934</v>
      </c>
      <c r="C1963" s="8" t="n">
        <v>30</v>
      </c>
      <c r="D1963" s="9" t="str">
        <f aca="false">INDEX(Radicals!$B$2:$B$215,MATCH(C1963,Radicals!$A$2:$A$215,0))</f>
        <v>口</v>
      </c>
      <c r="E1963" s="10" t="str">
        <f aca="false">INDEX(Radicals!$G$2:$G$215,MATCH(C1963,Radicals!$A$2:$A$215,0))</f>
        <v>mouth</v>
      </c>
      <c r="F1963" s="8" t="n">
        <f aca="false">INDEX(Radicals!$D$2:$D$215,MATCH(C1963,Radicals!$A$2:$A$215,0))</f>
        <v>3</v>
      </c>
      <c r="G1963" s="8" t="n">
        <v>12</v>
      </c>
    </row>
    <row r="1964" customFormat="false" ht="17.35" hidden="false" customHeight="false" outlineLevel="0" collapsed="false">
      <c r="A1964" s="8" t="n">
        <v>1963</v>
      </c>
      <c r="B1964" s="9" t="s">
        <v>2935</v>
      </c>
      <c r="C1964" s="8" t="n">
        <v>46</v>
      </c>
      <c r="D1964" s="9" t="str">
        <f aca="false">INDEX(Radicals!$B$2:$B$215,MATCH(C1964,Radicals!$A$2:$A$215,0))</f>
        <v>山</v>
      </c>
      <c r="E1964" s="10" t="str">
        <f aca="false">INDEX(Radicals!$G$2:$G$215,MATCH(C1964,Radicals!$A$2:$A$215,0))</f>
        <v>mountain</v>
      </c>
      <c r="F1964" s="8" t="n">
        <f aca="false">INDEX(Radicals!$D$2:$D$215,MATCH(C1964,Radicals!$A$2:$A$215,0))</f>
        <v>3</v>
      </c>
      <c r="G1964" s="8" t="n">
        <v>11</v>
      </c>
    </row>
    <row r="1965" customFormat="false" ht="17.35" hidden="false" customHeight="false" outlineLevel="0" collapsed="false">
      <c r="A1965" s="8" t="n">
        <v>1964</v>
      </c>
      <c r="B1965" s="9" t="s">
        <v>2936</v>
      </c>
      <c r="C1965" s="8" t="n">
        <v>38</v>
      </c>
      <c r="D1965" s="9" t="str">
        <f aca="false">INDEX(Radicals!$B$2:$B$215,MATCH(C1965,Radicals!$A$2:$A$215,0))</f>
        <v>女</v>
      </c>
      <c r="E1965" s="10" t="str">
        <f aca="false">INDEX(Radicals!$G$2:$G$215,MATCH(C1965,Radicals!$A$2:$A$215,0))</f>
        <v>woman</v>
      </c>
      <c r="F1965" s="8" t="n">
        <f aca="false">INDEX(Radicals!$D$2:$D$215,MATCH(C1965,Radicals!$A$2:$A$215,0))</f>
        <v>3</v>
      </c>
      <c r="G1965" s="8" t="n">
        <v>7</v>
      </c>
    </row>
    <row r="1966" customFormat="false" ht="17.35" hidden="false" customHeight="false" outlineLevel="0" collapsed="false">
      <c r="A1966" s="8" t="n">
        <v>1965</v>
      </c>
      <c r="B1966" s="9" t="s">
        <v>2937</v>
      </c>
      <c r="C1966" s="8" t="n">
        <v>96</v>
      </c>
      <c r="D1966" s="9" t="str">
        <f aca="false">INDEX(Radicals!$B$2:$B$215,MATCH(C1966,Radicals!$A$2:$A$215,0))</f>
        <v>玉</v>
      </c>
      <c r="E1966" s="10" t="str">
        <f aca="false">INDEX(Radicals!$G$2:$G$215,MATCH(C1966,Radicals!$A$2:$A$215,0))</f>
        <v>jade, king</v>
      </c>
      <c r="F1966" s="8" t="n">
        <f aca="false">INDEX(Radicals!$D$2:$D$215,MATCH(C1966,Radicals!$A$2:$A$215,0))</f>
        <v>5</v>
      </c>
      <c r="G1966" s="8" t="n">
        <v>12</v>
      </c>
    </row>
    <row r="1967" customFormat="false" ht="17.35" hidden="false" customHeight="false" outlineLevel="0" collapsed="false">
      <c r="A1967" s="8" t="n">
        <v>1966</v>
      </c>
      <c r="B1967" s="9" t="s">
        <v>2938</v>
      </c>
      <c r="C1967" s="8" t="n">
        <v>96</v>
      </c>
      <c r="D1967" s="9" t="str">
        <f aca="false">INDEX(Radicals!$B$2:$B$215,MATCH(C1967,Radicals!$A$2:$A$215,0))</f>
        <v>玉</v>
      </c>
      <c r="E1967" s="10" t="str">
        <f aca="false">INDEX(Radicals!$G$2:$G$215,MATCH(C1967,Radicals!$A$2:$A$215,0))</f>
        <v>jade, king</v>
      </c>
      <c r="F1967" s="8" t="n">
        <f aca="false">INDEX(Radicals!$D$2:$D$215,MATCH(C1967,Radicals!$A$2:$A$215,0))</f>
        <v>5</v>
      </c>
      <c r="G1967" s="8" t="n">
        <v>12</v>
      </c>
    </row>
    <row r="1968" customFormat="false" ht="17.35" hidden="false" customHeight="false" outlineLevel="0" collapsed="false">
      <c r="A1968" s="8" t="n">
        <v>1967</v>
      </c>
      <c r="B1968" s="9" t="s">
        <v>2939</v>
      </c>
      <c r="C1968" s="8" t="n">
        <v>128</v>
      </c>
      <c r="D1968" s="9" t="str">
        <f aca="false">INDEX(Radicals!$B$2:$B$215,MATCH(C1968,Radicals!$A$2:$A$215,0))</f>
        <v>耳</v>
      </c>
      <c r="E1968" s="10" t="str">
        <f aca="false">INDEX(Radicals!$G$2:$G$215,MATCH(C1968,Radicals!$A$2:$A$215,0))</f>
        <v>ear</v>
      </c>
      <c r="F1968" s="8" t="n">
        <f aca="false">INDEX(Radicals!$D$2:$D$215,MATCH(C1968,Radicals!$A$2:$A$215,0))</f>
        <v>6</v>
      </c>
      <c r="G1968" s="8" t="n">
        <v>17</v>
      </c>
    </row>
    <row r="1969" customFormat="false" ht="17.35" hidden="false" customHeight="false" outlineLevel="0" collapsed="false">
      <c r="A1969" s="8" t="n">
        <v>1968</v>
      </c>
      <c r="B1969" s="9" t="s">
        <v>2940</v>
      </c>
      <c r="C1969" s="8" t="n">
        <v>140</v>
      </c>
      <c r="D1969" s="9" t="str">
        <f aca="false">INDEX(Radicals!$B$2:$B$215,MATCH(C1969,Radicals!$A$2:$A$215,0))</f>
        <v>艸</v>
      </c>
      <c r="E1969" s="10" t="str">
        <f aca="false">INDEX(Radicals!$G$2:$G$215,MATCH(C1969,Radicals!$A$2:$A$215,0))</f>
        <v>grass, plant</v>
      </c>
      <c r="F1969" s="8" t="n">
        <f aca="false">INDEX(Radicals!$D$2:$D$215,MATCH(C1969,Radicals!$A$2:$A$215,0))</f>
        <v>6</v>
      </c>
      <c r="G1969" s="8" t="n">
        <v>19</v>
      </c>
    </row>
    <row r="1970" customFormat="false" ht="17.35" hidden="false" customHeight="false" outlineLevel="0" collapsed="false">
      <c r="A1970" s="8" t="n">
        <v>1969</v>
      </c>
      <c r="B1970" s="9" t="s">
        <v>2941</v>
      </c>
      <c r="C1970" s="8" t="n">
        <v>169</v>
      </c>
      <c r="D1970" s="9" t="str">
        <f aca="false">INDEX(Radicals!$B$2:$B$215,MATCH(C1970,Radicals!$A$2:$A$215,0))</f>
        <v>門</v>
      </c>
      <c r="E1970" s="10" t="str">
        <f aca="false">INDEX(Radicals!$G$2:$G$215,MATCH(C1970,Radicals!$A$2:$A$215,0))</f>
        <v>gate</v>
      </c>
      <c r="F1970" s="8" t="n">
        <f aca="false">INDEX(Radicals!$D$2:$D$215,MATCH(C1970,Radicals!$A$2:$A$215,0))</f>
        <v>8</v>
      </c>
      <c r="G1970" s="8" t="n">
        <v>17</v>
      </c>
    </row>
    <row r="1971" customFormat="false" ht="17.35" hidden="false" customHeight="false" outlineLevel="0" collapsed="false">
      <c r="A1971" s="8" t="n">
        <v>1970</v>
      </c>
      <c r="B1971" s="9" t="s">
        <v>2942</v>
      </c>
      <c r="C1971" s="8" t="n">
        <v>46</v>
      </c>
      <c r="D1971" s="9" t="str">
        <f aca="false">INDEX(Radicals!$B$2:$B$215,MATCH(C1971,Radicals!$A$2:$A$215,0))</f>
        <v>山</v>
      </c>
      <c r="E1971" s="10" t="str">
        <f aca="false">INDEX(Radicals!$G$2:$G$215,MATCH(C1971,Radicals!$A$2:$A$215,0))</f>
        <v>mountain</v>
      </c>
      <c r="F1971" s="8" t="n">
        <f aca="false">INDEX(Radicals!$D$2:$D$215,MATCH(C1971,Radicals!$A$2:$A$215,0))</f>
        <v>3</v>
      </c>
      <c r="G1971" s="8" t="n">
        <v>11</v>
      </c>
    </row>
    <row r="1972" customFormat="false" ht="17.35" hidden="false" customHeight="false" outlineLevel="0" collapsed="false">
      <c r="A1972" s="8" t="n">
        <v>1971</v>
      </c>
      <c r="B1972" s="9" t="s">
        <v>2943</v>
      </c>
      <c r="C1972" s="8" t="n">
        <v>85</v>
      </c>
      <c r="D1972" s="9" t="str">
        <f aca="false">INDEX(Radicals!$B$2:$B$215,MATCH(C1972,Radicals!$A$2:$A$215,0))</f>
        <v>水</v>
      </c>
      <c r="E1972" s="10" t="str">
        <f aca="false">INDEX(Radicals!$G$2:$G$215,MATCH(C1972,Radicals!$A$2:$A$215,0))</f>
        <v>water</v>
      </c>
      <c r="F1972" s="8" t="n">
        <f aca="false">INDEX(Radicals!$D$2:$D$215,MATCH(C1972,Radicals!$A$2:$A$215,0))</f>
        <v>4</v>
      </c>
      <c r="G1972" s="8" t="n">
        <v>14</v>
      </c>
    </row>
    <row r="1973" customFormat="false" ht="17.35" hidden="false" customHeight="false" outlineLevel="0" collapsed="false">
      <c r="A1973" s="8" t="n">
        <v>1972</v>
      </c>
      <c r="B1973" s="9" t="s">
        <v>2944</v>
      </c>
      <c r="C1973" s="8" t="n">
        <v>46</v>
      </c>
      <c r="D1973" s="9" t="str">
        <f aca="false">INDEX(Radicals!$B$2:$B$215,MATCH(C1973,Radicals!$A$2:$A$215,0))</f>
        <v>山</v>
      </c>
      <c r="E1973" s="10" t="str">
        <f aca="false">INDEX(Radicals!$G$2:$G$215,MATCH(C1973,Radicals!$A$2:$A$215,0))</f>
        <v>mountain</v>
      </c>
      <c r="F1973" s="8" t="n">
        <f aca="false">INDEX(Radicals!$D$2:$D$215,MATCH(C1973,Radicals!$A$2:$A$215,0))</f>
        <v>3</v>
      </c>
      <c r="G1973" s="8" t="n">
        <v>8</v>
      </c>
    </row>
    <row r="1974" customFormat="false" ht="17.35" hidden="false" customHeight="false" outlineLevel="0" collapsed="false">
      <c r="A1974" s="8" t="n">
        <v>1973</v>
      </c>
      <c r="B1974" s="9" t="s">
        <v>2945</v>
      </c>
      <c r="C1974" s="8" t="n">
        <v>104</v>
      </c>
      <c r="D1974" s="9" t="str">
        <f aca="false">INDEX(Radicals!$B$2:$B$215,MATCH(C1974,Radicals!$A$2:$A$215,0))</f>
        <v>疒</v>
      </c>
      <c r="E1974" s="10" t="str">
        <f aca="false">INDEX(Radicals!$G$2:$G$215,MATCH(C1974,Radicals!$A$2:$A$215,0))</f>
        <v>sickness</v>
      </c>
      <c r="F1974" s="8" t="n">
        <f aca="false">INDEX(Radicals!$D$2:$D$215,MATCH(C1974,Radicals!$A$2:$A$215,0))</f>
        <v>5</v>
      </c>
      <c r="G1974" s="8" t="n">
        <v>18</v>
      </c>
    </row>
    <row r="1975" customFormat="false" ht="17.35" hidden="false" customHeight="false" outlineLevel="0" collapsed="false">
      <c r="A1975" s="8" t="n">
        <v>1974</v>
      </c>
      <c r="B1975" s="9" t="s">
        <v>2946</v>
      </c>
      <c r="C1975" s="8" t="n">
        <v>61</v>
      </c>
      <c r="D1975" s="9" t="str">
        <f aca="false">INDEX(Radicals!$B$2:$B$215,MATCH(C1975,Radicals!$A$2:$A$215,0))</f>
        <v>心</v>
      </c>
      <c r="E1975" s="10" t="str">
        <f aca="false">INDEX(Radicals!$G$2:$G$215,MATCH(C1975,Radicals!$A$2:$A$215,0))</f>
        <v>heart, mind</v>
      </c>
      <c r="F1975" s="8" t="n">
        <f aca="false">INDEX(Radicals!$D$2:$D$215,MATCH(C1975,Radicals!$A$2:$A$215,0))</f>
        <v>4</v>
      </c>
      <c r="G1975" s="8" t="n">
        <v>12</v>
      </c>
    </row>
    <row r="1976" customFormat="false" ht="17.35" hidden="false" customHeight="false" outlineLevel="0" collapsed="false">
      <c r="A1976" s="8" t="n">
        <v>1975</v>
      </c>
      <c r="B1976" s="9" t="s">
        <v>2947</v>
      </c>
      <c r="C1976" s="8" t="n">
        <v>40</v>
      </c>
      <c r="D1976" s="9" t="str">
        <f aca="false">INDEX(Radicals!$B$2:$B$215,MATCH(C1976,Radicals!$A$2:$A$215,0))</f>
        <v>宀</v>
      </c>
      <c r="E1976" s="10" t="str">
        <f aca="false">INDEX(Radicals!$G$2:$G$215,MATCH(C1976,Radicals!$A$2:$A$215,0))</f>
        <v>roof</v>
      </c>
      <c r="F1976" s="8" t="n">
        <f aca="false">INDEX(Radicals!$D$2:$D$215,MATCH(C1976,Radicals!$A$2:$A$215,0))</f>
        <v>3</v>
      </c>
      <c r="G1976" s="8" t="n">
        <v>11</v>
      </c>
    </row>
    <row r="1977" customFormat="false" ht="17.35" hidden="false" customHeight="false" outlineLevel="0" collapsed="false">
      <c r="A1977" s="8" t="n">
        <v>1976</v>
      </c>
      <c r="B1977" s="9" t="s">
        <v>2948</v>
      </c>
      <c r="C1977" s="8" t="n">
        <v>64</v>
      </c>
      <c r="D1977" s="9" t="str">
        <f aca="false">INDEX(Radicals!$B$2:$B$215,MATCH(C1977,Radicals!$A$2:$A$215,0))</f>
        <v>手</v>
      </c>
      <c r="E1977" s="10" t="str">
        <f aca="false">INDEX(Radicals!$G$2:$G$215,MATCH(C1977,Radicals!$A$2:$A$215,0))</f>
        <v>hand</v>
      </c>
      <c r="F1977" s="8" t="n">
        <f aca="false">INDEX(Radicals!$D$2:$D$215,MATCH(C1977,Radicals!$A$2:$A$215,0))</f>
        <v>4</v>
      </c>
      <c r="G1977" s="8" t="n">
        <v>10</v>
      </c>
    </row>
    <row r="1978" customFormat="false" ht="17.35" hidden="false" customHeight="false" outlineLevel="0" collapsed="false">
      <c r="A1978" s="8" t="n">
        <v>1977</v>
      </c>
      <c r="B1978" s="9" t="s">
        <v>2949</v>
      </c>
      <c r="C1978" s="8" t="n">
        <v>112</v>
      </c>
      <c r="D1978" s="9" t="str">
        <f aca="false">INDEX(Radicals!$B$2:$B$215,MATCH(C1978,Radicals!$A$2:$A$215,0))</f>
        <v>石</v>
      </c>
      <c r="E1978" s="10" t="str">
        <f aca="false">INDEX(Radicals!$G$2:$G$215,MATCH(C1978,Radicals!$A$2:$A$215,0))</f>
        <v>stone</v>
      </c>
      <c r="F1978" s="8" t="n">
        <f aca="false">INDEX(Radicals!$D$2:$D$215,MATCH(C1978,Radicals!$A$2:$A$215,0))</f>
        <v>5</v>
      </c>
      <c r="G1978" s="8" t="n">
        <v>17</v>
      </c>
    </row>
    <row r="1979" customFormat="false" ht="17.35" hidden="false" customHeight="false" outlineLevel="0" collapsed="false">
      <c r="A1979" s="8" t="n">
        <v>1978</v>
      </c>
      <c r="B1979" s="9" t="s">
        <v>2950</v>
      </c>
      <c r="C1979" s="8" t="n">
        <v>4</v>
      </c>
      <c r="D1979" s="9" t="str">
        <f aca="false">INDEX(Radicals!$B$2:$B$215,MATCH(C1979,Radicals!$A$2:$A$215,0))</f>
        <v>丿</v>
      </c>
      <c r="E1979" s="10" t="str">
        <f aca="false">INDEX(Radicals!$G$2:$G$215,MATCH(C1979,Radicals!$A$2:$A$215,0))</f>
        <v>slash, left-falling stroke</v>
      </c>
      <c r="F1979" s="8" t="n">
        <f aca="false">INDEX(Radicals!$D$2:$D$215,MATCH(C1979,Radicals!$A$2:$A$215,0))</f>
        <v>1</v>
      </c>
      <c r="G1979" s="8" t="n">
        <v>2</v>
      </c>
    </row>
    <row r="1980" customFormat="false" ht="17.35" hidden="false" customHeight="false" outlineLevel="0" collapsed="false">
      <c r="A1980" s="8" t="n">
        <v>1979</v>
      </c>
      <c r="B1980" s="9" t="s">
        <v>2951</v>
      </c>
      <c r="C1980" s="8" t="n">
        <v>85</v>
      </c>
      <c r="D1980" s="9" t="str">
        <f aca="false">INDEX(Radicals!$B$2:$B$215,MATCH(C1980,Radicals!$A$2:$A$215,0))</f>
        <v>水</v>
      </c>
      <c r="E1980" s="10" t="str">
        <f aca="false">INDEX(Radicals!$G$2:$G$215,MATCH(C1980,Radicals!$A$2:$A$215,0))</f>
        <v>water</v>
      </c>
      <c r="F1980" s="8" t="n">
        <f aca="false">INDEX(Radicals!$D$2:$D$215,MATCH(C1980,Radicals!$A$2:$A$215,0))</f>
        <v>4</v>
      </c>
      <c r="G1980" s="8" t="n">
        <v>9</v>
      </c>
    </row>
    <row r="1981" customFormat="false" ht="17.35" hidden="false" customHeight="false" outlineLevel="0" collapsed="false">
      <c r="A1981" s="8" t="n">
        <v>1980</v>
      </c>
      <c r="B1981" s="9" t="s">
        <v>252</v>
      </c>
      <c r="C1981" s="8" t="n">
        <v>45</v>
      </c>
      <c r="D1981" s="9" t="str">
        <f aca="false">INDEX(Radicals!$B$2:$B$215,MATCH(C1981,Radicals!$A$2:$A$215,0))</f>
        <v>屮</v>
      </c>
      <c r="E1981" s="10" t="str">
        <f aca="false">INDEX(Radicals!$G$2:$G$215,MATCH(C1981,Radicals!$A$2:$A$215,0))</f>
        <v>sprout</v>
      </c>
      <c r="F1981" s="8" t="n">
        <f aca="false">INDEX(Radicals!$D$2:$D$215,MATCH(C1981,Radicals!$A$2:$A$215,0))</f>
        <v>3</v>
      </c>
      <c r="G1981" s="8" t="n">
        <v>4</v>
      </c>
    </row>
    <row r="1982" customFormat="false" ht="17.35" hidden="false" customHeight="false" outlineLevel="0" collapsed="false">
      <c r="A1982" s="8" t="n">
        <v>1981</v>
      </c>
      <c r="B1982" s="9" t="s">
        <v>2952</v>
      </c>
      <c r="C1982" s="8" t="n">
        <v>75</v>
      </c>
      <c r="D1982" s="9" t="str">
        <f aca="false">INDEX(Radicals!$B$2:$B$215,MATCH(C1982,Radicals!$A$2:$A$215,0))</f>
        <v>木</v>
      </c>
      <c r="E1982" s="10" t="str">
        <f aca="false">INDEX(Radicals!$G$2:$G$215,MATCH(C1982,Radicals!$A$2:$A$215,0))</f>
        <v>tree, wood</v>
      </c>
      <c r="F1982" s="8" t="n">
        <f aca="false">INDEX(Radicals!$D$2:$D$215,MATCH(C1982,Radicals!$A$2:$A$215,0))</f>
        <v>4</v>
      </c>
      <c r="G1982" s="8" t="n">
        <v>16</v>
      </c>
    </row>
    <row r="1983" customFormat="false" ht="17.35" hidden="false" customHeight="false" outlineLevel="0" collapsed="false">
      <c r="A1983" s="8" t="n">
        <v>1982</v>
      </c>
      <c r="B1983" s="9" t="s">
        <v>2953</v>
      </c>
      <c r="C1983" s="8" t="n">
        <v>75</v>
      </c>
      <c r="D1983" s="9" t="str">
        <f aca="false">INDEX(Radicals!$B$2:$B$215,MATCH(C1983,Radicals!$A$2:$A$215,0))</f>
        <v>木</v>
      </c>
      <c r="E1983" s="10" t="str">
        <f aca="false">INDEX(Radicals!$G$2:$G$215,MATCH(C1983,Radicals!$A$2:$A$215,0))</f>
        <v>tree, wood</v>
      </c>
      <c r="F1983" s="8" t="n">
        <f aca="false">INDEX(Radicals!$D$2:$D$215,MATCH(C1983,Radicals!$A$2:$A$215,0))</f>
        <v>4</v>
      </c>
      <c r="G1983" s="8" t="n">
        <v>14</v>
      </c>
    </row>
    <row r="1984" customFormat="false" ht="17.35" hidden="false" customHeight="false" outlineLevel="0" collapsed="false">
      <c r="A1984" s="8" t="n">
        <v>1983</v>
      </c>
      <c r="B1984" s="9" t="s">
        <v>2954</v>
      </c>
      <c r="C1984" s="8" t="n">
        <v>75</v>
      </c>
      <c r="D1984" s="9" t="str">
        <f aca="false">INDEX(Radicals!$B$2:$B$215,MATCH(C1984,Radicals!$A$2:$A$215,0))</f>
        <v>木</v>
      </c>
      <c r="E1984" s="10" t="str">
        <f aca="false">INDEX(Radicals!$G$2:$G$215,MATCH(C1984,Radicals!$A$2:$A$215,0))</f>
        <v>tree, wood</v>
      </c>
      <c r="F1984" s="8" t="n">
        <f aca="false">INDEX(Radicals!$D$2:$D$215,MATCH(C1984,Radicals!$A$2:$A$215,0))</f>
        <v>4</v>
      </c>
      <c r="G1984" s="8" t="n">
        <v>14</v>
      </c>
    </row>
    <row r="1985" customFormat="false" ht="17.35" hidden="false" customHeight="false" outlineLevel="0" collapsed="false">
      <c r="A1985" s="8" t="n">
        <v>1984</v>
      </c>
      <c r="B1985" s="9" t="s">
        <v>2955</v>
      </c>
      <c r="C1985" s="8" t="n">
        <v>140</v>
      </c>
      <c r="D1985" s="9" t="str">
        <f aca="false">INDEX(Radicals!$B$2:$B$215,MATCH(C1985,Radicals!$A$2:$A$215,0))</f>
        <v>艸</v>
      </c>
      <c r="E1985" s="10" t="str">
        <f aca="false">INDEX(Radicals!$G$2:$G$215,MATCH(C1985,Radicals!$A$2:$A$215,0))</f>
        <v>grass, plant</v>
      </c>
      <c r="F1985" s="8" t="n">
        <f aca="false">INDEX(Radicals!$D$2:$D$215,MATCH(C1985,Radicals!$A$2:$A$215,0))</f>
        <v>6</v>
      </c>
      <c r="G1985" s="8" t="n">
        <v>17</v>
      </c>
    </row>
    <row r="1986" customFormat="false" ht="17.35" hidden="false" customHeight="false" outlineLevel="0" collapsed="false">
      <c r="A1986" s="8" t="n">
        <v>1985</v>
      </c>
      <c r="B1986" s="9" t="s">
        <v>2956</v>
      </c>
      <c r="C1986" s="8" t="n">
        <v>38</v>
      </c>
      <c r="D1986" s="9" t="str">
        <f aca="false">INDEX(Radicals!$B$2:$B$215,MATCH(C1986,Radicals!$A$2:$A$215,0))</f>
        <v>女</v>
      </c>
      <c r="E1986" s="10" t="str">
        <f aca="false">INDEX(Radicals!$G$2:$G$215,MATCH(C1986,Radicals!$A$2:$A$215,0))</f>
        <v>woman</v>
      </c>
      <c r="F1986" s="8" t="n">
        <f aca="false">INDEX(Radicals!$D$2:$D$215,MATCH(C1986,Radicals!$A$2:$A$215,0))</f>
        <v>3</v>
      </c>
      <c r="G1986" s="8" t="n">
        <v>9</v>
      </c>
    </row>
    <row r="1987" customFormat="false" ht="17.35" hidden="false" customHeight="false" outlineLevel="0" collapsed="false">
      <c r="A1987" s="8" t="n">
        <v>1986</v>
      </c>
      <c r="B1987" s="9" t="s">
        <v>2957</v>
      </c>
      <c r="C1987" s="8" t="n">
        <v>46</v>
      </c>
      <c r="D1987" s="9" t="str">
        <f aca="false">INDEX(Radicals!$B$2:$B$215,MATCH(C1987,Radicals!$A$2:$A$215,0))</f>
        <v>山</v>
      </c>
      <c r="E1987" s="10" t="str">
        <f aca="false">INDEX(Radicals!$G$2:$G$215,MATCH(C1987,Radicals!$A$2:$A$215,0))</f>
        <v>mountain</v>
      </c>
      <c r="F1987" s="8" t="n">
        <f aca="false">INDEX(Radicals!$D$2:$D$215,MATCH(C1987,Radicals!$A$2:$A$215,0))</f>
        <v>3</v>
      </c>
      <c r="G1987" s="8" t="n">
        <v>20</v>
      </c>
    </row>
    <row r="1988" customFormat="false" ht="17.35" hidden="false" customHeight="false" outlineLevel="0" collapsed="false">
      <c r="A1988" s="8" t="n">
        <v>1987</v>
      </c>
      <c r="B1988" s="9" t="s">
        <v>2958</v>
      </c>
      <c r="C1988" s="8" t="n">
        <v>85</v>
      </c>
      <c r="D1988" s="9" t="str">
        <f aca="false">INDEX(Radicals!$B$2:$B$215,MATCH(C1988,Radicals!$A$2:$A$215,0))</f>
        <v>水</v>
      </c>
      <c r="E1988" s="10" t="str">
        <f aca="false">INDEX(Radicals!$G$2:$G$215,MATCH(C1988,Radicals!$A$2:$A$215,0))</f>
        <v>water</v>
      </c>
      <c r="F1988" s="8" t="n">
        <f aca="false">INDEX(Radicals!$D$2:$D$215,MATCH(C1988,Radicals!$A$2:$A$215,0))</f>
        <v>4</v>
      </c>
      <c r="G1988" s="8" t="n">
        <v>11</v>
      </c>
    </row>
    <row r="1989" customFormat="false" ht="17.35" hidden="false" customHeight="false" outlineLevel="0" collapsed="false">
      <c r="A1989" s="8" t="n">
        <v>1988</v>
      </c>
      <c r="B1989" s="9" t="s">
        <v>2959</v>
      </c>
      <c r="C1989" s="8" t="n">
        <v>199</v>
      </c>
      <c r="D1989" s="9" t="str">
        <f aca="false">INDEX(Radicals!$B$2:$B$215,MATCH(C1989,Radicals!$A$2:$A$215,0))</f>
        <v>麥</v>
      </c>
      <c r="E1989" s="10" t="str">
        <f aca="false">INDEX(Radicals!$G$2:$G$215,MATCH(C1989,Radicals!$A$2:$A$215,0))</f>
        <v>wheat</v>
      </c>
      <c r="F1989" s="8" t="n">
        <f aca="false">INDEX(Radicals!$D$2:$D$215,MATCH(C1989,Radicals!$A$2:$A$215,0))</f>
        <v>11</v>
      </c>
      <c r="G1989" s="8" t="n">
        <v>15</v>
      </c>
    </row>
    <row r="1990" customFormat="false" ht="17.35" hidden="false" customHeight="false" outlineLevel="0" collapsed="false">
      <c r="A1990" s="8" t="n">
        <v>1989</v>
      </c>
      <c r="B1990" s="9" t="s">
        <v>2960</v>
      </c>
      <c r="C1990" s="8" t="n">
        <v>154</v>
      </c>
      <c r="D1990" s="9" t="str">
        <f aca="false">INDEX(Radicals!$B$2:$B$215,MATCH(C1990,Radicals!$A$2:$A$215,0))</f>
        <v>貝</v>
      </c>
      <c r="E1990" s="10" t="str">
        <f aca="false">INDEX(Radicals!$G$2:$G$215,MATCH(C1990,Radicals!$A$2:$A$215,0))</f>
        <v>shell, money</v>
      </c>
      <c r="F1990" s="8" t="n">
        <f aca="false">INDEX(Radicals!$D$2:$D$215,MATCH(C1990,Radicals!$A$2:$A$215,0))</f>
        <v>7</v>
      </c>
      <c r="G1990" s="8" t="n">
        <v>15</v>
      </c>
    </row>
    <row r="1991" customFormat="false" ht="17.35" hidden="false" customHeight="false" outlineLevel="0" collapsed="false">
      <c r="A1991" s="8" t="n">
        <v>1990</v>
      </c>
      <c r="B1991" s="9" t="s">
        <v>2961</v>
      </c>
      <c r="C1991" s="8" t="n">
        <v>64</v>
      </c>
      <c r="D1991" s="9" t="str">
        <f aca="false">INDEX(Radicals!$B$2:$B$215,MATCH(C1991,Radicals!$A$2:$A$215,0))</f>
        <v>手</v>
      </c>
      <c r="E1991" s="10" t="str">
        <f aca="false">INDEX(Radicals!$G$2:$G$215,MATCH(C1991,Radicals!$A$2:$A$215,0))</f>
        <v>hand</v>
      </c>
      <c r="F1991" s="8" t="n">
        <f aca="false">INDEX(Radicals!$D$2:$D$215,MATCH(C1991,Radicals!$A$2:$A$215,0))</f>
        <v>4</v>
      </c>
      <c r="G1991" s="8" t="n">
        <v>17</v>
      </c>
    </row>
    <row r="1992" customFormat="false" ht="17.35" hidden="false" customHeight="false" outlineLevel="0" collapsed="false">
      <c r="A1992" s="8" t="n">
        <v>1991</v>
      </c>
      <c r="B1992" s="9" t="s">
        <v>2962</v>
      </c>
      <c r="C1992" s="8" t="n">
        <v>32</v>
      </c>
      <c r="D1992" s="9" t="str">
        <f aca="false">INDEX(Radicals!$B$2:$B$215,MATCH(C1992,Radicals!$A$2:$A$215,0))</f>
        <v>土</v>
      </c>
      <c r="E1992" s="10" t="str">
        <f aca="false">INDEX(Radicals!$G$2:$G$215,MATCH(C1992,Radicals!$A$2:$A$215,0))</f>
        <v>earth, soil</v>
      </c>
      <c r="F1992" s="8" t="n">
        <f aca="false">INDEX(Radicals!$D$2:$D$215,MATCH(C1992,Radicals!$A$2:$A$215,0))</f>
        <v>3</v>
      </c>
      <c r="G1992" s="8" t="n">
        <v>12</v>
      </c>
    </row>
    <row r="1993" customFormat="false" ht="17.35" hidden="false" customHeight="false" outlineLevel="0" collapsed="false">
      <c r="A1993" s="8" t="n">
        <v>1992</v>
      </c>
      <c r="B1993" s="9" t="s">
        <v>2963</v>
      </c>
      <c r="C1993" s="8" t="n">
        <v>30</v>
      </c>
      <c r="D1993" s="9" t="str">
        <f aca="false">INDEX(Radicals!$B$2:$B$215,MATCH(C1993,Radicals!$A$2:$A$215,0))</f>
        <v>口</v>
      </c>
      <c r="E1993" s="10" t="str">
        <f aca="false">INDEX(Radicals!$G$2:$G$215,MATCH(C1993,Radicals!$A$2:$A$215,0))</f>
        <v>mouth</v>
      </c>
      <c r="F1993" s="8" t="n">
        <f aca="false">INDEX(Radicals!$D$2:$D$215,MATCH(C1993,Radicals!$A$2:$A$215,0))</f>
        <v>3</v>
      </c>
      <c r="G1993" s="8" t="n">
        <v>10</v>
      </c>
    </row>
    <row r="1994" customFormat="false" ht="17.35" hidden="false" customHeight="false" outlineLevel="0" collapsed="false">
      <c r="A1994" s="8" t="n">
        <v>1993</v>
      </c>
      <c r="B1994" s="9" t="s">
        <v>2964</v>
      </c>
      <c r="C1994" s="8" t="n">
        <v>109</v>
      </c>
      <c r="D1994" s="9" t="str">
        <f aca="false">INDEX(Radicals!$B$2:$B$215,MATCH(C1994,Radicals!$A$2:$A$215,0))</f>
        <v>目</v>
      </c>
      <c r="E1994" s="10" t="str">
        <f aca="false">INDEX(Radicals!$G$2:$G$215,MATCH(C1994,Radicals!$A$2:$A$215,0))</f>
        <v>eye</v>
      </c>
      <c r="F1994" s="8" t="n">
        <f aca="false">INDEX(Radicals!$D$2:$D$215,MATCH(C1994,Radicals!$A$2:$A$215,0))</f>
        <v>5</v>
      </c>
      <c r="G1994" s="8" t="n">
        <v>13</v>
      </c>
    </row>
    <row r="1995" customFormat="false" ht="17.35" hidden="false" customHeight="false" outlineLevel="0" collapsed="false">
      <c r="A1995" s="8" t="n">
        <v>1994</v>
      </c>
      <c r="B1995" s="9" t="s">
        <v>2965</v>
      </c>
      <c r="C1995" s="8" t="n">
        <v>169</v>
      </c>
      <c r="D1995" s="9" t="str">
        <f aca="false">INDEX(Radicals!$B$2:$B$215,MATCH(C1995,Radicals!$A$2:$A$215,0))</f>
        <v>門</v>
      </c>
      <c r="E1995" s="10" t="str">
        <f aca="false">INDEX(Radicals!$G$2:$G$215,MATCH(C1995,Radicals!$A$2:$A$215,0))</f>
        <v>gate</v>
      </c>
      <c r="F1995" s="8" t="n">
        <f aca="false">INDEX(Radicals!$D$2:$D$215,MATCH(C1995,Radicals!$A$2:$A$215,0))</f>
        <v>8</v>
      </c>
      <c r="G1995" s="8" t="n">
        <v>12</v>
      </c>
    </row>
    <row r="1996" customFormat="false" ht="17.35" hidden="false" customHeight="false" outlineLevel="0" collapsed="false">
      <c r="A1996" s="8" t="n">
        <v>1995</v>
      </c>
      <c r="B1996" s="9" t="s">
        <v>2966</v>
      </c>
      <c r="C1996" s="8" t="n">
        <v>130</v>
      </c>
      <c r="D1996" s="9" t="str">
        <f aca="false">INDEX(Radicals!$B$2:$B$215,MATCH(C1996,Radicals!$A$2:$A$215,0))</f>
        <v>肉</v>
      </c>
      <c r="E1996" s="10" t="str">
        <f aca="false">INDEX(Radicals!$G$2:$G$215,MATCH(C1996,Radicals!$A$2:$A$215,0))</f>
        <v>meat, flesh</v>
      </c>
      <c r="F1996" s="8" t="n">
        <f aca="false">INDEX(Radicals!$D$2:$D$215,MATCH(C1996,Radicals!$A$2:$A$215,0))</f>
        <v>6</v>
      </c>
      <c r="G1996" s="8" t="n">
        <v>9</v>
      </c>
    </row>
    <row r="1997" customFormat="false" ht="17.35" hidden="false" customHeight="false" outlineLevel="0" collapsed="false">
      <c r="A1997" s="8" t="n">
        <v>1996</v>
      </c>
      <c r="B1997" s="9" t="s">
        <v>2967</v>
      </c>
      <c r="C1997" s="8" t="n">
        <v>52</v>
      </c>
      <c r="D1997" s="9" t="str">
        <f aca="false">INDEX(Radicals!$B$2:$B$215,MATCH(C1997,Radicals!$A$2:$A$215,0))</f>
        <v>幺</v>
      </c>
      <c r="E1997" s="10" t="str">
        <f aca="false">INDEX(Radicals!$G$2:$G$215,MATCH(C1997,Radicals!$A$2:$A$215,0))</f>
        <v>short thread, tiny</v>
      </c>
      <c r="F1997" s="8" t="n">
        <f aca="false">INDEX(Radicals!$D$2:$D$215,MATCH(C1997,Radicals!$A$2:$A$215,0))</f>
        <v>3</v>
      </c>
      <c r="G1997" s="8" t="n">
        <v>9</v>
      </c>
    </row>
    <row r="1998" customFormat="false" ht="17.35" hidden="false" customHeight="false" outlineLevel="0" collapsed="false">
      <c r="A1998" s="8" t="n">
        <v>1997</v>
      </c>
      <c r="B1998" s="9" t="s">
        <v>2968</v>
      </c>
      <c r="C1998" s="8" t="n">
        <v>46</v>
      </c>
      <c r="D1998" s="9" t="str">
        <f aca="false">INDEX(Radicals!$B$2:$B$215,MATCH(C1998,Radicals!$A$2:$A$215,0))</f>
        <v>山</v>
      </c>
      <c r="E1998" s="10" t="str">
        <f aca="false">INDEX(Radicals!$G$2:$G$215,MATCH(C1998,Radicals!$A$2:$A$215,0))</f>
        <v>mountain</v>
      </c>
      <c r="F1998" s="8" t="n">
        <f aca="false">INDEX(Radicals!$D$2:$D$215,MATCH(C1998,Radicals!$A$2:$A$215,0))</f>
        <v>3</v>
      </c>
      <c r="G1998" s="8" t="n">
        <v>10</v>
      </c>
    </row>
    <row r="1999" customFormat="false" ht="17.35" hidden="false" customHeight="false" outlineLevel="0" collapsed="false">
      <c r="A1999" s="8" t="n">
        <v>1998</v>
      </c>
      <c r="B1999" s="9" t="s">
        <v>2969</v>
      </c>
      <c r="C1999" s="8" t="n">
        <v>73</v>
      </c>
      <c r="D1999" s="9" t="str">
        <f aca="false">INDEX(Radicals!$B$2:$B$215,MATCH(C1999,Radicals!$A$2:$A$215,0))</f>
        <v>曰</v>
      </c>
      <c r="E1999" s="10" t="str">
        <f aca="false">INDEX(Radicals!$G$2:$G$215,MATCH(C1999,Radicals!$A$2:$A$215,0))</f>
        <v>say</v>
      </c>
      <c r="F1999" s="8" t="n">
        <f aca="false">INDEX(Radicals!$D$2:$D$215,MATCH(C1999,Radicals!$A$2:$A$215,0))</f>
        <v>4</v>
      </c>
      <c r="G1999" s="8" t="n">
        <v>11</v>
      </c>
    </row>
    <row r="2000" customFormat="false" ht="17.35" hidden="false" customHeight="false" outlineLevel="0" collapsed="false">
      <c r="A2000" s="8" t="n">
        <v>1999</v>
      </c>
      <c r="B2000" s="9" t="s">
        <v>2970</v>
      </c>
      <c r="C2000" s="8" t="n">
        <v>30</v>
      </c>
      <c r="D2000" s="9" t="str">
        <f aca="false">INDEX(Radicals!$B$2:$B$215,MATCH(C2000,Radicals!$A$2:$A$215,0))</f>
        <v>口</v>
      </c>
      <c r="E2000" s="10" t="str">
        <f aca="false">INDEX(Radicals!$G$2:$G$215,MATCH(C2000,Radicals!$A$2:$A$215,0))</f>
        <v>mouth</v>
      </c>
      <c r="F2000" s="8" t="n">
        <f aca="false">INDEX(Radicals!$D$2:$D$215,MATCH(C2000,Radicals!$A$2:$A$215,0))</f>
        <v>3</v>
      </c>
      <c r="G2000" s="8" t="n">
        <v>10</v>
      </c>
    </row>
    <row r="2001" customFormat="false" ht="17.35" hidden="false" customHeight="false" outlineLevel="0" collapsed="false">
      <c r="A2001" s="8" t="n">
        <v>2000</v>
      </c>
      <c r="B2001" s="9" t="s">
        <v>2971</v>
      </c>
      <c r="C2001" s="8" t="n">
        <v>149</v>
      </c>
      <c r="D2001" s="9" t="str">
        <f aca="false">INDEX(Radicals!$B$2:$B$215,MATCH(C2001,Radicals!$A$2:$A$215,0))</f>
        <v>言</v>
      </c>
      <c r="E2001" s="10" t="str">
        <f aca="false">INDEX(Radicals!$G$2:$G$215,MATCH(C2001,Radicals!$A$2:$A$215,0))</f>
        <v>speech, say</v>
      </c>
      <c r="F2001" s="8" t="n">
        <f aca="false">INDEX(Radicals!$D$2:$D$215,MATCH(C2001,Radicals!$A$2:$A$215,0))</f>
        <v>7</v>
      </c>
      <c r="G2001" s="8" t="n">
        <v>12</v>
      </c>
    </row>
    <row r="2002" customFormat="false" ht="17.35" hidden="false" customHeight="false" outlineLevel="0" collapsed="false">
      <c r="A2002" s="8" t="n">
        <v>2001</v>
      </c>
      <c r="B2002" s="9" t="s">
        <v>2972</v>
      </c>
      <c r="C2002" s="8" t="n">
        <v>86</v>
      </c>
      <c r="D2002" s="9" t="str">
        <f aca="false">INDEX(Radicals!$B$2:$B$215,MATCH(C2002,Radicals!$A$2:$A$215,0))</f>
        <v>火</v>
      </c>
      <c r="E2002" s="10" t="str">
        <f aca="false">INDEX(Radicals!$G$2:$G$215,MATCH(C2002,Radicals!$A$2:$A$215,0))</f>
        <v>fire</v>
      </c>
      <c r="F2002" s="8" t="n">
        <f aca="false">INDEX(Radicals!$D$2:$D$215,MATCH(C2002,Radicals!$A$2:$A$215,0))</f>
        <v>4</v>
      </c>
      <c r="G2002" s="8" t="n">
        <v>8</v>
      </c>
    </row>
    <row r="2003" customFormat="false" ht="17.35" hidden="false" customHeight="false" outlineLevel="0" collapsed="false">
      <c r="A2003" s="8" t="n">
        <v>2002</v>
      </c>
      <c r="B2003" s="9" t="s">
        <v>2973</v>
      </c>
      <c r="C2003" s="8" t="n">
        <v>44</v>
      </c>
      <c r="D2003" s="9" t="str">
        <f aca="false">INDEX(Radicals!$B$2:$B$215,MATCH(C2003,Radicals!$A$2:$A$215,0))</f>
        <v>尸</v>
      </c>
      <c r="E2003" s="10" t="str">
        <f aca="false">INDEX(Radicals!$G$2:$G$215,MATCH(C2003,Radicals!$A$2:$A$215,0))</f>
        <v>corpse, body</v>
      </c>
      <c r="F2003" s="8" t="n">
        <f aca="false">INDEX(Radicals!$D$2:$D$215,MATCH(C2003,Radicals!$A$2:$A$215,0))</f>
        <v>3</v>
      </c>
      <c r="G2003" s="8" t="n">
        <v>9</v>
      </c>
    </row>
    <row r="2004" customFormat="false" ht="17.35" hidden="false" customHeight="false" outlineLevel="0" collapsed="false">
      <c r="A2004" s="8" t="n">
        <v>2003</v>
      </c>
      <c r="B2004" s="9" t="s">
        <v>2974</v>
      </c>
      <c r="C2004" s="8" t="n">
        <v>24</v>
      </c>
      <c r="D2004" s="9" t="str">
        <f aca="false">INDEX(Radicals!$B$2:$B$215,MATCH(C2004,Radicals!$A$2:$A$215,0))</f>
        <v>十</v>
      </c>
      <c r="E2004" s="10" t="str">
        <f aca="false">INDEX(Radicals!$G$2:$G$215,MATCH(C2004,Radicals!$A$2:$A$215,0))</f>
        <v>ten</v>
      </c>
      <c r="F2004" s="8" t="n">
        <f aca="false">INDEX(Radicals!$D$2:$D$215,MATCH(C2004,Radicals!$A$2:$A$215,0))</f>
        <v>2</v>
      </c>
      <c r="G2004" s="8" t="n">
        <v>9</v>
      </c>
    </row>
    <row r="2005" customFormat="false" ht="17.35" hidden="false" customHeight="false" outlineLevel="0" collapsed="false">
      <c r="A2005" s="8" t="n">
        <v>2004</v>
      </c>
      <c r="B2005" s="9" t="s">
        <v>2975</v>
      </c>
      <c r="C2005" s="8" t="n">
        <v>9</v>
      </c>
      <c r="D2005" s="9" t="str">
        <f aca="false">INDEX(Radicals!$B$2:$B$215,MATCH(C2005,Radicals!$A$2:$A$215,0))</f>
        <v>人</v>
      </c>
      <c r="E2005" s="10" t="str">
        <f aca="false">INDEX(Radicals!$G$2:$G$215,MATCH(C2005,Radicals!$A$2:$A$215,0))</f>
        <v>person</v>
      </c>
      <c r="F2005" s="8" t="n">
        <f aca="false">INDEX(Radicals!$D$2:$D$215,MATCH(C2005,Radicals!$A$2:$A$215,0))</f>
        <v>2</v>
      </c>
      <c r="G2005" s="8" t="n">
        <v>8</v>
      </c>
    </row>
    <row r="2006" customFormat="false" ht="17.35" hidden="false" customHeight="false" outlineLevel="0" collapsed="false">
      <c r="A2006" s="8" t="n">
        <v>2005</v>
      </c>
      <c r="B2006" s="9" t="s">
        <v>2976</v>
      </c>
      <c r="C2006" s="8" t="n">
        <v>167</v>
      </c>
      <c r="D2006" s="9" t="str">
        <f aca="false">INDEX(Radicals!$B$2:$B$215,MATCH(C2006,Radicals!$A$2:$A$215,0))</f>
        <v>金</v>
      </c>
      <c r="E2006" s="10" t="str">
        <f aca="false">INDEX(Radicals!$G$2:$G$215,MATCH(C2006,Radicals!$A$2:$A$215,0))</f>
        <v>metal, gold</v>
      </c>
      <c r="F2006" s="8" t="n">
        <f aca="false">INDEX(Radicals!$D$2:$D$215,MATCH(C2006,Radicals!$A$2:$A$215,0))</f>
        <v>8</v>
      </c>
      <c r="G2006" s="8" t="n">
        <v>15</v>
      </c>
    </row>
    <row r="2007" customFormat="false" ht="17.35" hidden="false" customHeight="false" outlineLevel="0" collapsed="false">
      <c r="A2007" s="8" t="n">
        <v>2006</v>
      </c>
      <c r="B2007" s="9" t="s">
        <v>2977</v>
      </c>
      <c r="C2007" s="8" t="n">
        <v>64</v>
      </c>
      <c r="D2007" s="9" t="str">
        <f aca="false">INDEX(Radicals!$B$2:$B$215,MATCH(C2007,Radicals!$A$2:$A$215,0))</f>
        <v>手</v>
      </c>
      <c r="E2007" s="10" t="str">
        <f aca="false">INDEX(Radicals!$G$2:$G$215,MATCH(C2007,Radicals!$A$2:$A$215,0))</f>
        <v>hand</v>
      </c>
      <c r="F2007" s="8" t="n">
        <f aca="false">INDEX(Radicals!$D$2:$D$215,MATCH(C2007,Radicals!$A$2:$A$215,0))</f>
        <v>4</v>
      </c>
      <c r="G2007" s="8" t="n">
        <v>8</v>
      </c>
    </row>
    <row r="2008" customFormat="false" ht="17.35" hidden="false" customHeight="false" outlineLevel="0" collapsed="false">
      <c r="A2008" s="8" t="n">
        <v>2007</v>
      </c>
      <c r="B2008" s="9" t="s">
        <v>2978</v>
      </c>
      <c r="C2008" s="8" t="n">
        <v>41</v>
      </c>
      <c r="D2008" s="9" t="str">
        <f aca="false">INDEX(Radicals!$B$2:$B$215,MATCH(C2008,Radicals!$A$2:$A$215,0))</f>
        <v>寸</v>
      </c>
      <c r="E2008" s="10" t="str">
        <f aca="false">INDEX(Radicals!$G$2:$G$215,MATCH(C2008,Radicals!$A$2:$A$215,0))</f>
        <v>inch</v>
      </c>
      <c r="F2008" s="8" t="n">
        <f aca="false">INDEX(Radicals!$D$2:$D$215,MATCH(C2008,Radicals!$A$2:$A$215,0))</f>
        <v>3</v>
      </c>
      <c r="G2008" s="8" t="n">
        <v>11</v>
      </c>
    </row>
    <row r="2009" customFormat="false" ht="17.35" hidden="false" customHeight="false" outlineLevel="0" collapsed="false">
      <c r="A2009" s="8" t="n">
        <v>2008</v>
      </c>
      <c r="B2009" s="9" t="s">
        <v>2979</v>
      </c>
      <c r="C2009" s="8" t="n">
        <v>75</v>
      </c>
      <c r="D2009" s="9" t="str">
        <f aca="false">INDEX(Radicals!$B$2:$B$215,MATCH(C2009,Radicals!$A$2:$A$215,0))</f>
        <v>木</v>
      </c>
      <c r="E2009" s="10" t="str">
        <f aca="false">INDEX(Radicals!$G$2:$G$215,MATCH(C2009,Radicals!$A$2:$A$215,0))</f>
        <v>tree, wood</v>
      </c>
      <c r="F2009" s="8" t="n">
        <f aca="false">INDEX(Radicals!$D$2:$D$215,MATCH(C2009,Radicals!$A$2:$A$215,0))</f>
        <v>4</v>
      </c>
      <c r="G2009" s="8" t="n">
        <v>15</v>
      </c>
    </row>
    <row r="2010" customFormat="false" ht="17.35" hidden="false" customHeight="false" outlineLevel="0" collapsed="false">
      <c r="A2010" s="8" t="n">
        <v>2009</v>
      </c>
      <c r="B2010" s="9" t="s">
        <v>903</v>
      </c>
      <c r="C2010" s="8" t="n">
        <v>171</v>
      </c>
      <c r="D2010" s="9" t="str">
        <f aca="false">INDEX(Radicals!$B$2:$B$215,MATCH(C2010,Radicals!$A$2:$A$215,0))</f>
        <v>隶</v>
      </c>
      <c r="E2010" s="10" t="str">
        <f aca="false">INDEX(Radicals!$G$2:$G$215,MATCH(C2010,Radicals!$A$2:$A$215,0))</f>
        <v>slave, capture</v>
      </c>
      <c r="F2010" s="8" t="n">
        <f aca="false">INDEX(Radicals!$D$2:$D$215,MATCH(C2010,Radicals!$A$2:$A$215,0))</f>
        <v>8</v>
      </c>
      <c r="G2010" s="8" t="n">
        <v>16</v>
      </c>
    </row>
    <row r="2011" customFormat="false" ht="17.35" hidden="false" customHeight="false" outlineLevel="0" collapsed="false">
      <c r="A2011" s="8" t="n">
        <v>2010</v>
      </c>
      <c r="B2011" s="9" t="s">
        <v>2980</v>
      </c>
      <c r="C2011" s="8" t="n">
        <v>113</v>
      </c>
      <c r="D2011" s="9" t="str">
        <f aca="false">INDEX(Radicals!$B$2:$B$215,MATCH(C2011,Radicals!$A$2:$A$215,0))</f>
        <v>示</v>
      </c>
      <c r="E2011" s="10" t="str">
        <f aca="false">INDEX(Radicals!$G$2:$G$215,MATCH(C2011,Radicals!$A$2:$A$215,0))</f>
        <v>spirit, altar, show</v>
      </c>
      <c r="F2011" s="8" t="n">
        <f aca="false">INDEX(Radicals!$D$2:$D$215,MATCH(C2011,Radicals!$A$2:$A$215,0))</f>
        <v>5</v>
      </c>
      <c r="G2011" s="8" t="n">
        <v>13</v>
      </c>
    </row>
    <row r="2012" customFormat="false" ht="17.35" hidden="false" customHeight="false" outlineLevel="0" collapsed="false">
      <c r="A2012" s="8" t="n">
        <v>2011</v>
      </c>
      <c r="B2012" s="9" t="s">
        <v>2981</v>
      </c>
      <c r="C2012" s="8" t="n">
        <v>142</v>
      </c>
      <c r="D2012" s="9" t="str">
        <f aca="false">INDEX(Radicals!$B$2:$B$215,MATCH(C2012,Radicals!$A$2:$A$215,0))</f>
        <v>虫</v>
      </c>
      <c r="E2012" s="10" t="str">
        <f aca="false">INDEX(Radicals!$G$2:$G$215,MATCH(C2012,Radicals!$A$2:$A$215,0))</f>
        <v>insect</v>
      </c>
      <c r="F2012" s="8" t="n">
        <f aca="false">INDEX(Radicals!$D$2:$D$215,MATCH(C2012,Radicals!$A$2:$A$215,0))</f>
        <v>6</v>
      </c>
      <c r="G2012" s="8" t="n">
        <v>15</v>
      </c>
    </row>
    <row r="2013" customFormat="false" ht="17.35" hidden="false" customHeight="false" outlineLevel="0" collapsed="false">
      <c r="A2013" s="8" t="n">
        <v>2012</v>
      </c>
      <c r="B2013" s="9" t="s">
        <v>2982</v>
      </c>
      <c r="C2013" s="8" t="n">
        <v>164</v>
      </c>
      <c r="D2013" s="9" t="str">
        <f aca="false">INDEX(Radicals!$B$2:$B$215,MATCH(C2013,Radicals!$A$2:$A$215,0))</f>
        <v>酉</v>
      </c>
      <c r="E2013" s="10" t="str">
        <f aca="false">INDEX(Radicals!$G$2:$G$215,MATCH(C2013,Radicals!$A$2:$A$215,0))</f>
        <v>wine, 10th zodiac sign (rooster)</v>
      </c>
      <c r="F2013" s="8" t="n">
        <f aca="false">INDEX(Radicals!$D$2:$D$215,MATCH(C2013,Radicals!$A$2:$A$215,0))</f>
        <v>7</v>
      </c>
      <c r="G2013" s="8" t="n">
        <v>13</v>
      </c>
    </row>
    <row r="2014" customFormat="false" ht="17.35" hidden="false" customHeight="false" outlineLevel="0" collapsed="false">
      <c r="A2014" s="8" t="n">
        <v>2013</v>
      </c>
      <c r="B2014" s="9" t="s">
        <v>2983</v>
      </c>
      <c r="C2014" s="8" t="n">
        <v>140</v>
      </c>
      <c r="D2014" s="9" t="str">
        <f aca="false">INDEX(Radicals!$B$2:$B$215,MATCH(C2014,Radicals!$A$2:$A$215,0))</f>
        <v>艸</v>
      </c>
      <c r="E2014" s="10" t="str">
        <f aca="false">INDEX(Radicals!$G$2:$G$215,MATCH(C2014,Radicals!$A$2:$A$215,0))</f>
        <v>grass, plant</v>
      </c>
      <c r="F2014" s="8" t="n">
        <f aca="false">INDEX(Radicals!$D$2:$D$215,MATCH(C2014,Radicals!$A$2:$A$215,0))</f>
        <v>6</v>
      </c>
      <c r="G2014" s="8" t="n">
        <v>8</v>
      </c>
    </row>
    <row r="2015" customFormat="false" ht="17.35" hidden="false" customHeight="false" outlineLevel="0" collapsed="false">
      <c r="A2015" s="8" t="n">
        <v>2014</v>
      </c>
      <c r="B2015" s="9" t="s">
        <v>2984</v>
      </c>
      <c r="C2015" s="8" t="n">
        <v>85</v>
      </c>
      <c r="D2015" s="9" t="str">
        <f aca="false">INDEX(Radicals!$B$2:$B$215,MATCH(C2015,Radicals!$A$2:$A$215,0))</f>
        <v>水</v>
      </c>
      <c r="E2015" s="10" t="str">
        <f aca="false">INDEX(Radicals!$G$2:$G$215,MATCH(C2015,Radicals!$A$2:$A$215,0))</f>
        <v>water</v>
      </c>
      <c r="F2015" s="8" t="n">
        <f aca="false">INDEX(Radicals!$D$2:$D$215,MATCH(C2015,Radicals!$A$2:$A$215,0))</f>
        <v>4</v>
      </c>
      <c r="G2015" s="8" t="n">
        <v>6</v>
      </c>
    </row>
    <row r="2016" customFormat="false" ht="17.35" hidden="false" customHeight="false" outlineLevel="0" collapsed="false">
      <c r="A2016" s="8" t="n">
        <v>2015</v>
      </c>
      <c r="B2016" s="9" t="s">
        <v>2985</v>
      </c>
      <c r="C2016" s="8" t="n">
        <v>181</v>
      </c>
      <c r="D2016" s="9" t="str">
        <f aca="false">INDEX(Radicals!$B$2:$B$215,MATCH(C2016,Radicals!$A$2:$A$215,0))</f>
        <v>頁</v>
      </c>
      <c r="E2016" s="10" t="str">
        <f aca="false">INDEX(Radicals!$G$2:$G$215,MATCH(C2016,Radicals!$A$2:$A$215,0))</f>
        <v>page, leaf (head)</v>
      </c>
      <c r="F2016" s="8" t="n">
        <f aca="false">INDEX(Radicals!$D$2:$D$215,MATCH(C2016,Radicals!$A$2:$A$215,0))</f>
        <v>9</v>
      </c>
      <c r="G2016" s="8" t="n">
        <v>11</v>
      </c>
    </row>
    <row r="2017" customFormat="false" ht="17.35" hidden="false" customHeight="false" outlineLevel="0" collapsed="false">
      <c r="A2017" s="8" t="n">
        <v>2016</v>
      </c>
      <c r="B2017" s="9" t="s">
        <v>2986</v>
      </c>
      <c r="C2017" s="8" t="n">
        <v>50</v>
      </c>
      <c r="D2017" s="9" t="str">
        <f aca="false">INDEX(Radicals!$B$2:$B$215,MATCH(C2017,Radicals!$A$2:$A$215,0))</f>
        <v>巾</v>
      </c>
      <c r="E2017" s="10" t="str">
        <f aca="false">INDEX(Radicals!$G$2:$G$215,MATCH(C2017,Radicals!$A$2:$A$215,0))</f>
        <v>turban, cloth</v>
      </c>
      <c r="F2017" s="8" t="n">
        <f aca="false">INDEX(Radicals!$D$2:$D$215,MATCH(C2017,Radicals!$A$2:$A$215,0))</f>
        <v>3</v>
      </c>
      <c r="G2017" s="8" t="n">
        <v>9</v>
      </c>
    </row>
    <row r="2018" customFormat="false" ht="17.35" hidden="false" customHeight="false" outlineLevel="0" collapsed="false">
      <c r="A2018" s="8" t="n">
        <v>2017</v>
      </c>
      <c r="B2018" s="9" t="s">
        <v>2987</v>
      </c>
      <c r="C2018" s="8" t="n">
        <v>75</v>
      </c>
      <c r="D2018" s="9" t="str">
        <f aca="false">INDEX(Radicals!$B$2:$B$215,MATCH(C2018,Radicals!$A$2:$A$215,0))</f>
        <v>木</v>
      </c>
      <c r="E2018" s="10" t="str">
        <f aca="false">INDEX(Radicals!$G$2:$G$215,MATCH(C2018,Radicals!$A$2:$A$215,0))</f>
        <v>tree, wood</v>
      </c>
      <c r="F2018" s="8" t="n">
        <f aca="false">INDEX(Radicals!$D$2:$D$215,MATCH(C2018,Radicals!$A$2:$A$215,0))</f>
        <v>4</v>
      </c>
      <c r="G2018" s="8" t="n">
        <v>11</v>
      </c>
    </row>
    <row r="2019" customFormat="false" ht="17.35" hidden="false" customHeight="false" outlineLevel="0" collapsed="false">
      <c r="A2019" s="8" t="n">
        <v>2018</v>
      </c>
      <c r="B2019" s="9" t="s">
        <v>2988</v>
      </c>
      <c r="C2019" s="8" t="n">
        <v>162</v>
      </c>
      <c r="D2019" s="9" t="str">
        <f aca="false">INDEX(Radicals!$B$2:$B$215,MATCH(C2019,Radicals!$A$2:$A$215,0))</f>
        <v>辵</v>
      </c>
      <c r="E2019" s="10" t="str">
        <f aca="false">INDEX(Radicals!$G$2:$G$215,MATCH(C2019,Radicals!$A$2:$A$215,0))</f>
        <v>walk, movement</v>
      </c>
      <c r="F2019" s="8" t="n">
        <f aca="false">INDEX(Radicals!$D$2:$D$215,MATCH(C2019,Radicals!$A$2:$A$215,0))</f>
        <v>7</v>
      </c>
      <c r="G2019" s="8" t="n">
        <v>10</v>
      </c>
    </row>
    <row r="2020" customFormat="false" ht="17.35" hidden="false" customHeight="false" outlineLevel="0" collapsed="false">
      <c r="A2020" s="8" t="n">
        <v>2019</v>
      </c>
      <c r="B2020" s="9" t="s">
        <v>2989</v>
      </c>
      <c r="C2020" s="8" t="n">
        <v>85</v>
      </c>
      <c r="D2020" s="9" t="str">
        <f aca="false">INDEX(Radicals!$B$2:$B$215,MATCH(C2020,Radicals!$A$2:$A$215,0))</f>
        <v>水</v>
      </c>
      <c r="E2020" s="10" t="str">
        <f aca="false">INDEX(Radicals!$G$2:$G$215,MATCH(C2020,Radicals!$A$2:$A$215,0))</f>
        <v>water</v>
      </c>
      <c r="F2020" s="8" t="n">
        <f aca="false">INDEX(Radicals!$D$2:$D$215,MATCH(C2020,Radicals!$A$2:$A$215,0))</f>
        <v>4</v>
      </c>
      <c r="G2020" s="8" t="n">
        <v>14</v>
      </c>
    </row>
    <row r="2021" customFormat="false" ht="17.35" hidden="false" customHeight="false" outlineLevel="0" collapsed="false">
      <c r="A2021" s="8" t="n">
        <v>2020</v>
      </c>
      <c r="B2021" s="9" t="s">
        <v>2990</v>
      </c>
      <c r="C2021" s="8" t="n">
        <v>85</v>
      </c>
      <c r="D2021" s="9" t="str">
        <f aca="false">INDEX(Radicals!$B$2:$B$215,MATCH(C2021,Radicals!$A$2:$A$215,0))</f>
        <v>水</v>
      </c>
      <c r="E2021" s="10" t="str">
        <f aca="false">INDEX(Radicals!$G$2:$G$215,MATCH(C2021,Radicals!$A$2:$A$215,0))</f>
        <v>water</v>
      </c>
      <c r="F2021" s="8" t="n">
        <f aca="false">INDEX(Radicals!$D$2:$D$215,MATCH(C2021,Radicals!$A$2:$A$215,0))</f>
        <v>4</v>
      </c>
      <c r="G2021" s="8" t="n">
        <v>7</v>
      </c>
    </row>
    <row r="2022" customFormat="false" ht="17.35" hidden="false" customHeight="false" outlineLevel="0" collapsed="false">
      <c r="A2022" s="8" t="n">
        <v>2021</v>
      </c>
      <c r="B2022" s="9" t="s">
        <v>2991</v>
      </c>
      <c r="C2022" s="8" t="n">
        <v>149</v>
      </c>
      <c r="D2022" s="9" t="str">
        <f aca="false">INDEX(Radicals!$B$2:$B$215,MATCH(C2022,Radicals!$A$2:$A$215,0))</f>
        <v>言</v>
      </c>
      <c r="E2022" s="10" t="str">
        <f aca="false">INDEX(Radicals!$G$2:$G$215,MATCH(C2022,Radicals!$A$2:$A$215,0))</f>
        <v>speech, say</v>
      </c>
      <c r="F2022" s="8" t="n">
        <f aca="false">INDEX(Radicals!$D$2:$D$215,MATCH(C2022,Radicals!$A$2:$A$215,0))</f>
        <v>7</v>
      </c>
      <c r="G2022" s="8" t="n">
        <v>16</v>
      </c>
    </row>
    <row r="2023" customFormat="false" ht="17.35" hidden="false" customHeight="false" outlineLevel="0" collapsed="false">
      <c r="A2023" s="8" t="n">
        <v>2022</v>
      </c>
      <c r="B2023" s="9" t="s">
        <v>2992</v>
      </c>
      <c r="C2023" s="8" t="n">
        <v>96</v>
      </c>
      <c r="D2023" s="9" t="str">
        <f aca="false">INDEX(Radicals!$B$2:$B$215,MATCH(C2023,Radicals!$A$2:$A$215,0))</f>
        <v>玉</v>
      </c>
      <c r="E2023" s="10" t="str">
        <f aca="false">INDEX(Radicals!$G$2:$G$215,MATCH(C2023,Radicals!$A$2:$A$215,0))</f>
        <v>jade, king</v>
      </c>
      <c r="F2023" s="8" t="n">
        <f aca="false">INDEX(Radicals!$D$2:$D$215,MATCH(C2023,Radicals!$A$2:$A$215,0))</f>
        <v>5</v>
      </c>
      <c r="G2023" s="8" t="n">
        <v>11</v>
      </c>
    </row>
    <row r="2024" customFormat="false" ht="17.35" hidden="false" customHeight="false" outlineLevel="0" collapsed="false">
      <c r="A2024" s="8" t="n">
        <v>2023</v>
      </c>
      <c r="B2024" s="9" t="s">
        <v>2993</v>
      </c>
      <c r="C2024" s="8" t="n">
        <v>118</v>
      </c>
      <c r="D2024" s="9" t="str">
        <f aca="false">INDEX(Radicals!$B$2:$B$215,MATCH(C2024,Radicals!$A$2:$A$215,0))</f>
        <v>竹</v>
      </c>
      <c r="E2024" s="10" t="str">
        <f aca="false">INDEX(Radicals!$G$2:$G$215,MATCH(C2024,Radicals!$A$2:$A$215,0))</f>
        <v>bamboo</v>
      </c>
      <c r="F2024" s="8" t="n">
        <f aca="false">INDEX(Radicals!$D$2:$D$215,MATCH(C2024,Radicals!$A$2:$A$215,0))</f>
        <v>6</v>
      </c>
      <c r="G2024" s="8" t="n">
        <v>14</v>
      </c>
    </row>
    <row r="2025" customFormat="false" ht="17.35" hidden="false" customHeight="false" outlineLevel="0" collapsed="false">
      <c r="A2025" s="8" t="n">
        <v>2024</v>
      </c>
      <c r="B2025" s="9" t="s">
        <v>2994</v>
      </c>
      <c r="C2025" s="8" t="n">
        <v>23</v>
      </c>
      <c r="D2025" s="9" t="str">
        <f aca="false">INDEX(Radicals!$B$2:$B$215,MATCH(C2025,Radicals!$A$2:$A$215,0))</f>
        <v>匸</v>
      </c>
      <c r="E2025" s="10" t="str">
        <f aca="false">INDEX(Radicals!$G$2:$G$215,MATCH(C2025,Radicals!$A$2:$A$215,0))</f>
        <v>hiding enclosure</v>
      </c>
      <c r="F2025" s="8" t="n">
        <f aca="false">INDEX(Radicals!$D$2:$D$215,MATCH(C2025,Radicals!$A$2:$A$215,0))</f>
        <v>2</v>
      </c>
      <c r="G2025" s="8" t="n">
        <v>10</v>
      </c>
    </row>
    <row r="2026" customFormat="false" ht="17.35" hidden="false" customHeight="false" outlineLevel="0" collapsed="false">
      <c r="A2026" s="8" t="n">
        <v>2025</v>
      </c>
      <c r="B2026" s="9" t="s">
        <v>467</v>
      </c>
      <c r="C2026" s="8" t="n">
        <v>87</v>
      </c>
      <c r="D2026" s="9" t="str">
        <f aca="false">INDEX(Radicals!$B$2:$B$215,MATCH(C2026,Radicals!$A$2:$A$215,0))</f>
        <v>爪</v>
      </c>
      <c r="E2026" s="10" t="str">
        <f aca="false">INDEX(Radicals!$G$2:$G$215,MATCH(C2026,Radicals!$A$2:$A$215,0))</f>
        <v>claw</v>
      </c>
      <c r="F2026" s="8" t="n">
        <f aca="false">INDEX(Radicals!$D$2:$D$215,MATCH(C2026,Radicals!$A$2:$A$215,0))</f>
        <v>4</v>
      </c>
      <c r="G2026" s="8" t="n">
        <v>4</v>
      </c>
    </row>
    <row r="2027" customFormat="false" ht="17.35" hidden="false" customHeight="false" outlineLevel="0" collapsed="false">
      <c r="A2027" s="8" t="n">
        <v>2026</v>
      </c>
      <c r="B2027" s="9" t="s">
        <v>2995</v>
      </c>
      <c r="C2027" s="8" t="n">
        <v>140</v>
      </c>
      <c r="D2027" s="9" t="str">
        <f aca="false">INDEX(Radicals!$B$2:$B$215,MATCH(C2027,Radicals!$A$2:$A$215,0))</f>
        <v>艸</v>
      </c>
      <c r="E2027" s="10" t="str">
        <f aca="false">INDEX(Radicals!$G$2:$G$215,MATCH(C2027,Radicals!$A$2:$A$215,0))</f>
        <v>grass, plant</v>
      </c>
      <c r="F2027" s="8" t="n">
        <f aca="false">INDEX(Radicals!$D$2:$D$215,MATCH(C2027,Radicals!$A$2:$A$215,0))</f>
        <v>6</v>
      </c>
      <c r="G2027" s="8" t="n">
        <v>7</v>
      </c>
    </row>
    <row r="2028" customFormat="false" ht="17.35" hidden="false" customHeight="false" outlineLevel="0" collapsed="false">
      <c r="A2028" s="8" t="n">
        <v>2027</v>
      </c>
      <c r="B2028" s="9" t="s">
        <v>2996</v>
      </c>
      <c r="C2028" s="8" t="n">
        <v>162</v>
      </c>
      <c r="D2028" s="9" t="str">
        <f aca="false">INDEX(Radicals!$B$2:$B$215,MATCH(C2028,Radicals!$A$2:$A$215,0))</f>
        <v>辵</v>
      </c>
      <c r="E2028" s="10" t="str">
        <f aca="false">INDEX(Radicals!$G$2:$G$215,MATCH(C2028,Radicals!$A$2:$A$215,0))</f>
        <v>walk, movement</v>
      </c>
      <c r="F2028" s="8" t="n">
        <f aca="false">INDEX(Radicals!$D$2:$D$215,MATCH(C2028,Radicals!$A$2:$A$215,0))</f>
        <v>7</v>
      </c>
      <c r="G2028" s="8" t="n">
        <v>10</v>
      </c>
    </row>
    <row r="2029" customFormat="false" ht="17.35" hidden="false" customHeight="false" outlineLevel="0" collapsed="false">
      <c r="A2029" s="8" t="n">
        <v>2028</v>
      </c>
      <c r="B2029" s="9" t="s">
        <v>2997</v>
      </c>
      <c r="C2029" s="8" t="n">
        <v>140</v>
      </c>
      <c r="D2029" s="9" t="str">
        <f aca="false">INDEX(Radicals!$B$2:$B$215,MATCH(C2029,Radicals!$A$2:$A$215,0))</f>
        <v>艸</v>
      </c>
      <c r="E2029" s="10" t="str">
        <f aca="false">INDEX(Radicals!$G$2:$G$215,MATCH(C2029,Radicals!$A$2:$A$215,0))</f>
        <v>grass, plant</v>
      </c>
      <c r="F2029" s="8" t="n">
        <f aca="false">INDEX(Radicals!$D$2:$D$215,MATCH(C2029,Radicals!$A$2:$A$215,0))</f>
        <v>6</v>
      </c>
      <c r="G2029" s="8" t="n">
        <v>8</v>
      </c>
    </row>
    <row r="2030" customFormat="false" ht="17.35" hidden="false" customHeight="false" outlineLevel="0" collapsed="false">
      <c r="A2030" s="8" t="n">
        <v>2029</v>
      </c>
      <c r="B2030" s="9" t="s">
        <v>2998</v>
      </c>
      <c r="C2030" s="8" t="n">
        <v>167</v>
      </c>
      <c r="D2030" s="9" t="str">
        <f aca="false">INDEX(Radicals!$B$2:$B$215,MATCH(C2030,Radicals!$A$2:$A$215,0))</f>
        <v>金</v>
      </c>
      <c r="E2030" s="10" t="str">
        <f aca="false">INDEX(Radicals!$G$2:$G$215,MATCH(C2030,Radicals!$A$2:$A$215,0))</f>
        <v>metal, gold</v>
      </c>
      <c r="F2030" s="8" t="n">
        <f aca="false">INDEX(Radicals!$D$2:$D$215,MATCH(C2030,Radicals!$A$2:$A$215,0))</f>
        <v>8</v>
      </c>
      <c r="G2030" s="8" t="n">
        <v>17</v>
      </c>
    </row>
    <row r="2031" customFormat="false" ht="17.35" hidden="false" customHeight="false" outlineLevel="0" collapsed="false">
      <c r="A2031" s="8" t="n">
        <v>2030</v>
      </c>
      <c r="B2031" s="9" t="s">
        <v>2999</v>
      </c>
      <c r="C2031" s="8" t="n">
        <v>145</v>
      </c>
      <c r="D2031" s="9" t="str">
        <f aca="false">INDEX(Radicals!$B$2:$B$215,MATCH(C2031,Radicals!$A$2:$A$215,0))</f>
        <v>衣</v>
      </c>
      <c r="E2031" s="10" t="str">
        <f aca="false">INDEX(Radicals!$G$2:$G$215,MATCH(C2031,Radicals!$A$2:$A$215,0))</f>
        <v>clothes</v>
      </c>
      <c r="F2031" s="8" t="n">
        <f aca="false">INDEX(Radicals!$D$2:$D$215,MATCH(C2031,Radicals!$A$2:$A$215,0))</f>
        <v>6</v>
      </c>
      <c r="G2031" s="8" t="n">
        <v>18</v>
      </c>
    </row>
    <row r="2032" customFormat="false" ht="17.35" hidden="false" customHeight="false" outlineLevel="0" collapsed="false">
      <c r="A2032" s="8" t="n">
        <v>2031</v>
      </c>
      <c r="B2032" s="9" t="s">
        <v>3000</v>
      </c>
      <c r="C2032" s="8" t="n">
        <v>142</v>
      </c>
      <c r="D2032" s="9" t="str">
        <f aca="false">INDEX(Radicals!$B$2:$B$215,MATCH(C2032,Radicals!$A$2:$A$215,0))</f>
        <v>虫</v>
      </c>
      <c r="E2032" s="10" t="str">
        <f aca="false">INDEX(Radicals!$G$2:$G$215,MATCH(C2032,Radicals!$A$2:$A$215,0))</f>
        <v>insect</v>
      </c>
      <c r="F2032" s="8" t="n">
        <f aca="false">INDEX(Radicals!$D$2:$D$215,MATCH(C2032,Radicals!$A$2:$A$215,0))</f>
        <v>6</v>
      </c>
      <c r="G2032" s="8" t="n">
        <v>11</v>
      </c>
    </row>
    <row r="2033" customFormat="false" ht="17.35" hidden="false" customHeight="false" outlineLevel="0" collapsed="false">
      <c r="A2033" s="8" t="n">
        <v>2032</v>
      </c>
      <c r="B2033" s="9" t="s">
        <v>3001</v>
      </c>
      <c r="C2033" s="8" t="n">
        <v>75</v>
      </c>
      <c r="D2033" s="9" t="str">
        <f aca="false">INDEX(Radicals!$B$2:$B$215,MATCH(C2033,Radicals!$A$2:$A$215,0))</f>
        <v>木</v>
      </c>
      <c r="E2033" s="10" t="str">
        <f aca="false">INDEX(Radicals!$G$2:$G$215,MATCH(C2033,Radicals!$A$2:$A$215,0))</f>
        <v>tree, wood</v>
      </c>
      <c r="F2033" s="8" t="n">
        <f aca="false">INDEX(Radicals!$D$2:$D$215,MATCH(C2033,Radicals!$A$2:$A$215,0))</f>
        <v>4</v>
      </c>
      <c r="G2033" s="8" t="n">
        <v>13</v>
      </c>
    </row>
    <row r="2034" customFormat="false" ht="17.35" hidden="false" customHeight="false" outlineLevel="0" collapsed="false">
      <c r="A2034" s="8" t="n">
        <v>2033</v>
      </c>
      <c r="B2034" s="9" t="s">
        <v>3002</v>
      </c>
      <c r="C2034" s="8" t="n">
        <v>140</v>
      </c>
      <c r="D2034" s="9" t="str">
        <f aca="false">INDEX(Radicals!$B$2:$B$215,MATCH(C2034,Radicals!$A$2:$A$215,0))</f>
        <v>艸</v>
      </c>
      <c r="E2034" s="10" t="str">
        <f aca="false">INDEX(Radicals!$G$2:$G$215,MATCH(C2034,Radicals!$A$2:$A$215,0))</f>
        <v>grass, plant</v>
      </c>
      <c r="F2034" s="8" t="n">
        <f aca="false">INDEX(Radicals!$D$2:$D$215,MATCH(C2034,Radicals!$A$2:$A$215,0))</f>
        <v>6</v>
      </c>
      <c r="G2034" s="8" t="n">
        <v>15</v>
      </c>
    </row>
    <row r="2035" customFormat="false" ht="17.35" hidden="false" customHeight="false" outlineLevel="0" collapsed="false">
      <c r="A2035" s="8" t="n">
        <v>2034</v>
      </c>
      <c r="B2035" s="9" t="s">
        <v>3003</v>
      </c>
      <c r="C2035" s="8" t="n">
        <v>10</v>
      </c>
      <c r="D2035" s="9" t="str">
        <f aca="false">INDEX(Radicals!$B$2:$B$215,MATCH(C2035,Radicals!$A$2:$A$215,0))</f>
        <v>儿</v>
      </c>
      <c r="E2035" s="10" t="str">
        <f aca="false">INDEX(Radicals!$G$2:$G$215,MATCH(C2035,Radicals!$A$2:$A$215,0))</f>
        <v>legs, walking person</v>
      </c>
      <c r="F2035" s="8" t="n">
        <f aca="false">INDEX(Radicals!$D$2:$D$215,MATCH(C2035,Radicals!$A$2:$A$215,0))</f>
        <v>2</v>
      </c>
      <c r="G2035" s="8" t="n">
        <v>11</v>
      </c>
    </row>
    <row r="2036" customFormat="false" ht="17.35" hidden="false" customHeight="false" outlineLevel="0" collapsed="false">
      <c r="A2036" s="8" t="n">
        <v>2035</v>
      </c>
      <c r="B2036" s="9" t="s">
        <v>3004</v>
      </c>
      <c r="C2036" s="8" t="n">
        <v>40</v>
      </c>
      <c r="D2036" s="9" t="str">
        <f aca="false">INDEX(Radicals!$B$2:$B$215,MATCH(C2036,Radicals!$A$2:$A$215,0))</f>
        <v>宀</v>
      </c>
      <c r="E2036" s="10" t="str">
        <f aca="false">INDEX(Radicals!$G$2:$G$215,MATCH(C2036,Radicals!$A$2:$A$215,0))</f>
        <v>roof</v>
      </c>
      <c r="F2036" s="8" t="n">
        <f aca="false">INDEX(Radicals!$D$2:$D$215,MATCH(C2036,Radicals!$A$2:$A$215,0))</f>
        <v>3</v>
      </c>
      <c r="G2036" s="8" t="n">
        <v>14</v>
      </c>
    </row>
    <row r="2037" customFormat="false" ht="17.35" hidden="false" customHeight="false" outlineLevel="0" collapsed="false">
      <c r="A2037" s="8" t="n">
        <v>2036</v>
      </c>
      <c r="B2037" s="9" t="s">
        <v>3005</v>
      </c>
      <c r="C2037" s="8" t="n">
        <v>96</v>
      </c>
      <c r="D2037" s="9" t="str">
        <f aca="false">INDEX(Radicals!$B$2:$B$215,MATCH(C2037,Radicals!$A$2:$A$215,0))</f>
        <v>玉</v>
      </c>
      <c r="E2037" s="10" t="str">
        <f aca="false">INDEX(Radicals!$G$2:$G$215,MATCH(C2037,Radicals!$A$2:$A$215,0))</f>
        <v>jade, king</v>
      </c>
      <c r="F2037" s="8" t="n">
        <f aca="false">INDEX(Radicals!$D$2:$D$215,MATCH(C2037,Radicals!$A$2:$A$215,0))</f>
        <v>5</v>
      </c>
      <c r="G2037" s="8" t="n">
        <v>11</v>
      </c>
    </row>
    <row r="2038" customFormat="false" ht="17.35" hidden="false" customHeight="false" outlineLevel="0" collapsed="false">
      <c r="A2038" s="8" t="n">
        <v>2037</v>
      </c>
      <c r="B2038" s="9" t="s">
        <v>3006</v>
      </c>
      <c r="C2038" s="8" t="n">
        <v>104</v>
      </c>
      <c r="D2038" s="9" t="str">
        <f aca="false">INDEX(Radicals!$B$2:$B$215,MATCH(C2038,Radicals!$A$2:$A$215,0))</f>
        <v>疒</v>
      </c>
      <c r="E2038" s="10" t="str">
        <f aca="false">INDEX(Radicals!$G$2:$G$215,MATCH(C2038,Radicals!$A$2:$A$215,0))</f>
        <v>sickness</v>
      </c>
      <c r="F2038" s="8" t="n">
        <f aca="false">INDEX(Radicals!$D$2:$D$215,MATCH(C2038,Radicals!$A$2:$A$215,0))</f>
        <v>5</v>
      </c>
      <c r="G2038" s="8" t="n">
        <v>12</v>
      </c>
    </row>
    <row r="2039" customFormat="false" ht="17.35" hidden="false" customHeight="false" outlineLevel="0" collapsed="false">
      <c r="A2039" s="8" t="n">
        <v>2038</v>
      </c>
      <c r="B2039" s="9" t="s">
        <v>3007</v>
      </c>
      <c r="C2039" s="8" t="n">
        <v>53</v>
      </c>
      <c r="D2039" s="9" t="str">
        <f aca="false">INDEX(Radicals!$B$2:$B$215,MATCH(C2039,Radicals!$A$2:$A$215,0))</f>
        <v>广</v>
      </c>
      <c r="E2039" s="10" t="str">
        <f aca="false">INDEX(Radicals!$G$2:$G$215,MATCH(C2039,Radicals!$A$2:$A$215,0))</f>
        <v>dotted cliff, building</v>
      </c>
      <c r="F2039" s="8" t="n">
        <f aca="false">INDEX(Radicals!$D$2:$D$215,MATCH(C2039,Radicals!$A$2:$A$215,0))</f>
        <v>3</v>
      </c>
      <c r="G2039" s="8" t="n">
        <v>11</v>
      </c>
    </row>
    <row r="2040" customFormat="false" ht="17.35" hidden="false" customHeight="false" outlineLevel="0" collapsed="false">
      <c r="A2040" s="8" t="n">
        <v>2039</v>
      </c>
      <c r="B2040" s="9" t="s">
        <v>3008</v>
      </c>
      <c r="C2040" s="8" t="n">
        <v>74</v>
      </c>
      <c r="D2040" s="9" t="str">
        <f aca="false">INDEX(Radicals!$B$2:$B$215,MATCH(C2040,Radicals!$A$2:$A$215,0))</f>
        <v>月</v>
      </c>
      <c r="E2040" s="10" t="str">
        <f aca="false">INDEX(Radicals!$G$2:$G$215,MATCH(C2040,Radicals!$A$2:$A$215,0))</f>
        <v>moon, month</v>
      </c>
      <c r="F2040" s="8" t="n">
        <f aca="false">INDEX(Radicals!$D$2:$D$215,MATCH(C2040,Radicals!$A$2:$A$215,0))</f>
        <v>4</v>
      </c>
      <c r="G2040" s="8" t="n">
        <v>8</v>
      </c>
    </row>
    <row r="2041" customFormat="false" ht="17.35" hidden="false" customHeight="false" outlineLevel="0" collapsed="false">
      <c r="A2041" s="8" t="n">
        <v>2040</v>
      </c>
      <c r="B2041" s="9" t="s">
        <v>3009</v>
      </c>
      <c r="C2041" s="8" t="n">
        <v>32</v>
      </c>
      <c r="D2041" s="9" t="str">
        <f aca="false">INDEX(Radicals!$B$2:$B$215,MATCH(C2041,Radicals!$A$2:$A$215,0))</f>
        <v>土</v>
      </c>
      <c r="E2041" s="10" t="str">
        <f aca="false">INDEX(Radicals!$G$2:$G$215,MATCH(C2041,Radicals!$A$2:$A$215,0))</f>
        <v>earth, soil</v>
      </c>
      <c r="F2041" s="8" t="n">
        <f aca="false">INDEX(Radicals!$D$2:$D$215,MATCH(C2041,Radicals!$A$2:$A$215,0))</f>
        <v>3</v>
      </c>
      <c r="G2041" s="8" t="n">
        <v>7</v>
      </c>
    </row>
    <row r="2042" customFormat="false" ht="17.35" hidden="false" customHeight="false" outlineLevel="0" collapsed="false">
      <c r="A2042" s="8" t="n">
        <v>2041</v>
      </c>
      <c r="B2042" s="9" t="s">
        <v>3010</v>
      </c>
      <c r="C2042" s="8" t="n">
        <v>38</v>
      </c>
      <c r="D2042" s="9" t="str">
        <f aca="false">INDEX(Radicals!$B$2:$B$215,MATCH(C2042,Radicals!$A$2:$A$215,0))</f>
        <v>女</v>
      </c>
      <c r="E2042" s="10" t="str">
        <f aca="false">INDEX(Radicals!$G$2:$G$215,MATCH(C2042,Radicals!$A$2:$A$215,0))</f>
        <v>woman</v>
      </c>
      <c r="F2042" s="8" t="n">
        <f aca="false">INDEX(Radicals!$D$2:$D$215,MATCH(C2042,Radicals!$A$2:$A$215,0))</f>
        <v>3</v>
      </c>
      <c r="G2042" s="8" t="n">
        <v>8</v>
      </c>
    </row>
    <row r="2043" customFormat="false" ht="17.35" hidden="false" customHeight="false" outlineLevel="0" collapsed="false">
      <c r="A2043" s="8" t="n">
        <v>2042</v>
      </c>
      <c r="B2043" s="9" t="s">
        <v>3011</v>
      </c>
      <c r="C2043" s="8" t="n">
        <v>86</v>
      </c>
      <c r="D2043" s="9" t="str">
        <f aca="false">INDEX(Radicals!$B$2:$B$215,MATCH(C2043,Radicals!$A$2:$A$215,0))</f>
        <v>火</v>
      </c>
      <c r="E2043" s="10" t="str">
        <f aca="false">INDEX(Radicals!$G$2:$G$215,MATCH(C2043,Radicals!$A$2:$A$215,0))</f>
        <v>fire</v>
      </c>
      <c r="F2043" s="8" t="n">
        <f aca="false">INDEX(Radicals!$D$2:$D$215,MATCH(C2043,Radicals!$A$2:$A$215,0))</f>
        <v>4</v>
      </c>
      <c r="G2043" s="8" t="n">
        <v>10</v>
      </c>
    </row>
    <row r="2044" customFormat="false" ht="17.35" hidden="false" customHeight="false" outlineLevel="0" collapsed="false">
      <c r="A2044" s="8" t="n">
        <v>2043</v>
      </c>
      <c r="B2044" s="9" t="s">
        <v>3012</v>
      </c>
      <c r="C2044" s="8" t="n">
        <v>140</v>
      </c>
      <c r="D2044" s="9" t="str">
        <f aca="false">INDEX(Radicals!$B$2:$B$215,MATCH(C2044,Radicals!$A$2:$A$215,0))</f>
        <v>艸</v>
      </c>
      <c r="E2044" s="10" t="str">
        <f aca="false">INDEX(Radicals!$G$2:$G$215,MATCH(C2044,Radicals!$A$2:$A$215,0))</f>
        <v>grass, plant</v>
      </c>
      <c r="F2044" s="8" t="n">
        <f aca="false">INDEX(Radicals!$D$2:$D$215,MATCH(C2044,Radicals!$A$2:$A$215,0))</f>
        <v>6</v>
      </c>
      <c r="G2044" s="8" t="n">
        <v>18</v>
      </c>
    </row>
    <row r="2045" customFormat="false" ht="17.35" hidden="false" customHeight="false" outlineLevel="0" collapsed="false">
      <c r="A2045" s="8" t="n">
        <v>2044</v>
      </c>
      <c r="B2045" s="9" t="s">
        <v>3013</v>
      </c>
      <c r="C2045" s="8" t="n">
        <v>9</v>
      </c>
      <c r="D2045" s="9" t="str">
        <f aca="false">INDEX(Radicals!$B$2:$B$215,MATCH(C2045,Radicals!$A$2:$A$215,0))</f>
        <v>人</v>
      </c>
      <c r="E2045" s="10" t="str">
        <f aca="false">INDEX(Radicals!$G$2:$G$215,MATCH(C2045,Radicals!$A$2:$A$215,0))</f>
        <v>person</v>
      </c>
      <c r="F2045" s="8" t="n">
        <f aca="false">INDEX(Radicals!$D$2:$D$215,MATCH(C2045,Radicals!$A$2:$A$215,0))</f>
        <v>2</v>
      </c>
      <c r="G2045" s="8" t="n">
        <v>14</v>
      </c>
    </row>
    <row r="2046" customFormat="false" ht="17.35" hidden="false" customHeight="false" outlineLevel="0" collapsed="false">
      <c r="A2046" s="8" t="n">
        <v>2045</v>
      </c>
      <c r="B2046" s="9" t="s">
        <v>3014</v>
      </c>
      <c r="C2046" s="8" t="n">
        <v>154</v>
      </c>
      <c r="D2046" s="9" t="str">
        <f aca="false">INDEX(Radicals!$B$2:$B$215,MATCH(C2046,Radicals!$A$2:$A$215,0))</f>
        <v>貝</v>
      </c>
      <c r="E2046" s="10" t="str">
        <f aca="false">INDEX(Radicals!$G$2:$G$215,MATCH(C2046,Radicals!$A$2:$A$215,0))</f>
        <v>shell, money</v>
      </c>
      <c r="F2046" s="8" t="n">
        <f aca="false">INDEX(Radicals!$D$2:$D$215,MATCH(C2046,Radicals!$A$2:$A$215,0))</f>
        <v>7</v>
      </c>
      <c r="G2046" s="8" t="n">
        <v>13</v>
      </c>
    </row>
    <row r="2047" customFormat="false" ht="17.35" hidden="false" customHeight="false" outlineLevel="0" collapsed="false">
      <c r="A2047" s="8" t="n">
        <v>2046</v>
      </c>
      <c r="B2047" s="9" t="s">
        <v>3015</v>
      </c>
      <c r="C2047" s="8" t="n">
        <v>64</v>
      </c>
      <c r="D2047" s="9" t="str">
        <f aca="false">INDEX(Radicals!$B$2:$B$215,MATCH(C2047,Radicals!$A$2:$A$215,0))</f>
        <v>手</v>
      </c>
      <c r="E2047" s="10" t="str">
        <f aca="false">INDEX(Radicals!$G$2:$G$215,MATCH(C2047,Radicals!$A$2:$A$215,0))</f>
        <v>hand</v>
      </c>
      <c r="F2047" s="8" t="n">
        <f aca="false">INDEX(Radicals!$D$2:$D$215,MATCH(C2047,Radicals!$A$2:$A$215,0))</f>
        <v>4</v>
      </c>
      <c r="G2047" s="8" t="n">
        <v>13</v>
      </c>
    </row>
    <row r="2048" customFormat="false" ht="17.35" hidden="false" customHeight="false" outlineLevel="0" collapsed="false">
      <c r="A2048" s="8" t="n">
        <v>2047</v>
      </c>
      <c r="B2048" s="9" t="s">
        <v>3016</v>
      </c>
      <c r="C2048" s="8" t="n">
        <v>37</v>
      </c>
      <c r="D2048" s="9" t="str">
        <f aca="false">INDEX(Radicals!$B$2:$B$215,MATCH(C2048,Radicals!$A$2:$A$215,0))</f>
        <v>大</v>
      </c>
      <c r="E2048" s="10" t="str">
        <f aca="false">INDEX(Radicals!$G$2:$G$215,MATCH(C2048,Radicals!$A$2:$A$215,0))</f>
        <v>big</v>
      </c>
      <c r="F2048" s="8" t="n">
        <f aca="false">INDEX(Radicals!$D$2:$D$215,MATCH(C2048,Radicals!$A$2:$A$215,0))</f>
        <v>3</v>
      </c>
      <c r="G2048" s="8" t="n">
        <v>8</v>
      </c>
    </row>
    <row r="2049" customFormat="false" ht="17.35" hidden="false" customHeight="false" outlineLevel="0" collapsed="false">
      <c r="A2049" s="8" t="n">
        <v>2048</v>
      </c>
      <c r="B2049" s="9" t="s">
        <v>708</v>
      </c>
      <c r="C2049" s="8" t="n">
        <v>134</v>
      </c>
      <c r="D2049" s="9" t="str">
        <f aca="false">INDEX(Radicals!$B$2:$B$215,MATCH(C2049,Radicals!$A$2:$A$215,0))</f>
        <v>臼</v>
      </c>
      <c r="E2049" s="10" t="str">
        <f aca="false">INDEX(Radicals!$G$2:$G$215,MATCH(C2049,Radicals!$A$2:$A$215,0))</f>
        <v>mortar</v>
      </c>
      <c r="F2049" s="8" t="n">
        <f aca="false">INDEX(Radicals!$D$2:$D$215,MATCH(C2049,Radicals!$A$2:$A$215,0))</f>
        <v>6</v>
      </c>
      <c r="G2049" s="8" t="n">
        <v>6</v>
      </c>
    </row>
    <row r="2050" customFormat="false" ht="17.35" hidden="false" customHeight="false" outlineLevel="0" collapsed="false">
      <c r="A2050" s="8" t="n">
        <v>2049</v>
      </c>
      <c r="B2050" s="9" t="s">
        <v>3017</v>
      </c>
      <c r="C2050" s="8" t="n">
        <v>102</v>
      </c>
      <c r="D2050" s="9" t="str">
        <f aca="false">INDEX(Radicals!$B$2:$B$215,MATCH(C2050,Radicals!$A$2:$A$215,0))</f>
        <v>田</v>
      </c>
      <c r="E2050" s="10" t="str">
        <f aca="false">INDEX(Radicals!$G$2:$G$215,MATCH(C2050,Radicals!$A$2:$A$215,0))</f>
        <v>field, paddy</v>
      </c>
      <c r="F2050" s="8" t="n">
        <f aca="false">INDEX(Radicals!$D$2:$D$215,MATCH(C2050,Radicals!$A$2:$A$215,0))</f>
        <v>5</v>
      </c>
      <c r="G2050" s="8" t="n">
        <v>10</v>
      </c>
    </row>
    <row r="2051" customFormat="false" ht="17.35" hidden="false" customHeight="false" outlineLevel="0" collapsed="false">
      <c r="A2051" s="8" t="n">
        <v>2050</v>
      </c>
      <c r="B2051" s="9" t="s">
        <v>3018</v>
      </c>
      <c r="C2051" s="8" t="n">
        <v>162</v>
      </c>
      <c r="D2051" s="9" t="str">
        <f aca="false">INDEX(Radicals!$B$2:$B$215,MATCH(C2051,Radicals!$A$2:$A$215,0))</f>
        <v>辵</v>
      </c>
      <c r="E2051" s="10" t="str">
        <f aca="false">INDEX(Radicals!$G$2:$G$215,MATCH(C2051,Radicals!$A$2:$A$215,0))</f>
        <v>walk, movement</v>
      </c>
      <c r="F2051" s="8" t="n">
        <f aca="false">INDEX(Radicals!$D$2:$D$215,MATCH(C2051,Radicals!$A$2:$A$215,0))</f>
        <v>7</v>
      </c>
      <c r="G2051" s="8" t="n">
        <v>15</v>
      </c>
    </row>
    <row r="2052" customFormat="false" ht="17.35" hidden="false" customHeight="false" outlineLevel="0" collapsed="false">
      <c r="A2052" s="8" t="n">
        <v>2051</v>
      </c>
      <c r="B2052" s="9" t="s">
        <v>3019</v>
      </c>
      <c r="C2052" s="8" t="n">
        <v>30</v>
      </c>
      <c r="D2052" s="9" t="str">
        <f aca="false">INDEX(Radicals!$B$2:$B$215,MATCH(C2052,Radicals!$A$2:$A$215,0))</f>
        <v>口</v>
      </c>
      <c r="E2052" s="10" t="str">
        <f aca="false">INDEX(Radicals!$G$2:$G$215,MATCH(C2052,Radicals!$A$2:$A$215,0))</f>
        <v>mouth</v>
      </c>
      <c r="F2052" s="8" t="n">
        <f aca="false">INDEX(Radicals!$D$2:$D$215,MATCH(C2052,Radicals!$A$2:$A$215,0))</f>
        <v>3</v>
      </c>
      <c r="G2052" s="8" t="n">
        <v>10</v>
      </c>
    </row>
    <row r="2053" customFormat="false" ht="17.35" hidden="false" customHeight="false" outlineLevel="0" collapsed="false">
      <c r="A2053" s="8" t="n">
        <v>2052</v>
      </c>
      <c r="B2053" s="9" t="s">
        <v>3020</v>
      </c>
      <c r="C2053" s="8" t="n">
        <v>39</v>
      </c>
      <c r="D2053" s="9" t="str">
        <f aca="false">INDEX(Radicals!$B$2:$B$215,MATCH(C2053,Radicals!$A$2:$A$215,0))</f>
        <v>子</v>
      </c>
      <c r="E2053" s="10" t="str">
        <f aca="false">INDEX(Radicals!$G$2:$G$215,MATCH(C2053,Radicals!$A$2:$A$215,0))</f>
        <v>child</v>
      </c>
      <c r="F2053" s="8" t="n">
        <f aca="false">INDEX(Radicals!$D$2:$D$215,MATCH(C2053,Radicals!$A$2:$A$215,0))</f>
        <v>3</v>
      </c>
      <c r="G2053" s="8" t="n">
        <v>4</v>
      </c>
    </row>
    <row r="2054" customFormat="false" ht="17.35" hidden="false" customHeight="false" outlineLevel="0" collapsed="false">
      <c r="A2054" s="8" t="n">
        <v>2053</v>
      </c>
      <c r="B2054" s="9" t="s">
        <v>3021</v>
      </c>
      <c r="C2054" s="8" t="n">
        <v>75</v>
      </c>
      <c r="D2054" s="9" t="str">
        <f aca="false">INDEX(Radicals!$B$2:$B$215,MATCH(C2054,Radicals!$A$2:$A$215,0))</f>
        <v>木</v>
      </c>
      <c r="E2054" s="10" t="str">
        <f aca="false">INDEX(Radicals!$G$2:$G$215,MATCH(C2054,Radicals!$A$2:$A$215,0))</f>
        <v>tree, wood</v>
      </c>
      <c r="F2054" s="8" t="n">
        <f aca="false">INDEX(Radicals!$D$2:$D$215,MATCH(C2054,Radicals!$A$2:$A$215,0))</f>
        <v>4</v>
      </c>
      <c r="G2054" s="8" t="n">
        <v>16</v>
      </c>
    </row>
    <row r="2055" customFormat="false" ht="17.35" hidden="false" customHeight="false" outlineLevel="0" collapsed="false">
      <c r="A2055" s="8" t="n">
        <v>2054</v>
      </c>
      <c r="B2055" s="9" t="s">
        <v>3022</v>
      </c>
      <c r="C2055" s="8" t="n">
        <v>85</v>
      </c>
      <c r="D2055" s="9" t="str">
        <f aca="false">INDEX(Radicals!$B$2:$B$215,MATCH(C2055,Radicals!$A$2:$A$215,0))</f>
        <v>水</v>
      </c>
      <c r="E2055" s="10" t="str">
        <f aca="false">INDEX(Radicals!$G$2:$G$215,MATCH(C2055,Radicals!$A$2:$A$215,0))</f>
        <v>water</v>
      </c>
      <c r="F2055" s="8" t="n">
        <f aca="false">INDEX(Radicals!$D$2:$D$215,MATCH(C2055,Radicals!$A$2:$A$215,0))</f>
        <v>4</v>
      </c>
      <c r="G2055" s="8" t="n">
        <v>14</v>
      </c>
    </row>
    <row r="2056" customFormat="false" ht="17.35" hidden="false" customHeight="false" outlineLevel="0" collapsed="false">
      <c r="A2056" s="8" t="n">
        <v>2055</v>
      </c>
      <c r="B2056" s="9" t="s">
        <v>3023</v>
      </c>
      <c r="C2056" s="8" t="n">
        <v>30</v>
      </c>
      <c r="D2056" s="9" t="str">
        <f aca="false">INDEX(Radicals!$B$2:$B$215,MATCH(C2056,Radicals!$A$2:$A$215,0))</f>
        <v>口</v>
      </c>
      <c r="E2056" s="10" t="str">
        <f aca="false">INDEX(Radicals!$G$2:$G$215,MATCH(C2056,Radicals!$A$2:$A$215,0))</f>
        <v>mouth</v>
      </c>
      <c r="F2056" s="8" t="n">
        <f aca="false">INDEX(Radicals!$D$2:$D$215,MATCH(C2056,Radicals!$A$2:$A$215,0))</f>
        <v>3</v>
      </c>
      <c r="G2056" s="8" t="n">
        <v>7</v>
      </c>
    </row>
    <row r="2057" customFormat="false" ht="17.35" hidden="false" customHeight="false" outlineLevel="0" collapsed="false">
      <c r="A2057" s="8" t="n">
        <v>2056</v>
      </c>
      <c r="B2057" s="9" t="s">
        <v>3024</v>
      </c>
      <c r="C2057" s="8" t="n">
        <v>75</v>
      </c>
      <c r="D2057" s="9" t="str">
        <f aca="false">INDEX(Radicals!$B$2:$B$215,MATCH(C2057,Radicals!$A$2:$A$215,0))</f>
        <v>木</v>
      </c>
      <c r="E2057" s="10" t="str">
        <f aca="false">INDEX(Radicals!$G$2:$G$215,MATCH(C2057,Radicals!$A$2:$A$215,0))</f>
        <v>tree, wood</v>
      </c>
      <c r="F2057" s="8" t="n">
        <f aca="false">INDEX(Radicals!$D$2:$D$215,MATCH(C2057,Radicals!$A$2:$A$215,0))</f>
        <v>4</v>
      </c>
      <c r="G2057" s="8" t="n">
        <v>10</v>
      </c>
    </row>
    <row r="2058" customFormat="false" ht="17.35" hidden="false" customHeight="false" outlineLevel="0" collapsed="false">
      <c r="A2058" s="8" t="n">
        <v>2057</v>
      </c>
      <c r="B2058" s="9" t="s">
        <v>3025</v>
      </c>
      <c r="C2058" s="8" t="n">
        <v>64</v>
      </c>
      <c r="D2058" s="9" t="str">
        <f aca="false">INDEX(Radicals!$B$2:$B$215,MATCH(C2058,Radicals!$A$2:$A$215,0))</f>
        <v>手</v>
      </c>
      <c r="E2058" s="10" t="str">
        <f aca="false">INDEX(Radicals!$G$2:$G$215,MATCH(C2058,Radicals!$A$2:$A$215,0))</f>
        <v>hand</v>
      </c>
      <c r="F2058" s="8" t="n">
        <f aca="false">INDEX(Radicals!$D$2:$D$215,MATCH(C2058,Radicals!$A$2:$A$215,0))</f>
        <v>4</v>
      </c>
      <c r="G2058" s="8" t="n">
        <v>9</v>
      </c>
    </row>
    <row r="2059" customFormat="false" ht="17.35" hidden="false" customHeight="false" outlineLevel="0" collapsed="false">
      <c r="A2059" s="8" t="n">
        <v>2058</v>
      </c>
      <c r="B2059" s="9" t="s">
        <v>3026</v>
      </c>
      <c r="C2059" s="8" t="n">
        <v>40</v>
      </c>
      <c r="D2059" s="9" t="str">
        <f aca="false">INDEX(Radicals!$B$2:$B$215,MATCH(C2059,Radicals!$A$2:$A$215,0))</f>
        <v>宀</v>
      </c>
      <c r="E2059" s="10" t="str">
        <f aca="false">INDEX(Radicals!$G$2:$G$215,MATCH(C2059,Radicals!$A$2:$A$215,0))</f>
        <v>roof</v>
      </c>
      <c r="F2059" s="8" t="n">
        <f aca="false">INDEX(Radicals!$D$2:$D$215,MATCH(C2059,Radicals!$A$2:$A$215,0))</f>
        <v>3</v>
      </c>
      <c r="G2059" s="8" t="n">
        <v>7</v>
      </c>
    </row>
    <row r="2060" customFormat="false" ht="17.35" hidden="false" customHeight="false" outlineLevel="0" collapsed="false">
      <c r="A2060" s="8" t="n">
        <v>2059</v>
      </c>
      <c r="B2060" s="9" t="s">
        <v>3027</v>
      </c>
      <c r="C2060" s="8" t="n">
        <v>38</v>
      </c>
      <c r="D2060" s="9" t="str">
        <f aca="false">INDEX(Radicals!$B$2:$B$215,MATCH(C2060,Radicals!$A$2:$A$215,0))</f>
        <v>女</v>
      </c>
      <c r="E2060" s="10" t="str">
        <f aca="false">INDEX(Radicals!$G$2:$G$215,MATCH(C2060,Radicals!$A$2:$A$215,0))</f>
        <v>woman</v>
      </c>
      <c r="F2060" s="8" t="n">
        <f aca="false">INDEX(Radicals!$D$2:$D$215,MATCH(C2060,Radicals!$A$2:$A$215,0))</f>
        <v>3</v>
      </c>
      <c r="G2060" s="8" t="n">
        <v>16</v>
      </c>
    </row>
    <row r="2061" customFormat="false" ht="17.35" hidden="false" customHeight="false" outlineLevel="0" collapsed="false">
      <c r="A2061" s="8" t="n">
        <v>2060</v>
      </c>
      <c r="B2061" s="9" t="s">
        <v>3028</v>
      </c>
      <c r="C2061" s="8" t="n">
        <v>140</v>
      </c>
      <c r="D2061" s="9" t="str">
        <f aca="false">INDEX(Radicals!$B$2:$B$215,MATCH(C2061,Radicals!$A$2:$A$215,0))</f>
        <v>艸</v>
      </c>
      <c r="E2061" s="10" t="str">
        <f aca="false">INDEX(Radicals!$G$2:$G$215,MATCH(C2061,Radicals!$A$2:$A$215,0))</f>
        <v>grass, plant</v>
      </c>
      <c r="F2061" s="8" t="n">
        <f aca="false">INDEX(Radicals!$D$2:$D$215,MATCH(C2061,Radicals!$A$2:$A$215,0))</f>
        <v>6</v>
      </c>
      <c r="G2061" s="8" t="n">
        <v>8</v>
      </c>
    </row>
    <row r="2062" customFormat="false" ht="17.35" hidden="false" customHeight="false" outlineLevel="0" collapsed="false">
      <c r="A2062" s="8" t="n">
        <v>2061</v>
      </c>
      <c r="B2062" s="9" t="s">
        <v>3029</v>
      </c>
      <c r="C2062" s="8" t="n">
        <v>49</v>
      </c>
      <c r="D2062" s="9" t="str">
        <f aca="false">INDEX(Radicals!$B$2:$B$215,MATCH(C2062,Radicals!$A$2:$A$215,0))</f>
        <v>己</v>
      </c>
      <c r="E2062" s="10" t="str">
        <f aca="false">INDEX(Radicals!$G$2:$G$215,MATCH(C2062,Radicals!$A$2:$A$215,0))</f>
        <v>oneself</v>
      </c>
      <c r="F2062" s="8" t="n">
        <f aca="false">INDEX(Radicals!$D$2:$D$215,MATCH(C2062,Radicals!$A$2:$A$215,0))</f>
        <v>3</v>
      </c>
      <c r="G2062" s="8" t="n">
        <v>12</v>
      </c>
    </row>
    <row r="2063" customFormat="false" ht="17.35" hidden="false" customHeight="false" outlineLevel="0" collapsed="false">
      <c r="A2063" s="8" t="n">
        <v>2062</v>
      </c>
      <c r="B2063" s="9" t="s">
        <v>3030</v>
      </c>
      <c r="C2063" s="8" t="n">
        <v>75</v>
      </c>
      <c r="D2063" s="9" t="str">
        <f aca="false">INDEX(Radicals!$B$2:$B$215,MATCH(C2063,Radicals!$A$2:$A$215,0))</f>
        <v>木</v>
      </c>
      <c r="E2063" s="10" t="str">
        <f aca="false">INDEX(Radicals!$G$2:$G$215,MATCH(C2063,Radicals!$A$2:$A$215,0))</f>
        <v>tree, wood</v>
      </c>
      <c r="F2063" s="8" t="n">
        <f aca="false">INDEX(Radicals!$D$2:$D$215,MATCH(C2063,Radicals!$A$2:$A$215,0))</f>
        <v>4</v>
      </c>
      <c r="G2063" s="8" t="n">
        <v>7</v>
      </c>
    </row>
    <row r="2064" customFormat="false" ht="17.35" hidden="false" customHeight="false" outlineLevel="0" collapsed="false">
      <c r="A2064" s="8" t="n">
        <v>2063</v>
      </c>
      <c r="B2064" s="9" t="s">
        <v>3031</v>
      </c>
      <c r="C2064" s="8" t="n">
        <v>85</v>
      </c>
      <c r="D2064" s="9" t="str">
        <f aca="false">INDEX(Radicals!$B$2:$B$215,MATCH(C2064,Radicals!$A$2:$A$215,0))</f>
        <v>水</v>
      </c>
      <c r="E2064" s="10" t="str">
        <f aca="false">INDEX(Radicals!$G$2:$G$215,MATCH(C2064,Radicals!$A$2:$A$215,0))</f>
        <v>water</v>
      </c>
      <c r="F2064" s="8" t="n">
        <f aca="false">INDEX(Radicals!$D$2:$D$215,MATCH(C2064,Radicals!$A$2:$A$215,0))</f>
        <v>4</v>
      </c>
      <c r="G2064" s="8" t="n">
        <v>11</v>
      </c>
    </row>
    <row r="2065" customFormat="false" ht="17.35" hidden="false" customHeight="false" outlineLevel="0" collapsed="false">
      <c r="A2065" s="8" t="n">
        <v>2064</v>
      </c>
      <c r="B2065" s="9" t="s">
        <v>3032</v>
      </c>
      <c r="C2065" s="8" t="n">
        <v>124</v>
      </c>
      <c r="D2065" s="9" t="str">
        <f aca="false">INDEX(Radicals!$B$2:$B$215,MATCH(C2065,Radicals!$A$2:$A$215,0))</f>
        <v>羽</v>
      </c>
      <c r="E2065" s="10" t="str">
        <f aca="false">INDEX(Radicals!$G$2:$G$215,MATCH(C2065,Radicals!$A$2:$A$215,0))</f>
        <v>feather, wing</v>
      </c>
      <c r="F2065" s="8" t="n">
        <f aca="false">INDEX(Radicals!$D$2:$D$215,MATCH(C2065,Radicals!$A$2:$A$215,0))</f>
        <v>6</v>
      </c>
      <c r="G2065" s="8" t="n">
        <v>10</v>
      </c>
    </row>
    <row r="2066" customFormat="false" ht="17.35" hidden="false" customHeight="false" outlineLevel="0" collapsed="false">
      <c r="A2066" s="8" t="n">
        <v>2065</v>
      </c>
      <c r="B2066" s="9" t="s">
        <v>3033</v>
      </c>
      <c r="C2066" s="8" t="n">
        <v>140</v>
      </c>
      <c r="D2066" s="9" t="str">
        <f aca="false">INDEX(Radicals!$B$2:$B$215,MATCH(C2066,Radicals!$A$2:$A$215,0))</f>
        <v>艸</v>
      </c>
      <c r="E2066" s="10" t="str">
        <f aca="false">INDEX(Radicals!$G$2:$G$215,MATCH(C2066,Radicals!$A$2:$A$215,0))</f>
        <v>grass, plant</v>
      </c>
      <c r="F2066" s="8" t="n">
        <f aca="false">INDEX(Radicals!$D$2:$D$215,MATCH(C2066,Radicals!$A$2:$A$215,0))</f>
        <v>6</v>
      </c>
      <c r="G2066" s="8" t="n">
        <v>18</v>
      </c>
    </row>
    <row r="2067" customFormat="false" ht="17.35" hidden="false" customHeight="false" outlineLevel="0" collapsed="false">
      <c r="A2067" s="8" t="n">
        <v>2066</v>
      </c>
      <c r="B2067" s="9" t="s">
        <v>3034</v>
      </c>
      <c r="C2067" s="8" t="n">
        <v>53</v>
      </c>
      <c r="D2067" s="9" t="str">
        <f aca="false">INDEX(Radicals!$B$2:$B$215,MATCH(C2067,Radicals!$A$2:$A$215,0))</f>
        <v>广</v>
      </c>
      <c r="E2067" s="10" t="str">
        <f aca="false">INDEX(Radicals!$G$2:$G$215,MATCH(C2067,Radicals!$A$2:$A$215,0))</f>
        <v>dotted cliff, building</v>
      </c>
      <c r="F2067" s="8" t="n">
        <f aca="false">INDEX(Radicals!$D$2:$D$215,MATCH(C2067,Radicals!$A$2:$A$215,0))</f>
        <v>3</v>
      </c>
      <c r="G2067" s="8" t="n">
        <v>13</v>
      </c>
    </row>
    <row r="2068" customFormat="false" ht="17.35" hidden="false" customHeight="false" outlineLevel="0" collapsed="false">
      <c r="A2068" s="8" t="n">
        <v>2067</v>
      </c>
      <c r="B2068" s="9" t="s">
        <v>491</v>
      </c>
      <c r="C2068" s="8" t="n">
        <v>92</v>
      </c>
      <c r="D2068" s="9" t="str">
        <f aca="false">INDEX(Radicals!$B$2:$B$215,MATCH(C2068,Radicals!$A$2:$A$215,0))</f>
        <v>牙</v>
      </c>
      <c r="E2068" s="10" t="str">
        <f aca="false">INDEX(Radicals!$G$2:$G$215,MATCH(C2068,Radicals!$A$2:$A$215,0))</f>
        <v>fang, tooth</v>
      </c>
      <c r="F2068" s="8" t="n">
        <f aca="false">INDEX(Radicals!$D$2:$D$215,MATCH(C2068,Radicals!$A$2:$A$215,0))</f>
        <v>4</v>
      </c>
      <c r="G2068" s="8" t="n">
        <v>5</v>
      </c>
    </row>
    <row r="2069" customFormat="false" ht="17.35" hidden="false" customHeight="false" outlineLevel="0" collapsed="false">
      <c r="A2069" s="8" t="n">
        <v>2068</v>
      </c>
      <c r="B2069" s="9" t="s">
        <v>3035</v>
      </c>
      <c r="C2069" s="8" t="n">
        <v>149</v>
      </c>
      <c r="D2069" s="9" t="str">
        <f aca="false">INDEX(Radicals!$B$2:$B$215,MATCH(C2069,Radicals!$A$2:$A$215,0))</f>
        <v>言</v>
      </c>
      <c r="E2069" s="10" t="str">
        <f aca="false">INDEX(Radicals!$G$2:$G$215,MATCH(C2069,Radicals!$A$2:$A$215,0))</f>
        <v>speech, say</v>
      </c>
      <c r="F2069" s="8" t="n">
        <f aca="false">INDEX(Radicals!$D$2:$D$215,MATCH(C2069,Radicals!$A$2:$A$215,0))</f>
        <v>7</v>
      </c>
      <c r="G2069" s="8" t="n">
        <v>17</v>
      </c>
    </row>
    <row r="2070" customFormat="false" ht="17.35" hidden="false" customHeight="false" outlineLevel="0" collapsed="false">
      <c r="A2070" s="8" t="n">
        <v>2069</v>
      </c>
      <c r="B2070" s="9" t="s">
        <v>3036</v>
      </c>
      <c r="C2070" s="8" t="n">
        <v>109</v>
      </c>
      <c r="D2070" s="9" t="str">
        <f aca="false">INDEX(Radicals!$B$2:$B$215,MATCH(C2070,Radicals!$A$2:$A$215,0))</f>
        <v>目</v>
      </c>
      <c r="E2070" s="10" t="str">
        <f aca="false">INDEX(Radicals!$G$2:$G$215,MATCH(C2070,Radicals!$A$2:$A$215,0))</f>
        <v>eye</v>
      </c>
      <c r="F2070" s="8" t="n">
        <f aca="false">INDEX(Radicals!$D$2:$D$215,MATCH(C2070,Radicals!$A$2:$A$215,0))</f>
        <v>5</v>
      </c>
      <c r="G2070" s="8" t="n">
        <v>17</v>
      </c>
    </row>
    <row r="2071" customFormat="false" ht="17.35" hidden="false" customHeight="false" outlineLevel="0" collapsed="false">
      <c r="A2071" s="8" t="n">
        <v>2070</v>
      </c>
      <c r="B2071" s="9" t="s">
        <v>3037</v>
      </c>
      <c r="C2071" s="8" t="n">
        <v>85</v>
      </c>
      <c r="D2071" s="9" t="str">
        <f aca="false">INDEX(Radicals!$B$2:$B$215,MATCH(C2071,Radicals!$A$2:$A$215,0))</f>
        <v>水</v>
      </c>
      <c r="E2071" s="10" t="str">
        <f aca="false">INDEX(Radicals!$G$2:$G$215,MATCH(C2071,Radicals!$A$2:$A$215,0))</f>
        <v>water</v>
      </c>
      <c r="F2071" s="8" t="n">
        <f aca="false">INDEX(Radicals!$D$2:$D$215,MATCH(C2071,Radicals!$A$2:$A$215,0))</f>
        <v>4</v>
      </c>
      <c r="G2071" s="8" t="n">
        <v>12</v>
      </c>
    </row>
    <row r="2072" customFormat="false" ht="17.35" hidden="false" customHeight="false" outlineLevel="0" collapsed="false">
      <c r="A2072" s="8" t="n">
        <v>2071</v>
      </c>
      <c r="B2072" s="9" t="s">
        <v>3038</v>
      </c>
      <c r="C2072" s="8" t="n">
        <v>76</v>
      </c>
      <c r="D2072" s="9" t="str">
        <f aca="false">INDEX(Radicals!$B$2:$B$215,MATCH(C2072,Radicals!$A$2:$A$215,0))</f>
        <v>欠</v>
      </c>
      <c r="E2072" s="10" t="str">
        <f aca="false">INDEX(Radicals!$G$2:$G$215,MATCH(C2072,Radicals!$A$2:$A$215,0))</f>
        <v>lack, yawn</v>
      </c>
      <c r="F2072" s="8" t="n">
        <f aca="false">INDEX(Radicals!$D$2:$D$215,MATCH(C2072,Radicals!$A$2:$A$215,0))</f>
        <v>4</v>
      </c>
      <c r="G2072" s="8" t="n">
        <v>8</v>
      </c>
    </row>
    <row r="2073" customFormat="false" ht="17.35" hidden="false" customHeight="false" outlineLevel="0" collapsed="false">
      <c r="A2073" s="8" t="n">
        <v>2072</v>
      </c>
      <c r="B2073" s="9" t="s">
        <v>3039</v>
      </c>
      <c r="C2073" s="8" t="n">
        <v>116</v>
      </c>
      <c r="D2073" s="9" t="str">
        <f aca="false">INDEX(Radicals!$B$2:$B$215,MATCH(C2073,Radicals!$A$2:$A$215,0))</f>
        <v>穴</v>
      </c>
      <c r="E2073" s="10" t="str">
        <f aca="false">INDEX(Radicals!$G$2:$G$215,MATCH(C2073,Radicals!$A$2:$A$215,0))</f>
        <v>cave, hole</v>
      </c>
      <c r="F2073" s="8" t="n">
        <f aca="false">INDEX(Radicals!$D$2:$D$215,MATCH(C2073,Radicals!$A$2:$A$215,0))</f>
        <v>5</v>
      </c>
      <c r="G2073" s="8" t="n">
        <v>15</v>
      </c>
    </row>
    <row r="2074" customFormat="false" ht="17.35" hidden="false" customHeight="false" outlineLevel="0" collapsed="false">
      <c r="A2074" s="8" t="n">
        <v>2073</v>
      </c>
      <c r="B2074" s="9" t="s">
        <v>3040</v>
      </c>
      <c r="C2074" s="8" t="n">
        <v>145</v>
      </c>
      <c r="D2074" s="9" t="str">
        <f aca="false">INDEX(Radicals!$B$2:$B$215,MATCH(C2074,Radicals!$A$2:$A$215,0))</f>
        <v>衣</v>
      </c>
      <c r="E2074" s="10" t="str">
        <f aca="false">INDEX(Radicals!$G$2:$G$215,MATCH(C2074,Radicals!$A$2:$A$215,0))</f>
        <v>clothes</v>
      </c>
      <c r="F2074" s="8" t="n">
        <f aca="false">INDEX(Radicals!$D$2:$D$215,MATCH(C2074,Radicals!$A$2:$A$215,0))</f>
        <v>6</v>
      </c>
      <c r="G2074" s="8" t="n">
        <v>15</v>
      </c>
    </row>
    <row r="2075" customFormat="false" ht="17.35" hidden="false" customHeight="false" outlineLevel="0" collapsed="false">
      <c r="A2075" s="8" t="n">
        <v>2074</v>
      </c>
      <c r="B2075" s="9" t="s">
        <v>3041</v>
      </c>
      <c r="C2075" s="8" t="n">
        <v>164</v>
      </c>
      <c r="D2075" s="9" t="str">
        <f aca="false">INDEX(Radicals!$B$2:$B$215,MATCH(C2075,Radicals!$A$2:$A$215,0))</f>
        <v>酉</v>
      </c>
      <c r="E2075" s="10" t="str">
        <f aca="false">INDEX(Radicals!$G$2:$G$215,MATCH(C2075,Radicals!$A$2:$A$215,0))</f>
        <v>wine, 10th zodiac sign (rooster)</v>
      </c>
      <c r="F2075" s="8" t="n">
        <f aca="false">INDEX(Radicals!$D$2:$D$215,MATCH(C2075,Radicals!$A$2:$A$215,0))</f>
        <v>7</v>
      </c>
      <c r="G2075" s="8" t="n">
        <v>17</v>
      </c>
    </row>
    <row r="2076" customFormat="false" ht="17.35" hidden="false" customHeight="false" outlineLevel="0" collapsed="false">
      <c r="A2076" s="8" t="n">
        <v>2075</v>
      </c>
      <c r="B2076" s="9" t="s">
        <v>3042</v>
      </c>
      <c r="C2076" s="8" t="n">
        <v>194</v>
      </c>
      <c r="D2076" s="9" t="str">
        <f aca="false">INDEX(Radicals!$B$2:$B$215,MATCH(C2076,Radicals!$A$2:$A$215,0))</f>
        <v>鬼</v>
      </c>
      <c r="E2076" s="10" t="str">
        <f aca="false">INDEX(Radicals!$G$2:$G$215,MATCH(C2076,Radicals!$A$2:$A$215,0))</f>
        <v>ghost, demon</v>
      </c>
      <c r="F2076" s="8" t="n">
        <f aca="false">INDEX(Radicals!$D$2:$D$215,MATCH(C2076,Radicals!$A$2:$A$215,0))</f>
        <v>10</v>
      </c>
      <c r="G2076" s="8" t="n">
        <v>18</v>
      </c>
    </row>
    <row r="2077" customFormat="false" ht="17.35" hidden="false" customHeight="false" outlineLevel="0" collapsed="false">
      <c r="A2077" s="8" t="n">
        <v>2076</v>
      </c>
      <c r="B2077" s="9" t="s">
        <v>3043</v>
      </c>
      <c r="C2077" s="8" t="n">
        <v>118</v>
      </c>
      <c r="D2077" s="9" t="str">
        <f aca="false">INDEX(Radicals!$B$2:$B$215,MATCH(C2077,Radicals!$A$2:$A$215,0))</f>
        <v>竹</v>
      </c>
      <c r="E2077" s="10" t="str">
        <f aca="false">INDEX(Radicals!$G$2:$G$215,MATCH(C2077,Radicals!$A$2:$A$215,0))</f>
        <v>bamboo</v>
      </c>
      <c r="F2077" s="8" t="n">
        <f aca="false">INDEX(Radicals!$D$2:$D$215,MATCH(C2077,Radicals!$A$2:$A$215,0))</f>
        <v>6</v>
      </c>
      <c r="G2077" s="8" t="n">
        <v>15</v>
      </c>
    </row>
    <row r="2078" customFormat="false" ht="17.35" hidden="false" customHeight="false" outlineLevel="0" collapsed="false">
      <c r="A2078" s="8" t="n">
        <v>2077</v>
      </c>
      <c r="B2078" s="9" t="s">
        <v>3044</v>
      </c>
      <c r="C2078" s="8" t="n">
        <v>24</v>
      </c>
      <c r="D2078" s="9" t="str">
        <f aca="false">INDEX(Radicals!$B$2:$B$215,MATCH(C2078,Radicals!$A$2:$A$215,0))</f>
        <v>十</v>
      </c>
      <c r="E2078" s="10" t="str">
        <f aca="false">INDEX(Radicals!$G$2:$G$215,MATCH(C2078,Radicals!$A$2:$A$215,0))</f>
        <v>ten</v>
      </c>
      <c r="F2078" s="8" t="n">
        <f aca="false">INDEX(Radicals!$D$2:$D$215,MATCH(C2078,Radicals!$A$2:$A$215,0))</f>
        <v>2</v>
      </c>
      <c r="G2078" s="8" t="n">
        <v>4</v>
      </c>
    </row>
    <row r="2079" customFormat="false" ht="17.35" hidden="false" customHeight="false" outlineLevel="0" collapsed="false">
      <c r="A2079" s="8" t="n">
        <v>2078</v>
      </c>
      <c r="B2079" s="9" t="s">
        <v>3045</v>
      </c>
      <c r="C2079" s="8" t="n">
        <v>77</v>
      </c>
      <c r="D2079" s="9" t="str">
        <f aca="false">INDEX(Radicals!$B$2:$B$215,MATCH(C2079,Radicals!$A$2:$A$215,0))</f>
        <v>止</v>
      </c>
      <c r="E2079" s="10" t="str">
        <f aca="false">INDEX(Radicals!$G$2:$G$215,MATCH(C2079,Radicals!$A$2:$A$215,0))</f>
        <v>stop</v>
      </c>
      <c r="F2079" s="8" t="n">
        <f aca="false">INDEX(Radicals!$D$2:$D$215,MATCH(C2079,Radicals!$A$2:$A$215,0))</f>
        <v>4</v>
      </c>
      <c r="G2079" s="8" t="n">
        <v>6</v>
      </c>
    </row>
    <row r="2080" customFormat="false" ht="17.35" hidden="false" customHeight="false" outlineLevel="0" collapsed="false">
      <c r="A2080" s="8" t="n">
        <v>2079</v>
      </c>
      <c r="B2080" s="9" t="s">
        <v>3046</v>
      </c>
      <c r="C2080" s="8" t="n">
        <v>46</v>
      </c>
      <c r="D2080" s="9" t="str">
        <f aca="false">INDEX(Radicals!$B$2:$B$215,MATCH(C2080,Radicals!$A$2:$A$215,0))</f>
        <v>山</v>
      </c>
      <c r="E2080" s="10" t="str">
        <f aca="false">INDEX(Radicals!$G$2:$G$215,MATCH(C2080,Radicals!$A$2:$A$215,0))</f>
        <v>mountain</v>
      </c>
      <c r="F2080" s="8" t="n">
        <f aca="false">INDEX(Radicals!$D$2:$D$215,MATCH(C2080,Radicals!$A$2:$A$215,0))</f>
        <v>3</v>
      </c>
      <c r="G2080" s="8" t="n">
        <v>10</v>
      </c>
    </row>
    <row r="2081" customFormat="false" ht="17.35" hidden="false" customHeight="false" outlineLevel="0" collapsed="false">
      <c r="A2081" s="8" t="n">
        <v>2080</v>
      </c>
      <c r="B2081" s="9" t="s">
        <v>3047</v>
      </c>
      <c r="C2081" s="8" t="n">
        <v>78</v>
      </c>
      <c r="D2081" s="9" t="str">
        <f aca="false">INDEX(Radicals!$B$2:$B$215,MATCH(C2081,Radicals!$A$2:$A$215,0))</f>
        <v>歹</v>
      </c>
      <c r="E2081" s="10" t="str">
        <f aca="false">INDEX(Radicals!$G$2:$G$215,MATCH(C2081,Radicals!$A$2:$A$215,0))</f>
        <v>death, decay</v>
      </c>
      <c r="F2081" s="8" t="n">
        <f aca="false">INDEX(Radicals!$D$2:$D$215,MATCH(C2081,Radicals!$A$2:$A$215,0))</f>
        <v>4</v>
      </c>
      <c r="G2081" s="8" t="n">
        <v>10</v>
      </c>
    </row>
    <row r="2082" customFormat="false" ht="17.35" hidden="false" customHeight="false" outlineLevel="0" collapsed="false">
      <c r="A2082" s="8" t="n">
        <v>2081</v>
      </c>
      <c r="B2082" s="9" t="s">
        <v>3048</v>
      </c>
      <c r="C2082" s="8" t="n">
        <v>86</v>
      </c>
      <c r="D2082" s="9" t="str">
        <f aca="false">INDEX(Radicals!$B$2:$B$215,MATCH(C2082,Radicals!$A$2:$A$215,0))</f>
        <v>火</v>
      </c>
      <c r="E2082" s="10" t="str">
        <f aca="false">INDEX(Radicals!$G$2:$G$215,MATCH(C2082,Radicals!$A$2:$A$215,0))</f>
        <v>fire</v>
      </c>
      <c r="F2082" s="8" t="n">
        <f aca="false">INDEX(Radicals!$D$2:$D$215,MATCH(C2082,Radicals!$A$2:$A$215,0))</f>
        <v>4</v>
      </c>
      <c r="G2082" s="8" t="n">
        <v>13</v>
      </c>
    </row>
    <row r="2083" customFormat="false" ht="17.35" hidden="false" customHeight="false" outlineLevel="0" collapsed="false">
      <c r="A2083" s="8" t="n">
        <v>2082</v>
      </c>
      <c r="B2083" s="9" t="s">
        <v>3049</v>
      </c>
      <c r="C2083" s="8" t="n">
        <v>49</v>
      </c>
      <c r="D2083" s="9" t="str">
        <f aca="false">INDEX(Radicals!$B$2:$B$215,MATCH(C2083,Radicals!$A$2:$A$215,0))</f>
        <v>己</v>
      </c>
      <c r="E2083" s="10" t="str">
        <f aca="false">INDEX(Radicals!$G$2:$G$215,MATCH(C2083,Radicals!$A$2:$A$215,0))</f>
        <v>oneself</v>
      </c>
      <c r="F2083" s="8" t="n">
        <f aca="false">INDEX(Radicals!$D$2:$D$215,MATCH(C2083,Radicals!$A$2:$A$215,0))</f>
        <v>3</v>
      </c>
      <c r="G2083" s="8" t="n">
        <v>4</v>
      </c>
    </row>
    <row r="2084" customFormat="false" ht="17.35" hidden="false" customHeight="false" outlineLevel="0" collapsed="false">
      <c r="A2084" s="8" t="n">
        <v>2083</v>
      </c>
      <c r="B2084" s="9" t="s">
        <v>3050</v>
      </c>
      <c r="C2084" s="8" t="n">
        <v>113</v>
      </c>
      <c r="D2084" s="9" t="str">
        <f aca="false">INDEX(Radicals!$B$2:$B$215,MATCH(C2084,Radicals!$A$2:$A$215,0))</f>
        <v>示</v>
      </c>
      <c r="E2084" s="10" t="str">
        <f aca="false">INDEX(Radicals!$G$2:$G$215,MATCH(C2084,Radicals!$A$2:$A$215,0))</f>
        <v>spirit, altar, show</v>
      </c>
      <c r="F2084" s="8" t="n">
        <f aca="false">INDEX(Radicals!$D$2:$D$215,MATCH(C2084,Radicals!$A$2:$A$215,0))</f>
        <v>5</v>
      </c>
      <c r="G2084" s="8" t="n">
        <v>13</v>
      </c>
    </row>
    <row r="2085" customFormat="false" ht="17.35" hidden="false" customHeight="false" outlineLevel="0" collapsed="false">
      <c r="A2085" s="8" t="n">
        <v>2084</v>
      </c>
      <c r="B2085" s="9" t="s">
        <v>3051</v>
      </c>
      <c r="C2085" s="8" t="n">
        <v>75</v>
      </c>
      <c r="D2085" s="9" t="str">
        <f aca="false">INDEX(Radicals!$B$2:$B$215,MATCH(C2085,Radicals!$A$2:$A$215,0))</f>
        <v>木</v>
      </c>
      <c r="E2085" s="10" t="str">
        <f aca="false">INDEX(Radicals!$G$2:$G$215,MATCH(C2085,Radicals!$A$2:$A$215,0))</f>
        <v>tree, wood</v>
      </c>
      <c r="F2085" s="8" t="n">
        <f aca="false">INDEX(Radicals!$D$2:$D$215,MATCH(C2085,Radicals!$A$2:$A$215,0))</f>
        <v>4</v>
      </c>
      <c r="G2085" s="8" t="n">
        <v>8</v>
      </c>
    </row>
    <row r="2086" customFormat="false" ht="17.35" hidden="false" customHeight="false" outlineLevel="0" collapsed="false">
      <c r="A2086" s="8" t="n">
        <v>2085</v>
      </c>
      <c r="B2086" s="9" t="s">
        <v>3052</v>
      </c>
      <c r="C2086" s="8" t="n">
        <v>19</v>
      </c>
      <c r="D2086" s="9" t="str">
        <f aca="false">INDEX(Radicals!$B$2:$B$215,MATCH(C2086,Radicals!$A$2:$A$215,0))</f>
        <v>力</v>
      </c>
      <c r="E2086" s="10" t="str">
        <f aca="false">INDEX(Radicals!$G$2:$G$215,MATCH(C2086,Radicals!$A$2:$A$215,0))</f>
        <v>power, strength</v>
      </c>
      <c r="F2086" s="8" t="n">
        <f aca="false">INDEX(Radicals!$D$2:$D$215,MATCH(C2086,Radicals!$A$2:$A$215,0))</f>
        <v>2</v>
      </c>
      <c r="G2086" s="8" t="n">
        <v>8</v>
      </c>
    </row>
    <row r="2087" customFormat="false" ht="17.35" hidden="false" customHeight="false" outlineLevel="0" collapsed="false">
      <c r="A2087" s="8" t="n">
        <v>2086</v>
      </c>
      <c r="B2087" s="9" t="s">
        <v>3053</v>
      </c>
      <c r="C2087" s="8" t="n">
        <v>140</v>
      </c>
      <c r="D2087" s="9" t="str">
        <f aca="false">INDEX(Radicals!$B$2:$B$215,MATCH(C2087,Radicals!$A$2:$A$215,0))</f>
        <v>艸</v>
      </c>
      <c r="E2087" s="10" t="str">
        <f aca="false">INDEX(Radicals!$G$2:$G$215,MATCH(C2087,Radicals!$A$2:$A$215,0))</f>
        <v>grass, plant</v>
      </c>
      <c r="F2087" s="8" t="n">
        <f aca="false">INDEX(Radicals!$D$2:$D$215,MATCH(C2087,Radicals!$A$2:$A$215,0))</f>
        <v>6</v>
      </c>
      <c r="G2087" s="8" t="n">
        <v>11</v>
      </c>
    </row>
    <row r="2088" customFormat="false" ht="17.35" hidden="false" customHeight="false" outlineLevel="0" collapsed="false">
      <c r="A2088" s="8" t="n">
        <v>2087</v>
      </c>
      <c r="B2088" s="9" t="s">
        <v>3054</v>
      </c>
      <c r="C2088" s="8" t="n">
        <v>32</v>
      </c>
      <c r="D2088" s="9" t="str">
        <f aca="false">INDEX(Radicals!$B$2:$B$215,MATCH(C2088,Radicals!$A$2:$A$215,0))</f>
        <v>土</v>
      </c>
      <c r="E2088" s="10" t="str">
        <f aca="false">INDEX(Radicals!$G$2:$G$215,MATCH(C2088,Radicals!$A$2:$A$215,0))</f>
        <v>earth, soil</v>
      </c>
      <c r="F2088" s="8" t="n">
        <f aca="false">INDEX(Radicals!$D$2:$D$215,MATCH(C2088,Radicals!$A$2:$A$215,0))</f>
        <v>3</v>
      </c>
      <c r="G2088" s="8" t="n">
        <v>12</v>
      </c>
    </row>
    <row r="2089" customFormat="false" ht="17.35" hidden="false" customHeight="false" outlineLevel="0" collapsed="false">
      <c r="A2089" s="8" t="n">
        <v>2088</v>
      </c>
      <c r="B2089" s="9" t="s">
        <v>3055</v>
      </c>
      <c r="C2089" s="8" t="n">
        <v>3</v>
      </c>
      <c r="D2089" s="9" t="str">
        <f aca="false">INDEX(Radicals!$B$2:$B$215,MATCH(C2089,Radicals!$A$2:$A$215,0))</f>
        <v>丶</v>
      </c>
      <c r="E2089" s="10" t="str">
        <f aca="false">INDEX(Radicals!$G$2:$G$215,MATCH(C2089,Radicals!$A$2:$A$215,0))</f>
        <v>dot</v>
      </c>
      <c r="F2089" s="8" t="n">
        <f aca="false">INDEX(Radicals!$D$2:$D$215,MATCH(C2089,Radicals!$A$2:$A$215,0))</f>
        <v>1</v>
      </c>
      <c r="G2089" s="8" t="n">
        <v>5</v>
      </c>
    </row>
    <row r="2090" customFormat="false" ht="17.35" hidden="false" customHeight="false" outlineLevel="0" collapsed="false">
      <c r="A2090" s="8" t="n">
        <v>2089</v>
      </c>
      <c r="B2090" s="9" t="s">
        <v>3056</v>
      </c>
      <c r="C2090" s="8" t="n">
        <v>115</v>
      </c>
      <c r="D2090" s="9" t="str">
        <f aca="false">INDEX(Radicals!$B$2:$B$215,MATCH(C2090,Radicals!$A$2:$A$215,0))</f>
        <v>禾</v>
      </c>
      <c r="E2090" s="10" t="str">
        <f aca="false">INDEX(Radicals!$G$2:$G$215,MATCH(C2090,Radicals!$A$2:$A$215,0))</f>
        <v>grain, rice plant</v>
      </c>
      <c r="F2090" s="8" t="n">
        <f aca="false">INDEX(Radicals!$D$2:$D$215,MATCH(C2090,Radicals!$A$2:$A$215,0))</f>
        <v>5</v>
      </c>
      <c r="G2090" s="8" t="n">
        <v>10</v>
      </c>
    </row>
    <row r="2091" customFormat="false" ht="17.35" hidden="false" customHeight="false" outlineLevel="0" collapsed="false">
      <c r="A2091" s="8" t="n">
        <v>2090</v>
      </c>
      <c r="B2091" s="9" t="s">
        <v>3057</v>
      </c>
      <c r="C2091" s="8" t="n">
        <v>75</v>
      </c>
      <c r="D2091" s="9" t="str">
        <f aca="false">INDEX(Radicals!$B$2:$B$215,MATCH(C2091,Radicals!$A$2:$A$215,0))</f>
        <v>木</v>
      </c>
      <c r="E2091" s="10" t="str">
        <f aca="false">INDEX(Radicals!$G$2:$G$215,MATCH(C2091,Radicals!$A$2:$A$215,0))</f>
        <v>tree, wood</v>
      </c>
      <c r="F2091" s="8" t="n">
        <f aca="false">INDEX(Radicals!$D$2:$D$215,MATCH(C2091,Radicals!$A$2:$A$215,0))</f>
        <v>4</v>
      </c>
      <c r="G2091" s="8" t="n">
        <v>17</v>
      </c>
    </row>
    <row r="2092" customFormat="false" ht="17.35" hidden="false" customHeight="false" outlineLevel="0" collapsed="false">
      <c r="A2092" s="8" t="n">
        <v>2091</v>
      </c>
      <c r="B2092" s="9" t="s">
        <v>3058</v>
      </c>
      <c r="C2092" s="8" t="n">
        <v>115</v>
      </c>
      <c r="D2092" s="9" t="str">
        <f aca="false">INDEX(Radicals!$B$2:$B$215,MATCH(C2092,Radicals!$A$2:$A$215,0))</f>
        <v>禾</v>
      </c>
      <c r="E2092" s="10" t="str">
        <f aca="false">INDEX(Radicals!$G$2:$G$215,MATCH(C2092,Radicals!$A$2:$A$215,0))</f>
        <v>grain, rice plant</v>
      </c>
      <c r="F2092" s="8" t="n">
        <f aca="false">INDEX(Radicals!$D$2:$D$215,MATCH(C2092,Radicals!$A$2:$A$215,0))</f>
        <v>5</v>
      </c>
      <c r="G2092" s="8" t="n">
        <v>13</v>
      </c>
    </row>
    <row r="2093" customFormat="false" ht="17.35" hidden="false" customHeight="false" outlineLevel="0" collapsed="false">
      <c r="A2093" s="8" t="n">
        <v>2092</v>
      </c>
      <c r="B2093" s="9" t="s">
        <v>3059</v>
      </c>
      <c r="C2093" s="8" t="n">
        <v>93</v>
      </c>
      <c r="D2093" s="9" t="str">
        <f aca="false">INDEX(Radicals!$B$2:$B$215,MATCH(C2093,Radicals!$A$2:$A$215,0))</f>
        <v>牛</v>
      </c>
      <c r="E2093" s="10" t="str">
        <f aca="false">INDEX(Radicals!$G$2:$G$215,MATCH(C2093,Radicals!$A$2:$A$215,0))</f>
        <v>cow, ox</v>
      </c>
      <c r="F2093" s="8" t="n">
        <f aca="false">INDEX(Radicals!$D$2:$D$215,MATCH(C2093,Radicals!$A$2:$A$215,0))</f>
        <v>4</v>
      </c>
      <c r="G2093" s="8" t="n">
        <v>6</v>
      </c>
    </row>
    <row r="2094" customFormat="false" ht="17.35" hidden="false" customHeight="false" outlineLevel="0" collapsed="false">
      <c r="A2094" s="8" t="n">
        <v>2093</v>
      </c>
      <c r="B2094" s="9" t="s">
        <v>3060</v>
      </c>
      <c r="C2094" s="8" t="n">
        <v>75</v>
      </c>
      <c r="D2094" s="9" t="str">
        <f aca="false">INDEX(Radicals!$B$2:$B$215,MATCH(C2094,Radicals!$A$2:$A$215,0))</f>
        <v>木</v>
      </c>
      <c r="E2094" s="10" t="str">
        <f aca="false">INDEX(Radicals!$G$2:$G$215,MATCH(C2094,Radicals!$A$2:$A$215,0))</f>
        <v>tree, wood</v>
      </c>
      <c r="F2094" s="8" t="n">
        <f aca="false">INDEX(Radicals!$D$2:$D$215,MATCH(C2094,Radicals!$A$2:$A$215,0))</f>
        <v>4</v>
      </c>
      <c r="G2094" s="8" t="n">
        <v>10</v>
      </c>
    </row>
    <row r="2095" customFormat="false" ht="17.35" hidden="false" customHeight="false" outlineLevel="0" collapsed="false">
      <c r="A2095" s="8" t="n">
        <v>2094</v>
      </c>
      <c r="B2095" s="9" t="s">
        <v>3061</v>
      </c>
      <c r="C2095" s="8" t="n">
        <v>75</v>
      </c>
      <c r="D2095" s="9" t="str">
        <f aca="false">INDEX(Radicals!$B$2:$B$215,MATCH(C2095,Radicals!$A$2:$A$215,0))</f>
        <v>木</v>
      </c>
      <c r="E2095" s="10" t="str">
        <f aca="false">INDEX(Radicals!$G$2:$G$215,MATCH(C2095,Radicals!$A$2:$A$215,0))</f>
        <v>tree, wood</v>
      </c>
      <c r="F2095" s="8" t="n">
        <f aca="false">INDEX(Radicals!$D$2:$D$215,MATCH(C2095,Radicals!$A$2:$A$215,0))</f>
        <v>4</v>
      </c>
      <c r="G2095" s="8" t="n">
        <v>13</v>
      </c>
    </row>
    <row r="2096" customFormat="false" ht="17.35" hidden="false" customHeight="false" outlineLevel="0" collapsed="false">
      <c r="A2096" s="8" t="n">
        <v>2095</v>
      </c>
      <c r="B2096" s="9" t="s">
        <v>3062</v>
      </c>
      <c r="C2096" s="8" t="n">
        <v>167</v>
      </c>
      <c r="D2096" s="9" t="str">
        <f aca="false">INDEX(Radicals!$B$2:$B$215,MATCH(C2096,Radicals!$A$2:$A$215,0))</f>
        <v>金</v>
      </c>
      <c r="E2096" s="10" t="str">
        <f aca="false">INDEX(Radicals!$G$2:$G$215,MATCH(C2096,Radicals!$A$2:$A$215,0))</f>
        <v>metal, gold</v>
      </c>
      <c r="F2096" s="8" t="n">
        <f aca="false">INDEX(Radicals!$D$2:$D$215,MATCH(C2096,Radicals!$A$2:$A$215,0))</f>
        <v>8</v>
      </c>
      <c r="G2096" s="8" t="n">
        <v>16</v>
      </c>
    </row>
    <row r="2097" customFormat="false" ht="17.35" hidden="false" customHeight="false" outlineLevel="0" collapsed="false">
      <c r="A2097" s="8" t="n">
        <v>2096</v>
      </c>
      <c r="B2097" s="9" t="s">
        <v>3063</v>
      </c>
      <c r="C2097" s="8" t="n">
        <v>140</v>
      </c>
      <c r="D2097" s="9" t="str">
        <f aca="false">INDEX(Radicals!$B$2:$B$215,MATCH(C2097,Radicals!$A$2:$A$215,0))</f>
        <v>艸</v>
      </c>
      <c r="E2097" s="10" t="str">
        <f aca="false">INDEX(Radicals!$G$2:$G$215,MATCH(C2097,Radicals!$A$2:$A$215,0))</f>
        <v>grass, plant</v>
      </c>
      <c r="F2097" s="8" t="n">
        <f aca="false">INDEX(Radicals!$D$2:$D$215,MATCH(C2097,Radicals!$A$2:$A$215,0))</f>
        <v>6</v>
      </c>
      <c r="G2097" s="8" t="n">
        <v>9</v>
      </c>
    </row>
    <row r="2098" customFormat="false" ht="17.35" hidden="false" customHeight="false" outlineLevel="0" collapsed="false">
      <c r="A2098" s="8" t="n">
        <v>2097</v>
      </c>
      <c r="B2098" s="9" t="s">
        <v>3064</v>
      </c>
      <c r="C2098" s="8" t="n">
        <v>61</v>
      </c>
      <c r="D2098" s="9" t="str">
        <f aca="false">INDEX(Radicals!$B$2:$B$215,MATCH(C2098,Radicals!$A$2:$A$215,0))</f>
        <v>心</v>
      </c>
      <c r="E2098" s="10" t="str">
        <f aca="false">INDEX(Radicals!$G$2:$G$215,MATCH(C2098,Radicals!$A$2:$A$215,0))</f>
        <v>heart, mind</v>
      </c>
      <c r="F2098" s="8" t="n">
        <f aca="false">INDEX(Radicals!$D$2:$D$215,MATCH(C2098,Radicals!$A$2:$A$215,0))</f>
        <v>4</v>
      </c>
      <c r="G2098" s="8" t="n">
        <v>11</v>
      </c>
    </row>
    <row r="2099" customFormat="false" ht="17.35" hidden="false" customHeight="false" outlineLevel="0" collapsed="false">
      <c r="A2099" s="8" t="n">
        <v>2098</v>
      </c>
      <c r="B2099" s="9" t="s">
        <v>3065</v>
      </c>
      <c r="C2099" s="8" t="n">
        <v>9</v>
      </c>
      <c r="D2099" s="9" t="str">
        <f aca="false">INDEX(Radicals!$B$2:$B$215,MATCH(C2099,Radicals!$A$2:$A$215,0))</f>
        <v>人</v>
      </c>
      <c r="E2099" s="10" t="str">
        <f aca="false">INDEX(Radicals!$G$2:$G$215,MATCH(C2099,Radicals!$A$2:$A$215,0))</f>
        <v>person</v>
      </c>
      <c r="F2099" s="8" t="n">
        <f aca="false">INDEX(Radicals!$D$2:$D$215,MATCH(C2099,Radicals!$A$2:$A$215,0))</f>
        <v>2</v>
      </c>
      <c r="G2099" s="8" t="n">
        <v>10</v>
      </c>
    </row>
    <row r="2100" customFormat="false" ht="17.35" hidden="false" customHeight="false" outlineLevel="0" collapsed="false">
      <c r="A2100" s="8" t="n">
        <v>2099</v>
      </c>
      <c r="B2100" s="9" t="s">
        <v>3066</v>
      </c>
      <c r="C2100" s="8" t="n">
        <v>38</v>
      </c>
      <c r="D2100" s="9" t="str">
        <f aca="false">INDEX(Radicals!$B$2:$B$215,MATCH(C2100,Radicals!$A$2:$A$215,0))</f>
        <v>女</v>
      </c>
      <c r="E2100" s="10" t="str">
        <f aca="false">INDEX(Radicals!$G$2:$G$215,MATCH(C2100,Radicals!$A$2:$A$215,0))</f>
        <v>woman</v>
      </c>
      <c r="F2100" s="8" t="n">
        <f aca="false">INDEX(Radicals!$D$2:$D$215,MATCH(C2100,Radicals!$A$2:$A$215,0))</f>
        <v>3</v>
      </c>
      <c r="G2100" s="8" t="n">
        <v>12</v>
      </c>
    </row>
    <row r="2101" customFormat="false" ht="17.35" hidden="false" customHeight="false" outlineLevel="0" collapsed="false">
      <c r="A2101" s="8" t="n">
        <v>2100</v>
      </c>
      <c r="B2101" s="9" t="s">
        <v>3067</v>
      </c>
      <c r="C2101" s="8" t="n">
        <v>61</v>
      </c>
      <c r="D2101" s="9" t="str">
        <f aca="false">INDEX(Radicals!$B$2:$B$215,MATCH(C2101,Radicals!$A$2:$A$215,0))</f>
        <v>心</v>
      </c>
      <c r="E2101" s="10" t="str">
        <f aca="false">INDEX(Radicals!$G$2:$G$215,MATCH(C2101,Radicals!$A$2:$A$215,0))</f>
        <v>heart, mind</v>
      </c>
      <c r="F2101" s="8" t="n">
        <f aca="false">INDEX(Radicals!$D$2:$D$215,MATCH(C2101,Radicals!$A$2:$A$215,0))</f>
        <v>4</v>
      </c>
      <c r="G2101" s="8" t="n">
        <v>14</v>
      </c>
    </row>
    <row r="2102" customFormat="false" ht="17.35" hidden="false" customHeight="false" outlineLevel="0" collapsed="false">
      <c r="A2102" s="8" t="n">
        <v>2101</v>
      </c>
      <c r="B2102" s="9" t="s">
        <v>3068</v>
      </c>
      <c r="C2102" s="8" t="n">
        <v>53</v>
      </c>
      <c r="D2102" s="9" t="str">
        <f aca="false">INDEX(Radicals!$B$2:$B$215,MATCH(C2102,Radicals!$A$2:$A$215,0))</f>
        <v>广</v>
      </c>
      <c r="E2102" s="10" t="str">
        <f aca="false">INDEX(Radicals!$G$2:$G$215,MATCH(C2102,Radicals!$A$2:$A$215,0))</f>
        <v>dotted cliff, building</v>
      </c>
      <c r="F2102" s="8" t="n">
        <f aca="false">INDEX(Radicals!$D$2:$D$215,MATCH(C2102,Radicals!$A$2:$A$215,0))</f>
        <v>3</v>
      </c>
      <c r="G2102" s="8" t="n">
        <v>15</v>
      </c>
    </row>
    <row r="2103" customFormat="false" ht="17.35" hidden="false" customHeight="false" outlineLevel="0" collapsed="false">
      <c r="A2103" s="8" t="n">
        <v>2102</v>
      </c>
      <c r="B2103" s="9" t="s">
        <v>3069</v>
      </c>
      <c r="C2103" s="8" t="n">
        <v>167</v>
      </c>
      <c r="D2103" s="9" t="str">
        <f aca="false">INDEX(Radicals!$B$2:$B$215,MATCH(C2103,Radicals!$A$2:$A$215,0))</f>
        <v>金</v>
      </c>
      <c r="E2103" s="10" t="str">
        <f aca="false">INDEX(Radicals!$G$2:$G$215,MATCH(C2103,Radicals!$A$2:$A$215,0))</f>
        <v>metal, gold</v>
      </c>
      <c r="F2103" s="8" t="n">
        <f aca="false">INDEX(Radicals!$D$2:$D$215,MATCH(C2103,Radicals!$A$2:$A$215,0))</f>
        <v>8</v>
      </c>
      <c r="G2103" s="8" t="n">
        <v>14</v>
      </c>
    </row>
    <row r="2104" customFormat="false" ht="17.35" hidden="false" customHeight="false" outlineLevel="0" collapsed="false">
      <c r="A2104" s="8" t="n">
        <v>2103</v>
      </c>
      <c r="B2104" s="9" t="s">
        <v>3070</v>
      </c>
      <c r="C2104" s="8" t="n">
        <v>67</v>
      </c>
      <c r="D2104" s="9" t="str">
        <f aca="false">INDEX(Radicals!$B$2:$B$215,MATCH(C2104,Radicals!$A$2:$A$215,0))</f>
        <v>文</v>
      </c>
      <c r="E2104" s="10" t="str">
        <f aca="false">INDEX(Radicals!$G$2:$G$215,MATCH(C2104,Radicals!$A$2:$A$215,0))</f>
        <v>script, literature</v>
      </c>
      <c r="F2104" s="8" t="n">
        <f aca="false">INDEX(Radicals!$D$2:$D$215,MATCH(C2104,Radicals!$A$2:$A$215,0))</f>
        <v>4</v>
      </c>
      <c r="G2104" s="8" t="n">
        <v>12</v>
      </c>
    </row>
    <row r="2105" customFormat="false" ht="17.35" hidden="false" customHeight="false" outlineLevel="0" collapsed="false">
      <c r="A2105" s="8" t="n">
        <v>2104</v>
      </c>
      <c r="B2105" s="9" t="s">
        <v>3071</v>
      </c>
      <c r="C2105" s="8" t="n">
        <v>122</v>
      </c>
      <c r="D2105" s="9" t="str">
        <f aca="false">INDEX(Radicals!$B$2:$B$215,MATCH(C2105,Radicals!$A$2:$A$215,0))</f>
        <v>网</v>
      </c>
      <c r="E2105" s="10" t="str">
        <f aca="false">INDEX(Radicals!$G$2:$G$215,MATCH(C2105,Radicals!$A$2:$A$215,0))</f>
        <v>net</v>
      </c>
      <c r="F2105" s="8" t="n">
        <f aca="false">INDEX(Radicals!$D$2:$D$215,MATCH(C2105,Radicals!$A$2:$A$215,0))</f>
        <v>6</v>
      </c>
      <c r="G2105" s="8" t="n">
        <v>15</v>
      </c>
    </row>
    <row r="2106" customFormat="false" ht="17.35" hidden="false" customHeight="false" outlineLevel="0" collapsed="false">
      <c r="A2106" s="8" t="n">
        <v>2105</v>
      </c>
      <c r="B2106" s="9" t="s">
        <v>3072</v>
      </c>
      <c r="C2106" s="8" t="n">
        <v>111</v>
      </c>
      <c r="D2106" s="9" t="str">
        <f aca="false">INDEX(Radicals!$B$2:$B$215,MATCH(C2106,Radicals!$A$2:$A$215,0))</f>
        <v>矢</v>
      </c>
      <c r="E2106" s="10" t="str">
        <f aca="false">INDEX(Radicals!$G$2:$G$215,MATCH(C2106,Radicals!$A$2:$A$215,0))</f>
        <v>arrow</v>
      </c>
      <c r="F2106" s="8" t="n">
        <f aca="false">INDEX(Radicals!$D$2:$D$215,MATCH(C2106,Radicals!$A$2:$A$215,0))</f>
        <v>5</v>
      </c>
      <c r="G2106" s="8" t="n">
        <v>17</v>
      </c>
    </row>
    <row r="2107" customFormat="false" ht="17.35" hidden="false" customHeight="false" outlineLevel="0" collapsed="false">
      <c r="A2107" s="8" t="n">
        <v>2106</v>
      </c>
      <c r="B2107" s="9" t="s">
        <v>3073</v>
      </c>
      <c r="C2107" s="8" t="n">
        <v>75</v>
      </c>
      <c r="D2107" s="9" t="str">
        <f aca="false">INDEX(Radicals!$B$2:$B$215,MATCH(C2107,Radicals!$A$2:$A$215,0))</f>
        <v>木</v>
      </c>
      <c r="E2107" s="10" t="str">
        <f aca="false">INDEX(Radicals!$G$2:$G$215,MATCH(C2107,Radicals!$A$2:$A$215,0))</f>
        <v>tree, wood</v>
      </c>
      <c r="F2107" s="8" t="n">
        <f aca="false">INDEX(Radicals!$D$2:$D$215,MATCH(C2107,Radicals!$A$2:$A$215,0))</f>
        <v>4</v>
      </c>
      <c r="G2107" s="8" t="n">
        <v>9</v>
      </c>
    </row>
    <row r="2108" customFormat="false" ht="17.35" hidden="false" customHeight="false" outlineLevel="0" collapsed="false">
      <c r="A2108" s="8" t="n">
        <v>2107</v>
      </c>
      <c r="B2108" s="9" t="s">
        <v>3074</v>
      </c>
      <c r="C2108" s="8" t="n">
        <v>31</v>
      </c>
      <c r="D2108" s="9" t="str">
        <f aca="false">INDEX(Radicals!$B$2:$B$215,MATCH(C2108,Radicals!$A$2:$A$215,0))</f>
        <v>囗</v>
      </c>
      <c r="E2108" s="10" t="str">
        <f aca="false">INDEX(Radicals!$G$2:$G$215,MATCH(C2108,Radicals!$A$2:$A$215,0))</f>
        <v>enclosure</v>
      </c>
      <c r="F2108" s="8" t="n">
        <f aca="false">INDEX(Radicals!$D$2:$D$215,MATCH(C2108,Radicals!$A$2:$A$215,0))</f>
        <v>3</v>
      </c>
      <c r="G2108" s="8" t="n">
        <v>5</v>
      </c>
    </row>
    <row r="2109" customFormat="false" ht="17.35" hidden="false" customHeight="false" outlineLevel="0" collapsed="false">
      <c r="A2109" s="8" t="n">
        <v>2108</v>
      </c>
      <c r="B2109" s="9" t="s">
        <v>3075</v>
      </c>
      <c r="C2109" s="8" t="n">
        <v>194</v>
      </c>
      <c r="D2109" s="9" t="str">
        <f aca="false">INDEX(Radicals!$B$2:$B$215,MATCH(C2109,Radicals!$A$2:$A$215,0))</f>
        <v>鬼</v>
      </c>
      <c r="E2109" s="10" t="str">
        <f aca="false">INDEX(Radicals!$G$2:$G$215,MATCH(C2109,Radicals!$A$2:$A$215,0))</f>
        <v>ghost, demon</v>
      </c>
      <c r="F2109" s="8" t="n">
        <f aca="false">INDEX(Radicals!$D$2:$D$215,MATCH(C2109,Radicals!$A$2:$A$215,0))</f>
        <v>10</v>
      </c>
      <c r="G2109" s="8" t="n">
        <v>14</v>
      </c>
    </row>
    <row r="2110" customFormat="false" ht="17.35" hidden="false" customHeight="false" outlineLevel="0" collapsed="false">
      <c r="A2110" s="8" t="n">
        <v>2109</v>
      </c>
      <c r="B2110" s="9" t="s">
        <v>3076</v>
      </c>
      <c r="C2110" s="8" t="n">
        <v>140</v>
      </c>
      <c r="D2110" s="9" t="str">
        <f aca="false">INDEX(Radicals!$B$2:$B$215,MATCH(C2110,Radicals!$A$2:$A$215,0))</f>
        <v>艸</v>
      </c>
      <c r="E2110" s="10" t="str">
        <f aca="false">INDEX(Radicals!$G$2:$G$215,MATCH(C2110,Radicals!$A$2:$A$215,0))</f>
        <v>grass, plant</v>
      </c>
      <c r="F2110" s="8" t="n">
        <f aca="false">INDEX(Radicals!$D$2:$D$215,MATCH(C2110,Radicals!$A$2:$A$215,0))</f>
        <v>6</v>
      </c>
      <c r="G2110" s="8" t="n">
        <v>16</v>
      </c>
    </row>
    <row r="2111" customFormat="false" ht="17.35" hidden="false" customHeight="false" outlineLevel="0" collapsed="false">
      <c r="A2111" s="8" t="n">
        <v>2110</v>
      </c>
      <c r="B2111" s="9" t="s">
        <v>3077</v>
      </c>
      <c r="C2111" s="8" t="n">
        <v>142</v>
      </c>
      <c r="D2111" s="9" t="str">
        <f aca="false">INDEX(Radicals!$B$2:$B$215,MATCH(C2111,Radicals!$A$2:$A$215,0))</f>
        <v>虫</v>
      </c>
      <c r="E2111" s="10" t="str">
        <f aca="false">INDEX(Radicals!$G$2:$G$215,MATCH(C2111,Radicals!$A$2:$A$215,0))</f>
        <v>insect</v>
      </c>
      <c r="F2111" s="8" t="n">
        <f aca="false">INDEX(Radicals!$D$2:$D$215,MATCH(C2111,Radicals!$A$2:$A$215,0))</f>
        <v>6</v>
      </c>
      <c r="G2111" s="8" t="n">
        <v>9</v>
      </c>
    </row>
    <row r="2112" customFormat="false" ht="17.35" hidden="false" customHeight="false" outlineLevel="0" collapsed="false">
      <c r="A2112" s="8" t="n">
        <v>2111</v>
      </c>
      <c r="B2112" s="9" t="s">
        <v>3078</v>
      </c>
      <c r="C2112" s="8" t="n">
        <v>196</v>
      </c>
      <c r="D2112" s="9" t="str">
        <f aca="false">INDEX(Radicals!$B$2:$B$215,MATCH(C2112,Radicals!$A$2:$A$215,0))</f>
        <v>鳥</v>
      </c>
      <c r="E2112" s="10" t="str">
        <f aca="false">INDEX(Radicals!$G$2:$G$215,MATCH(C2112,Radicals!$A$2:$A$215,0))</f>
        <v>bird</v>
      </c>
      <c r="F2112" s="8" t="n">
        <f aca="false">INDEX(Radicals!$D$2:$D$215,MATCH(C2112,Radicals!$A$2:$A$215,0))</f>
        <v>11</v>
      </c>
      <c r="G2112" s="8" t="n">
        <v>17</v>
      </c>
    </row>
    <row r="2113" customFormat="false" ht="17.35" hidden="false" customHeight="false" outlineLevel="0" collapsed="false">
      <c r="A2113" s="8" t="n">
        <v>2112</v>
      </c>
      <c r="B2113" s="9" t="s">
        <v>3079</v>
      </c>
      <c r="C2113" s="8" t="n">
        <v>85</v>
      </c>
      <c r="D2113" s="9" t="str">
        <f aca="false">INDEX(Radicals!$B$2:$B$215,MATCH(C2113,Radicals!$A$2:$A$215,0))</f>
        <v>水</v>
      </c>
      <c r="E2113" s="10" t="str">
        <f aca="false">INDEX(Radicals!$G$2:$G$215,MATCH(C2113,Radicals!$A$2:$A$215,0))</f>
        <v>water</v>
      </c>
      <c r="F2113" s="8" t="n">
        <f aca="false">INDEX(Radicals!$D$2:$D$215,MATCH(C2113,Radicals!$A$2:$A$215,0))</f>
        <v>4</v>
      </c>
      <c r="G2113" s="8" t="n">
        <v>8</v>
      </c>
    </row>
    <row r="2114" customFormat="false" ht="17.35" hidden="false" customHeight="false" outlineLevel="0" collapsed="false">
      <c r="A2114" s="8" t="n">
        <v>2113</v>
      </c>
      <c r="B2114" s="9" t="s">
        <v>3080</v>
      </c>
      <c r="C2114" s="8" t="n">
        <v>70</v>
      </c>
      <c r="D2114" s="9" t="str">
        <f aca="false">INDEX(Radicals!$B$2:$B$215,MATCH(C2114,Radicals!$A$2:$A$215,0))</f>
        <v>方</v>
      </c>
      <c r="E2114" s="10" t="str">
        <f aca="false">INDEX(Radicals!$G$2:$G$215,MATCH(C2114,Radicals!$A$2:$A$215,0))</f>
        <v>square, direction</v>
      </c>
      <c r="F2114" s="8" t="n">
        <f aca="false">INDEX(Radicals!$D$2:$D$215,MATCH(C2114,Radicals!$A$2:$A$215,0))</f>
        <v>4</v>
      </c>
      <c r="G2114" s="8" t="n">
        <v>8</v>
      </c>
    </row>
    <row r="2115" customFormat="false" ht="17.35" hidden="false" customHeight="false" outlineLevel="0" collapsed="false">
      <c r="A2115" s="8" t="n">
        <v>2114</v>
      </c>
      <c r="B2115" s="9" t="s">
        <v>3081</v>
      </c>
      <c r="C2115" s="8" t="n">
        <v>156</v>
      </c>
      <c r="D2115" s="9" t="str">
        <f aca="false">INDEX(Radicals!$B$2:$B$215,MATCH(C2115,Radicals!$A$2:$A$215,0))</f>
        <v>走</v>
      </c>
      <c r="E2115" s="10" t="str">
        <f aca="false">INDEX(Radicals!$G$2:$G$215,MATCH(C2115,Radicals!$A$2:$A$215,0))</f>
        <v>run</v>
      </c>
      <c r="F2115" s="8" t="n">
        <f aca="false">INDEX(Radicals!$D$2:$D$215,MATCH(C2115,Radicals!$A$2:$A$215,0))</f>
        <v>7</v>
      </c>
      <c r="G2115" s="8" t="n">
        <v>10</v>
      </c>
    </row>
    <row r="2116" customFormat="false" ht="17.35" hidden="false" customHeight="false" outlineLevel="0" collapsed="false">
      <c r="A2116" s="8" t="n">
        <v>2115</v>
      </c>
      <c r="B2116" s="9" t="s">
        <v>3082</v>
      </c>
      <c r="C2116" s="8" t="n">
        <v>85</v>
      </c>
      <c r="D2116" s="9" t="str">
        <f aca="false">INDEX(Radicals!$B$2:$B$215,MATCH(C2116,Radicals!$A$2:$A$215,0))</f>
        <v>水</v>
      </c>
      <c r="E2116" s="10" t="str">
        <f aca="false">INDEX(Radicals!$G$2:$G$215,MATCH(C2116,Radicals!$A$2:$A$215,0))</f>
        <v>water</v>
      </c>
      <c r="F2116" s="8" t="n">
        <f aca="false">INDEX(Radicals!$D$2:$D$215,MATCH(C2116,Radicals!$A$2:$A$215,0))</f>
        <v>4</v>
      </c>
      <c r="G2116" s="8" t="n">
        <v>14</v>
      </c>
    </row>
    <row r="2117" customFormat="false" ht="17.35" hidden="false" customHeight="false" outlineLevel="0" collapsed="false">
      <c r="A2117" s="8" t="n">
        <v>2116</v>
      </c>
      <c r="B2117" s="9" t="s">
        <v>3083</v>
      </c>
      <c r="C2117" s="8" t="n">
        <v>162</v>
      </c>
      <c r="D2117" s="9" t="str">
        <f aca="false">INDEX(Radicals!$B$2:$B$215,MATCH(C2117,Radicals!$A$2:$A$215,0))</f>
        <v>辵</v>
      </c>
      <c r="E2117" s="10" t="str">
        <f aca="false">INDEX(Radicals!$G$2:$G$215,MATCH(C2117,Radicals!$A$2:$A$215,0))</f>
        <v>walk, movement</v>
      </c>
      <c r="F2117" s="8" t="n">
        <f aca="false">INDEX(Radicals!$D$2:$D$215,MATCH(C2117,Radicals!$A$2:$A$215,0))</f>
        <v>7</v>
      </c>
      <c r="G2117" s="8" t="n">
        <v>10</v>
      </c>
    </row>
    <row r="2118" customFormat="false" ht="17.35" hidden="false" customHeight="false" outlineLevel="0" collapsed="false">
      <c r="A2118" s="8" t="n">
        <v>2117</v>
      </c>
      <c r="B2118" s="9" t="s">
        <v>3084</v>
      </c>
      <c r="C2118" s="8" t="n">
        <v>16</v>
      </c>
      <c r="D2118" s="9" t="str">
        <f aca="false">INDEX(Radicals!$B$2:$B$215,MATCH(C2118,Radicals!$A$2:$A$215,0))</f>
        <v>几</v>
      </c>
      <c r="E2118" s="10" t="str">
        <f aca="false">INDEX(Radicals!$G$2:$G$215,MATCH(C2118,Radicals!$A$2:$A$215,0))</f>
        <v>table, wind</v>
      </c>
      <c r="F2118" s="8" t="n">
        <f aca="false">INDEX(Radicals!$D$2:$D$215,MATCH(C2118,Radicals!$A$2:$A$215,0))</f>
        <v>2</v>
      </c>
      <c r="G2118" s="8" t="n">
        <v>5</v>
      </c>
    </row>
    <row r="2119" customFormat="false" ht="17.35" hidden="false" customHeight="false" outlineLevel="0" collapsed="false">
      <c r="A2119" s="8" t="n">
        <v>2118</v>
      </c>
      <c r="B2119" s="9" t="s">
        <v>3085</v>
      </c>
      <c r="C2119" s="8" t="n">
        <v>196</v>
      </c>
      <c r="D2119" s="9" t="str">
        <f aca="false">INDEX(Radicals!$B$2:$B$215,MATCH(C2119,Radicals!$A$2:$A$215,0))</f>
        <v>鳥</v>
      </c>
      <c r="E2119" s="10" t="str">
        <f aca="false">INDEX(Radicals!$G$2:$G$215,MATCH(C2119,Radicals!$A$2:$A$215,0))</f>
        <v>bird</v>
      </c>
      <c r="F2119" s="8" t="n">
        <f aca="false">INDEX(Radicals!$D$2:$D$215,MATCH(C2119,Radicals!$A$2:$A$215,0))</f>
        <v>11</v>
      </c>
      <c r="G2119" s="8" t="n">
        <v>18</v>
      </c>
    </row>
    <row r="2120" customFormat="false" ht="17.35" hidden="false" customHeight="false" outlineLevel="0" collapsed="false">
      <c r="A2120" s="8" t="n">
        <v>2119</v>
      </c>
      <c r="B2120" s="9" t="s">
        <v>3086</v>
      </c>
      <c r="C2120" s="8" t="n">
        <v>53</v>
      </c>
      <c r="D2120" s="9" t="str">
        <f aca="false">INDEX(Radicals!$B$2:$B$215,MATCH(C2120,Radicals!$A$2:$A$215,0))</f>
        <v>广</v>
      </c>
      <c r="E2120" s="10" t="str">
        <f aca="false">INDEX(Radicals!$G$2:$G$215,MATCH(C2120,Radicals!$A$2:$A$215,0))</f>
        <v>dotted cliff, building</v>
      </c>
      <c r="F2120" s="8" t="n">
        <f aca="false">INDEX(Radicals!$D$2:$D$215,MATCH(C2120,Radicals!$A$2:$A$215,0))</f>
        <v>3</v>
      </c>
      <c r="G2120" s="8" t="n">
        <v>11</v>
      </c>
    </row>
    <row r="2121" customFormat="false" ht="17.35" hidden="false" customHeight="false" outlineLevel="0" collapsed="false">
      <c r="A2121" s="8" t="n">
        <v>2120</v>
      </c>
      <c r="B2121" s="9" t="s">
        <v>3087</v>
      </c>
      <c r="C2121" s="8" t="n">
        <v>130</v>
      </c>
      <c r="D2121" s="9" t="str">
        <f aca="false">INDEX(Radicals!$B$2:$B$215,MATCH(C2121,Radicals!$A$2:$A$215,0))</f>
        <v>肉</v>
      </c>
      <c r="E2121" s="10" t="str">
        <f aca="false">INDEX(Radicals!$G$2:$G$215,MATCH(C2121,Radicals!$A$2:$A$215,0))</f>
        <v>meat, flesh</v>
      </c>
      <c r="F2121" s="8" t="n">
        <f aca="false">INDEX(Radicals!$D$2:$D$215,MATCH(C2121,Radicals!$A$2:$A$215,0))</f>
        <v>6</v>
      </c>
      <c r="G2121" s="8" t="n">
        <v>16</v>
      </c>
    </row>
    <row r="2122" customFormat="false" ht="17.35" hidden="false" customHeight="false" outlineLevel="0" collapsed="false">
      <c r="A2122" s="8" t="n">
        <v>2121</v>
      </c>
      <c r="B2122" s="9" t="s">
        <v>3088</v>
      </c>
      <c r="C2122" s="8" t="n">
        <v>142</v>
      </c>
      <c r="D2122" s="9" t="str">
        <f aca="false">INDEX(Radicals!$B$2:$B$215,MATCH(C2122,Radicals!$A$2:$A$215,0))</f>
        <v>虫</v>
      </c>
      <c r="E2122" s="10" t="str">
        <f aca="false">INDEX(Radicals!$G$2:$G$215,MATCH(C2122,Radicals!$A$2:$A$215,0))</f>
        <v>insect</v>
      </c>
      <c r="F2122" s="8" t="n">
        <f aca="false">INDEX(Radicals!$D$2:$D$215,MATCH(C2122,Radicals!$A$2:$A$215,0))</f>
        <v>6</v>
      </c>
      <c r="G2122" s="8" t="n">
        <v>10</v>
      </c>
    </row>
    <row r="2123" customFormat="false" ht="17.35" hidden="false" customHeight="false" outlineLevel="0" collapsed="false">
      <c r="A2123" s="8" t="n">
        <v>2122</v>
      </c>
      <c r="B2123" s="9" t="s">
        <v>3089</v>
      </c>
      <c r="C2123" s="8" t="n">
        <v>140</v>
      </c>
      <c r="D2123" s="9" t="str">
        <f aca="false">INDEX(Radicals!$B$2:$B$215,MATCH(C2123,Radicals!$A$2:$A$215,0))</f>
        <v>艸</v>
      </c>
      <c r="E2123" s="10" t="str">
        <f aca="false">INDEX(Radicals!$G$2:$G$215,MATCH(C2123,Radicals!$A$2:$A$215,0))</f>
        <v>grass, plant</v>
      </c>
      <c r="F2123" s="8" t="n">
        <f aca="false">INDEX(Radicals!$D$2:$D$215,MATCH(C2123,Radicals!$A$2:$A$215,0))</f>
        <v>6</v>
      </c>
      <c r="G2123" s="8" t="n">
        <v>12</v>
      </c>
    </row>
    <row r="2124" customFormat="false" ht="17.35" hidden="false" customHeight="false" outlineLevel="0" collapsed="false">
      <c r="A2124" s="8" t="n">
        <v>2123</v>
      </c>
      <c r="B2124" s="9" t="s">
        <v>3090</v>
      </c>
      <c r="C2124" s="8" t="n">
        <v>27</v>
      </c>
      <c r="D2124" s="9" t="str">
        <f aca="false">INDEX(Radicals!$B$2:$B$215,MATCH(C2124,Radicals!$A$2:$A$215,0))</f>
        <v>厂</v>
      </c>
      <c r="E2124" s="10" t="str">
        <f aca="false">INDEX(Radicals!$G$2:$G$215,MATCH(C2124,Radicals!$A$2:$A$215,0))</f>
        <v>cliff</v>
      </c>
      <c r="F2124" s="8" t="n">
        <f aca="false">INDEX(Radicals!$D$2:$D$215,MATCH(C2124,Radicals!$A$2:$A$215,0))</f>
        <v>2</v>
      </c>
      <c r="G2124" s="8" t="n">
        <v>4</v>
      </c>
    </row>
    <row r="2125" customFormat="false" ht="17.35" hidden="false" customHeight="false" outlineLevel="0" collapsed="false">
      <c r="A2125" s="8" t="n">
        <v>2124</v>
      </c>
      <c r="B2125" s="9" t="s">
        <v>3091</v>
      </c>
      <c r="C2125" s="8" t="n">
        <v>140</v>
      </c>
      <c r="D2125" s="9" t="str">
        <f aca="false">INDEX(Radicals!$B$2:$B$215,MATCH(C2125,Radicals!$A$2:$A$215,0))</f>
        <v>艸</v>
      </c>
      <c r="E2125" s="10" t="str">
        <f aca="false">INDEX(Radicals!$G$2:$G$215,MATCH(C2125,Radicals!$A$2:$A$215,0))</f>
        <v>grass, plant</v>
      </c>
      <c r="F2125" s="8" t="n">
        <f aca="false">INDEX(Radicals!$D$2:$D$215,MATCH(C2125,Radicals!$A$2:$A$215,0))</f>
        <v>6</v>
      </c>
      <c r="G2125" s="8" t="n">
        <v>19</v>
      </c>
    </row>
    <row r="2126" customFormat="false" ht="17.35" hidden="false" customHeight="false" outlineLevel="0" collapsed="false">
      <c r="A2126" s="8" t="n">
        <v>2125</v>
      </c>
      <c r="B2126" s="9" t="s">
        <v>3092</v>
      </c>
      <c r="C2126" s="8" t="n">
        <v>140</v>
      </c>
      <c r="D2126" s="9" t="str">
        <f aca="false">INDEX(Radicals!$B$2:$B$215,MATCH(C2126,Radicals!$A$2:$A$215,0))</f>
        <v>艸</v>
      </c>
      <c r="E2126" s="10" t="str">
        <f aca="false">INDEX(Radicals!$G$2:$G$215,MATCH(C2126,Radicals!$A$2:$A$215,0))</f>
        <v>grass, plant</v>
      </c>
      <c r="F2126" s="8" t="n">
        <f aca="false">INDEX(Radicals!$D$2:$D$215,MATCH(C2126,Radicals!$A$2:$A$215,0))</f>
        <v>6</v>
      </c>
      <c r="G2126" s="8" t="n">
        <v>12</v>
      </c>
    </row>
    <row r="2127" customFormat="false" ht="17.35" hidden="false" customHeight="false" outlineLevel="0" collapsed="false">
      <c r="A2127" s="8" t="n">
        <v>2126</v>
      </c>
      <c r="B2127" s="9" t="s">
        <v>3093</v>
      </c>
      <c r="C2127" s="8" t="n">
        <v>113</v>
      </c>
      <c r="D2127" s="9" t="str">
        <f aca="false">INDEX(Radicals!$B$2:$B$215,MATCH(C2127,Radicals!$A$2:$A$215,0))</f>
        <v>示</v>
      </c>
      <c r="E2127" s="10" t="str">
        <f aca="false">INDEX(Radicals!$G$2:$G$215,MATCH(C2127,Radicals!$A$2:$A$215,0))</f>
        <v>spirit, altar, show</v>
      </c>
      <c r="F2127" s="8" t="n">
        <f aca="false">INDEX(Radicals!$D$2:$D$215,MATCH(C2127,Radicals!$A$2:$A$215,0))</f>
        <v>5</v>
      </c>
      <c r="G2127" s="8" t="n">
        <v>12</v>
      </c>
    </row>
    <row r="2128" customFormat="false" ht="17.35" hidden="false" customHeight="false" outlineLevel="0" collapsed="false">
      <c r="A2128" s="8" t="n">
        <v>2127</v>
      </c>
      <c r="B2128" s="9" t="s">
        <v>3094</v>
      </c>
      <c r="C2128" s="8" t="n">
        <v>39</v>
      </c>
      <c r="D2128" s="9" t="str">
        <f aca="false">INDEX(Radicals!$B$2:$B$215,MATCH(C2128,Radicals!$A$2:$A$215,0))</f>
        <v>子</v>
      </c>
      <c r="E2128" s="10" t="str">
        <f aca="false">INDEX(Radicals!$G$2:$G$215,MATCH(C2128,Radicals!$A$2:$A$215,0))</f>
        <v>child</v>
      </c>
      <c r="F2128" s="8" t="n">
        <f aca="false">INDEX(Radicals!$D$2:$D$215,MATCH(C2128,Radicals!$A$2:$A$215,0))</f>
        <v>3</v>
      </c>
      <c r="G2128" s="8" t="n">
        <v>8</v>
      </c>
    </row>
    <row r="2129" customFormat="false" ht="17.35" hidden="false" customHeight="false" outlineLevel="0" collapsed="false">
      <c r="A2129" s="8" t="n">
        <v>2128</v>
      </c>
      <c r="B2129" s="9" t="s">
        <v>3095</v>
      </c>
      <c r="C2129" s="8" t="n">
        <v>196</v>
      </c>
      <c r="D2129" s="9" t="str">
        <f aca="false">INDEX(Radicals!$B$2:$B$215,MATCH(C2129,Radicals!$A$2:$A$215,0))</f>
        <v>鳥</v>
      </c>
      <c r="E2129" s="10" t="str">
        <f aca="false">INDEX(Radicals!$G$2:$G$215,MATCH(C2129,Radicals!$A$2:$A$215,0))</f>
        <v>bird</v>
      </c>
      <c r="F2129" s="8" t="n">
        <f aca="false">INDEX(Radicals!$D$2:$D$215,MATCH(C2129,Radicals!$A$2:$A$215,0))</f>
        <v>11</v>
      </c>
      <c r="G2129" s="8" t="n">
        <v>15</v>
      </c>
    </row>
    <row r="2130" customFormat="false" ht="17.35" hidden="false" customHeight="false" outlineLevel="0" collapsed="false">
      <c r="A2130" s="8" t="n">
        <v>2129</v>
      </c>
      <c r="B2130" s="9" t="s">
        <v>3096</v>
      </c>
      <c r="C2130" s="8" t="n">
        <v>94</v>
      </c>
      <c r="D2130" s="9" t="str">
        <f aca="false">INDEX(Radicals!$B$2:$B$215,MATCH(C2130,Radicals!$A$2:$A$215,0))</f>
        <v>犬</v>
      </c>
      <c r="E2130" s="10" t="str">
        <f aca="false">INDEX(Radicals!$G$2:$G$215,MATCH(C2130,Radicals!$A$2:$A$215,0))</f>
        <v>dog</v>
      </c>
      <c r="F2130" s="8" t="n">
        <f aca="false">INDEX(Radicals!$D$2:$D$215,MATCH(C2130,Radicals!$A$2:$A$215,0))</f>
        <v>4</v>
      </c>
      <c r="G2130" s="8" t="n">
        <v>10</v>
      </c>
    </row>
    <row r="2131" customFormat="false" ht="17.35" hidden="false" customHeight="false" outlineLevel="0" collapsed="false">
      <c r="A2131" s="8" t="n">
        <v>2130</v>
      </c>
      <c r="B2131" s="9" t="s">
        <v>3097</v>
      </c>
      <c r="C2131" s="8" t="n">
        <v>38</v>
      </c>
      <c r="D2131" s="9" t="str">
        <f aca="false">INDEX(Radicals!$B$2:$B$215,MATCH(C2131,Radicals!$A$2:$A$215,0))</f>
        <v>女</v>
      </c>
      <c r="E2131" s="10" t="str">
        <f aca="false">INDEX(Radicals!$G$2:$G$215,MATCH(C2131,Radicals!$A$2:$A$215,0))</f>
        <v>woman</v>
      </c>
      <c r="F2131" s="8" t="n">
        <f aca="false">INDEX(Radicals!$D$2:$D$215,MATCH(C2131,Radicals!$A$2:$A$215,0))</f>
        <v>3</v>
      </c>
      <c r="G2131" s="8" t="n">
        <v>14</v>
      </c>
    </row>
    <row r="2132" customFormat="false" ht="17.35" hidden="false" customHeight="false" outlineLevel="0" collapsed="false">
      <c r="A2132" s="8" t="n">
        <v>2131</v>
      </c>
      <c r="B2132" s="9" t="s">
        <v>3098</v>
      </c>
      <c r="C2132" s="8" t="n">
        <v>30</v>
      </c>
      <c r="D2132" s="9" t="str">
        <f aca="false">INDEX(Radicals!$B$2:$B$215,MATCH(C2132,Radicals!$A$2:$A$215,0))</f>
        <v>口</v>
      </c>
      <c r="E2132" s="10" t="str">
        <f aca="false">INDEX(Radicals!$G$2:$G$215,MATCH(C2132,Radicals!$A$2:$A$215,0))</f>
        <v>mouth</v>
      </c>
      <c r="F2132" s="8" t="n">
        <f aca="false">INDEX(Radicals!$D$2:$D$215,MATCH(C2132,Radicals!$A$2:$A$215,0))</f>
        <v>3</v>
      </c>
      <c r="G2132" s="8" t="n">
        <v>8</v>
      </c>
    </row>
    <row r="2133" customFormat="false" ht="17.35" hidden="false" customHeight="false" outlineLevel="0" collapsed="false">
      <c r="A2133" s="8" t="n">
        <v>2132</v>
      </c>
      <c r="B2133" s="9" t="s">
        <v>3099</v>
      </c>
      <c r="C2133" s="8" t="n">
        <v>69</v>
      </c>
      <c r="D2133" s="9" t="str">
        <f aca="false">INDEX(Radicals!$B$2:$B$215,MATCH(C2133,Radicals!$A$2:$A$215,0))</f>
        <v>斤</v>
      </c>
      <c r="E2133" s="10" t="str">
        <f aca="false">INDEX(Radicals!$G$2:$G$215,MATCH(C2133,Radicals!$A$2:$A$215,0))</f>
        <v>axe</v>
      </c>
      <c r="F2133" s="8" t="n">
        <f aca="false">INDEX(Radicals!$D$2:$D$215,MATCH(C2133,Radicals!$A$2:$A$215,0))</f>
        <v>4</v>
      </c>
      <c r="G2133" s="8" t="n">
        <v>11</v>
      </c>
    </row>
    <row r="2134" customFormat="false" ht="17.35" hidden="false" customHeight="false" outlineLevel="0" collapsed="false">
      <c r="A2134" s="8" t="n">
        <v>2133</v>
      </c>
      <c r="B2134" s="9" t="s">
        <v>3100</v>
      </c>
      <c r="C2134" s="8" t="n">
        <v>42</v>
      </c>
      <c r="D2134" s="9" t="str">
        <f aca="false">INDEX(Radicals!$B$2:$B$215,MATCH(C2134,Radicals!$A$2:$A$215,0))</f>
        <v>小</v>
      </c>
      <c r="E2134" s="10" t="str">
        <f aca="false">INDEX(Radicals!$G$2:$G$215,MATCH(C2134,Radicals!$A$2:$A$215,0))</f>
        <v>small</v>
      </c>
      <c r="F2134" s="8" t="n">
        <f aca="false">INDEX(Radicals!$D$2:$D$215,MATCH(C2134,Radicals!$A$2:$A$215,0))</f>
        <v>3</v>
      </c>
      <c r="G2134" s="8" t="n">
        <v>6</v>
      </c>
    </row>
    <row r="2135" customFormat="false" ht="17.35" hidden="false" customHeight="false" outlineLevel="0" collapsed="false">
      <c r="A2135" s="8" t="n">
        <v>2134</v>
      </c>
      <c r="B2135" s="9" t="s">
        <v>3101</v>
      </c>
      <c r="C2135" s="8" t="n">
        <v>124</v>
      </c>
      <c r="D2135" s="9" t="str">
        <f aca="false">INDEX(Radicals!$B$2:$B$215,MATCH(C2135,Radicals!$A$2:$A$215,0))</f>
        <v>羽</v>
      </c>
      <c r="E2135" s="10" t="str">
        <f aca="false">INDEX(Radicals!$G$2:$G$215,MATCH(C2135,Radicals!$A$2:$A$215,0))</f>
        <v>feather, wing</v>
      </c>
      <c r="F2135" s="8" t="n">
        <f aca="false">INDEX(Radicals!$D$2:$D$215,MATCH(C2135,Radicals!$A$2:$A$215,0))</f>
        <v>6</v>
      </c>
      <c r="G2135" s="8" t="n">
        <v>15</v>
      </c>
    </row>
    <row r="2136" customFormat="false" ht="17.35" hidden="false" customHeight="false" outlineLevel="0" collapsed="false">
      <c r="A2136" s="8" t="n">
        <v>2135</v>
      </c>
      <c r="B2136" s="9" t="s">
        <v>3102</v>
      </c>
      <c r="C2136" s="8" t="n">
        <v>46</v>
      </c>
      <c r="D2136" s="9" t="str">
        <f aca="false">INDEX(Radicals!$B$2:$B$215,MATCH(C2136,Radicals!$A$2:$A$215,0))</f>
        <v>山</v>
      </c>
      <c r="E2136" s="10" t="str">
        <f aca="false">INDEX(Radicals!$G$2:$G$215,MATCH(C2136,Radicals!$A$2:$A$215,0))</f>
        <v>mountain</v>
      </c>
      <c r="F2136" s="8" t="n">
        <f aca="false">INDEX(Radicals!$D$2:$D$215,MATCH(C2136,Radicals!$A$2:$A$215,0))</f>
        <v>3</v>
      </c>
      <c r="G2136" s="8" t="n">
        <v>17</v>
      </c>
    </row>
    <row r="2137" customFormat="false" ht="17.35" hidden="false" customHeight="false" outlineLevel="0" collapsed="false">
      <c r="A2137" s="8" t="n">
        <v>2136</v>
      </c>
      <c r="B2137" s="9" t="s">
        <v>3103</v>
      </c>
      <c r="C2137" s="8" t="n">
        <v>32</v>
      </c>
      <c r="D2137" s="9" t="str">
        <f aca="false">INDEX(Radicals!$B$2:$B$215,MATCH(C2137,Radicals!$A$2:$A$215,0))</f>
        <v>土</v>
      </c>
      <c r="E2137" s="10" t="str">
        <f aca="false">INDEX(Radicals!$G$2:$G$215,MATCH(C2137,Radicals!$A$2:$A$215,0))</f>
        <v>earth, soil</v>
      </c>
      <c r="F2137" s="8" t="n">
        <f aca="false">INDEX(Radicals!$D$2:$D$215,MATCH(C2137,Radicals!$A$2:$A$215,0))</f>
        <v>3</v>
      </c>
      <c r="G2137" s="8" t="n">
        <v>8</v>
      </c>
    </row>
    <row r="2138" customFormat="false" ht="17.35" hidden="false" customHeight="false" outlineLevel="0" collapsed="false">
      <c r="A2138" s="8" t="n">
        <v>2137</v>
      </c>
      <c r="B2138" s="9" t="s">
        <v>3104</v>
      </c>
      <c r="C2138" s="8" t="n">
        <v>61</v>
      </c>
      <c r="D2138" s="9" t="str">
        <f aca="false">INDEX(Radicals!$B$2:$B$215,MATCH(C2138,Radicals!$A$2:$A$215,0))</f>
        <v>心</v>
      </c>
      <c r="E2138" s="10" t="str">
        <f aca="false">INDEX(Radicals!$G$2:$G$215,MATCH(C2138,Radicals!$A$2:$A$215,0))</f>
        <v>heart, mind</v>
      </c>
      <c r="F2138" s="8" t="n">
        <f aca="false">INDEX(Radicals!$D$2:$D$215,MATCH(C2138,Radicals!$A$2:$A$215,0))</f>
        <v>4</v>
      </c>
      <c r="G2138" s="8" t="n">
        <v>9</v>
      </c>
    </row>
    <row r="2139" customFormat="false" ht="17.35" hidden="false" customHeight="false" outlineLevel="0" collapsed="false">
      <c r="A2139" s="8" t="n">
        <v>2138</v>
      </c>
      <c r="B2139" s="9" t="s">
        <v>3105</v>
      </c>
      <c r="C2139" s="8" t="n">
        <v>26</v>
      </c>
      <c r="D2139" s="9" t="str">
        <f aca="false">INDEX(Radicals!$B$2:$B$215,MATCH(C2139,Radicals!$A$2:$A$215,0))</f>
        <v>卩</v>
      </c>
      <c r="E2139" s="10" t="str">
        <f aca="false">INDEX(Radicals!$G$2:$G$215,MATCH(C2139,Radicals!$A$2:$A$215,0))</f>
        <v>seal, kneeling person</v>
      </c>
      <c r="F2139" s="8" t="n">
        <f aca="false">INDEX(Radicals!$D$2:$D$215,MATCH(C2139,Radicals!$A$2:$A$215,0))</f>
        <v>2</v>
      </c>
      <c r="G2139" s="8" t="n">
        <v>12</v>
      </c>
    </row>
    <row r="2140" customFormat="false" ht="17.35" hidden="false" customHeight="false" outlineLevel="0" collapsed="false">
      <c r="A2140" s="8" t="n">
        <v>2139</v>
      </c>
      <c r="B2140" s="9" t="s">
        <v>3106</v>
      </c>
      <c r="C2140" s="8" t="n">
        <v>2</v>
      </c>
      <c r="D2140" s="9" t="str">
        <f aca="false">INDEX(Radicals!$B$2:$B$215,MATCH(C2140,Radicals!$A$2:$A$215,0))</f>
        <v>丨</v>
      </c>
      <c r="E2140" s="10" t="str">
        <f aca="false">INDEX(Radicals!$G$2:$G$215,MATCH(C2140,Radicals!$A$2:$A$215,0))</f>
        <v>vertical line</v>
      </c>
      <c r="F2140" s="8" t="n">
        <f aca="false">INDEX(Radicals!$D$2:$D$215,MATCH(C2140,Radicals!$A$2:$A$215,0))</f>
        <v>1</v>
      </c>
      <c r="G2140" s="8" t="n">
        <v>7</v>
      </c>
    </row>
    <row r="2141" customFormat="false" ht="17.35" hidden="false" customHeight="false" outlineLevel="0" collapsed="false">
      <c r="A2141" s="8" t="n">
        <v>2140</v>
      </c>
      <c r="B2141" s="9" t="s">
        <v>3107</v>
      </c>
      <c r="C2141" s="8" t="n">
        <v>49</v>
      </c>
      <c r="D2141" s="9" t="str">
        <f aca="false">INDEX(Radicals!$B$2:$B$215,MATCH(C2141,Radicals!$A$2:$A$215,0))</f>
        <v>己</v>
      </c>
      <c r="E2141" s="10" t="str">
        <f aca="false">INDEX(Radicals!$G$2:$G$215,MATCH(C2141,Radicals!$A$2:$A$215,0))</f>
        <v>oneself</v>
      </c>
      <c r="F2141" s="8" t="n">
        <f aca="false">INDEX(Radicals!$D$2:$D$215,MATCH(C2141,Radicals!$A$2:$A$215,0))</f>
        <v>3</v>
      </c>
      <c r="G2141" s="8" t="n">
        <v>3</v>
      </c>
    </row>
    <row r="2142" customFormat="false" ht="17.35" hidden="false" customHeight="false" outlineLevel="0" collapsed="false">
      <c r="A2142" s="8" t="n">
        <v>2141</v>
      </c>
      <c r="B2142" s="9" t="s">
        <v>3108</v>
      </c>
      <c r="C2142" s="8" t="n">
        <v>30</v>
      </c>
      <c r="D2142" s="9" t="str">
        <f aca="false">INDEX(Radicals!$B$2:$B$215,MATCH(C2142,Radicals!$A$2:$A$215,0))</f>
        <v>口</v>
      </c>
      <c r="E2142" s="10" t="str">
        <f aca="false">INDEX(Radicals!$G$2:$G$215,MATCH(C2142,Radicals!$A$2:$A$215,0))</f>
        <v>mouth</v>
      </c>
      <c r="F2142" s="8" t="n">
        <f aca="false">INDEX(Radicals!$D$2:$D$215,MATCH(C2142,Radicals!$A$2:$A$215,0))</f>
        <v>3</v>
      </c>
      <c r="G2142" s="8" t="n">
        <v>17</v>
      </c>
    </row>
    <row r="2143" customFormat="false" ht="17.35" hidden="false" customHeight="false" outlineLevel="0" collapsed="false">
      <c r="A2143" s="8" t="n">
        <v>2142</v>
      </c>
      <c r="B2143" s="9" t="s">
        <v>3109</v>
      </c>
      <c r="C2143" s="8" t="n">
        <v>49</v>
      </c>
      <c r="D2143" s="9" t="str">
        <f aca="false">INDEX(Radicals!$B$2:$B$215,MATCH(C2143,Radicals!$A$2:$A$215,0))</f>
        <v>己</v>
      </c>
      <c r="E2143" s="10" t="str">
        <f aca="false">INDEX(Radicals!$G$2:$G$215,MATCH(C2143,Radicals!$A$2:$A$215,0))</f>
        <v>oneself</v>
      </c>
      <c r="F2143" s="8" t="n">
        <f aca="false">INDEX(Radicals!$D$2:$D$215,MATCH(C2143,Radicals!$A$2:$A$215,0))</f>
        <v>3</v>
      </c>
      <c r="G2143" s="8" t="n">
        <v>3</v>
      </c>
    </row>
    <row r="2144" customFormat="false" ht="17.35" hidden="false" customHeight="false" outlineLevel="0" collapsed="false">
      <c r="A2144" s="8" t="n">
        <v>2143</v>
      </c>
      <c r="B2144" s="9" t="s">
        <v>3110</v>
      </c>
      <c r="C2144" s="8" t="n">
        <v>17</v>
      </c>
      <c r="D2144" s="9" t="str">
        <f aca="false">INDEX(Radicals!$B$2:$B$215,MATCH(C2144,Radicals!$A$2:$A$215,0))</f>
        <v>凵</v>
      </c>
      <c r="E2144" s="10" t="str">
        <f aca="false">INDEX(Radicals!$G$2:$G$215,MATCH(C2144,Radicals!$A$2:$A$215,0))</f>
        <v>open box</v>
      </c>
      <c r="F2144" s="8" t="n">
        <f aca="false">INDEX(Radicals!$D$2:$D$215,MATCH(C2144,Radicals!$A$2:$A$215,0))</f>
        <v>2</v>
      </c>
      <c r="G2144" s="8" t="n">
        <v>5</v>
      </c>
    </row>
    <row r="2145" customFormat="false" ht="17.35" hidden="false" customHeight="false" outlineLevel="0" collapsed="false">
      <c r="A2145" s="8" t="n">
        <v>2144</v>
      </c>
      <c r="B2145" s="9" t="s">
        <v>3111</v>
      </c>
      <c r="C2145" s="8" t="n">
        <v>72</v>
      </c>
      <c r="D2145" s="9" t="str">
        <f aca="false">INDEX(Radicals!$B$2:$B$215,MATCH(C2145,Radicals!$A$2:$A$215,0))</f>
        <v>日</v>
      </c>
      <c r="E2145" s="10" t="str">
        <f aca="false">INDEX(Radicals!$G$2:$G$215,MATCH(C2145,Radicals!$A$2:$A$215,0))</f>
        <v>sun, day</v>
      </c>
      <c r="F2145" s="8" t="n">
        <f aca="false">INDEX(Radicals!$D$2:$D$215,MATCH(C2145,Radicals!$A$2:$A$215,0))</f>
        <v>4</v>
      </c>
      <c r="G2145" s="8" t="n">
        <v>14</v>
      </c>
    </row>
    <row r="2146" customFormat="false" ht="17.35" hidden="false" customHeight="false" outlineLevel="0" collapsed="false">
      <c r="A2146" s="8" t="n">
        <v>2145</v>
      </c>
      <c r="B2146" s="9" t="s">
        <v>3112</v>
      </c>
      <c r="C2146" s="8" t="n">
        <v>130</v>
      </c>
      <c r="D2146" s="9" t="str">
        <f aca="false">INDEX(Radicals!$B$2:$B$215,MATCH(C2146,Radicals!$A$2:$A$215,0))</f>
        <v>肉</v>
      </c>
      <c r="E2146" s="10" t="str">
        <f aca="false">INDEX(Radicals!$G$2:$G$215,MATCH(C2146,Radicals!$A$2:$A$215,0))</f>
        <v>meat, flesh</v>
      </c>
      <c r="F2146" s="8" t="n">
        <f aca="false">INDEX(Radicals!$D$2:$D$215,MATCH(C2146,Radicals!$A$2:$A$215,0))</f>
        <v>6</v>
      </c>
      <c r="G2146" s="8" t="n">
        <v>13</v>
      </c>
    </row>
    <row r="2147" customFormat="false" ht="17.35" hidden="false" customHeight="false" outlineLevel="0" collapsed="false">
      <c r="A2147" s="8" t="n">
        <v>2146</v>
      </c>
      <c r="B2147" s="9" t="s">
        <v>3113</v>
      </c>
      <c r="C2147" s="8" t="n">
        <v>119</v>
      </c>
      <c r="D2147" s="9" t="str">
        <f aca="false">INDEX(Radicals!$B$2:$B$215,MATCH(C2147,Radicals!$A$2:$A$215,0))</f>
        <v>米</v>
      </c>
      <c r="E2147" s="10" t="str">
        <f aca="false">INDEX(Radicals!$G$2:$G$215,MATCH(C2147,Radicals!$A$2:$A$215,0))</f>
        <v>rice</v>
      </c>
      <c r="F2147" s="8" t="n">
        <f aca="false">INDEX(Radicals!$D$2:$D$215,MATCH(C2147,Radicals!$A$2:$A$215,0))</f>
        <v>6</v>
      </c>
      <c r="G2147" s="8" t="n">
        <v>12</v>
      </c>
    </row>
    <row r="2148" customFormat="false" ht="17.35" hidden="false" customHeight="false" outlineLevel="0" collapsed="false">
      <c r="A2148" s="8" t="n">
        <v>2147</v>
      </c>
      <c r="B2148" s="9" t="s">
        <v>3114</v>
      </c>
      <c r="C2148" s="8" t="n">
        <v>86</v>
      </c>
      <c r="D2148" s="9" t="str">
        <f aca="false">INDEX(Radicals!$B$2:$B$215,MATCH(C2148,Radicals!$A$2:$A$215,0))</f>
        <v>火</v>
      </c>
      <c r="E2148" s="10" t="str">
        <f aca="false">INDEX(Radicals!$G$2:$G$215,MATCH(C2148,Radicals!$A$2:$A$215,0))</f>
        <v>fire</v>
      </c>
      <c r="F2148" s="8" t="n">
        <f aca="false">INDEX(Radicals!$D$2:$D$215,MATCH(C2148,Radicals!$A$2:$A$215,0))</f>
        <v>4</v>
      </c>
      <c r="G2148" s="8" t="n">
        <v>16</v>
      </c>
    </row>
    <row r="2149" customFormat="false" ht="17.35" hidden="false" customHeight="false" outlineLevel="0" collapsed="false">
      <c r="A2149" s="8" t="n">
        <v>2148</v>
      </c>
      <c r="B2149" s="9" t="s">
        <v>3115</v>
      </c>
      <c r="C2149" s="8" t="n">
        <v>180</v>
      </c>
      <c r="D2149" s="9" t="str">
        <f aca="false">INDEX(Radicals!$B$2:$B$215,MATCH(C2149,Radicals!$A$2:$A$215,0))</f>
        <v>音</v>
      </c>
      <c r="E2149" s="10" t="str">
        <f aca="false">INDEX(Radicals!$G$2:$G$215,MATCH(C2149,Radicals!$A$2:$A$215,0))</f>
        <v>sound</v>
      </c>
      <c r="F2149" s="8" t="n">
        <f aca="false">INDEX(Radicals!$D$2:$D$215,MATCH(C2149,Radicals!$A$2:$A$215,0))</f>
        <v>9</v>
      </c>
      <c r="G2149" s="8" t="n">
        <v>19</v>
      </c>
    </row>
    <row r="2150" customFormat="false" ht="17.35" hidden="false" customHeight="false" outlineLevel="0" collapsed="false">
      <c r="A2150" s="8" t="n">
        <v>2149</v>
      </c>
      <c r="B2150" s="9" t="s">
        <v>3116</v>
      </c>
      <c r="C2150" s="8" t="n">
        <v>120</v>
      </c>
      <c r="D2150" s="9" t="str">
        <f aca="false">INDEX(Radicals!$B$2:$B$215,MATCH(C2150,Radicals!$A$2:$A$215,0))</f>
        <v>糸</v>
      </c>
      <c r="E2150" s="10" t="str">
        <f aca="false">INDEX(Radicals!$G$2:$G$215,MATCH(C2150,Radicals!$A$2:$A$215,0))</f>
        <v>thread, silk</v>
      </c>
      <c r="F2150" s="8" t="n">
        <f aca="false">INDEX(Radicals!$D$2:$D$215,MATCH(C2150,Radicals!$A$2:$A$215,0))</f>
        <v>6</v>
      </c>
      <c r="G2150" s="8" t="n">
        <v>14</v>
      </c>
    </row>
    <row r="2151" customFormat="false" ht="17.35" hidden="false" customHeight="false" outlineLevel="0" collapsed="false">
      <c r="A2151" s="8" t="n">
        <v>2150</v>
      </c>
      <c r="B2151" s="9" t="s">
        <v>3117</v>
      </c>
      <c r="C2151" s="8" t="n">
        <v>32</v>
      </c>
      <c r="D2151" s="9" t="str">
        <f aca="false">INDEX(Radicals!$B$2:$B$215,MATCH(C2151,Radicals!$A$2:$A$215,0))</f>
        <v>土</v>
      </c>
      <c r="E2151" s="10" t="str">
        <f aca="false">INDEX(Radicals!$G$2:$G$215,MATCH(C2151,Radicals!$A$2:$A$215,0))</f>
        <v>earth, soil</v>
      </c>
      <c r="F2151" s="8" t="n">
        <f aca="false">INDEX(Radicals!$D$2:$D$215,MATCH(C2151,Radicals!$A$2:$A$215,0))</f>
        <v>3</v>
      </c>
      <c r="G2151" s="8" t="n">
        <v>11</v>
      </c>
    </row>
    <row r="2152" customFormat="false" ht="17.35" hidden="false" customHeight="false" outlineLevel="0" collapsed="false">
      <c r="A2152" s="8" t="n">
        <v>2151</v>
      </c>
      <c r="B2152" s="9" t="s">
        <v>3118</v>
      </c>
      <c r="C2152" s="8" t="n">
        <v>173</v>
      </c>
      <c r="D2152" s="9" t="str">
        <f aca="false">INDEX(Radicals!$B$2:$B$215,MATCH(C2152,Radicals!$A$2:$A$215,0))</f>
        <v>雨</v>
      </c>
      <c r="E2152" s="10" t="str">
        <f aca="false">INDEX(Radicals!$G$2:$G$215,MATCH(C2152,Radicals!$A$2:$A$215,0))</f>
        <v>rain</v>
      </c>
      <c r="F2152" s="8" t="n">
        <f aca="false">INDEX(Radicals!$D$2:$D$215,MATCH(C2152,Radicals!$A$2:$A$215,0))</f>
        <v>8</v>
      </c>
      <c r="G2152" s="8" t="n">
        <v>17</v>
      </c>
    </row>
    <row r="2153" customFormat="false" ht="17.35" hidden="false" customHeight="false" outlineLevel="0" collapsed="false">
      <c r="A2153" s="8" t="n">
        <v>2152</v>
      </c>
      <c r="B2153" s="9" t="s">
        <v>3119</v>
      </c>
      <c r="C2153" s="8" t="n">
        <v>184</v>
      </c>
      <c r="D2153" s="9" t="str">
        <f aca="false">INDEX(Radicals!$B$2:$B$215,MATCH(C2153,Radicals!$A$2:$A$215,0))</f>
        <v>食</v>
      </c>
      <c r="E2153" s="10" t="str">
        <f aca="false">INDEX(Radicals!$G$2:$G$215,MATCH(C2153,Radicals!$A$2:$A$215,0))</f>
        <v>eat, food</v>
      </c>
      <c r="F2153" s="8" t="n">
        <f aca="false">INDEX(Radicals!$D$2:$D$215,MATCH(C2153,Radicals!$A$2:$A$215,0))</f>
        <v>9</v>
      </c>
      <c r="G2153" s="8" t="n">
        <v>14</v>
      </c>
    </row>
    <row r="2154" customFormat="false" ht="17.35" hidden="false" customHeight="false" outlineLevel="0" collapsed="false">
      <c r="A2154" s="8" t="n">
        <v>2153</v>
      </c>
      <c r="B2154" s="9" t="s">
        <v>3120</v>
      </c>
      <c r="C2154" s="8" t="n">
        <v>195</v>
      </c>
      <c r="D2154" s="9" t="str">
        <f aca="false">INDEX(Radicals!$B$2:$B$215,MATCH(C2154,Radicals!$A$2:$A$215,0))</f>
        <v>魚</v>
      </c>
      <c r="E2154" s="10" t="str">
        <f aca="false">INDEX(Radicals!$G$2:$G$215,MATCH(C2154,Radicals!$A$2:$A$215,0))</f>
        <v>fish</v>
      </c>
      <c r="F2154" s="8" t="n">
        <f aca="false">INDEX(Radicals!$D$2:$D$215,MATCH(C2154,Radicals!$A$2:$A$215,0))</f>
        <v>11</v>
      </c>
      <c r="G2154" s="8" t="n">
        <v>15</v>
      </c>
    </row>
    <row r="2155" customFormat="false" ht="17.35" hidden="false" customHeight="false" outlineLevel="0" collapsed="false">
      <c r="A2155" s="8" t="n">
        <v>2154</v>
      </c>
      <c r="B2155" s="9" t="s">
        <v>3121</v>
      </c>
      <c r="C2155" s="8" t="n">
        <v>112</v>
      </c>
      <c r="D2155" s="9" t="str">
        <f aca="false">INDEX(Radicals!$B$2:$B$215,MATCH(C2155,Radicals!$A$2:$A$215,0))</f>
        <v>石</v>
      </c>
      <c r="E2155" s="10" t="str">
        <f aca="false">INDEX(Radicals!$G$2:$G$215,MATCH(C2155,Radicals!$A$2:$A$215,0))</f>
        <v>stone</v>
      </c>
      <c r="F2155" s="8" t="n">
        <f aca="false">INDEX(Radicals!$D$2:$D$215,MATCH(C2155,Radicals!$A$2:$A$215,0))</f>
        <v>5</v>
      </c>
      <c r="G2155" s="8" t="n">
        <v>12</v>
      </c>
    </row>
    <row r="2156" customFormat="false" ht="17.35" hidden="false" customHeight="false" outlineLevel="0" collapsed="false">
      <c r="A2156" s="8" t="n">
        <v>2155</v>
      </c>
      <c r="B2156" s="9" t="s">
        <v>3122</v>
      </c>
      <c r="C2156" s="8" t="n">
        <v>93</v>
      </c>
      <c r="D2156" s="9" t="str">
        <f aca="false">INDEX(Radicals!$B$2:$B$215,MATCH(C2156,Radicals!$A$2:$A$215,0))</f>
        <v>牛</v>
      </c>
      <c r="E2156" s="10" t="str">
        <f aca="false">INDEX(Radicals!$G$2:$G$215,MATCH(C2156,Radicals!$A$2:$A$215,0))</f>
        <v>cow, ox</v>
      </c>
      <c r="F2156" s="8" t="n">
        <f aca="false">INDEX(Radicals!$D$2:$D$215,MATCH(C2156,Radicals!$A$2:$A$215,0))</f>
        <v>4</v>
      </c>
      <c r="G2156" s="8" t="n">
        <v>7</v>
      </c>
    </row>
    <row r="2157" customFormat="false" ht="17.35" hidden="false" customHeight="false" outlineLevel="0" collapsed="false">
      <c r="A2157" s="8" t="n">
        <v>2156</v>
      </c>
      <c r="B2157" s="9" t="s">
        <v>3123</v>
      </c>
      <c r="C2157" s="8" t="n">
        <v>118</v>
      </c>
      <c r="D2157" s="9" t="str">
        <f aca="false">INDEX(Radicals!$B$2:$B$215,MATCH(C2157,Radicals!$A$2:$A$215,0))</f>
        <v>竹</v>
      </c>
      <c r="E2157" s="10" t="str">
        <f aca="false">INDEX(Radicals!$G$2:$G$215,MATCH(C2157,Radicals!$A$2:$A$215,0))</f>
        <v>bamboo</v>
      </c>
      <c r="F2157" s="8" t="n">
        <f aca="false">INDEX(Radicals!$D$2:$D$215,MATCH(C2157,Radicals!$A$2:$A$215,0))</f>
        <v>6</v>
      </c>
      <c r="G2157" s="8" t="n">
        <v>15</v>
      </c>
    </row>
    <row r="2158" customFormat="false" ht="17.35" hidden="false" customHeight="false" outlineLevel="0" collapsed="false">
      <c r="A2158" s="8" t="n">
        <v>2157</v>
      </c>
      <c r="B2158" s="9" t="s">
        <v>3124</v>
      </c>
      <c r="C2158" s="8" t="n">
        <v>19</v>
      </c>
      <c r="D2158" s="9" t="str">
        <f aca="false">INDEX(Radicals!$B$2:$B$215,MATCH(C2158,Radicals!$A$2:$A$215,0))</f>
        <v>力</v>
      </c>
      <c r="E2158" s="10" t="str">
        <f aca="false">INDEX(Radicals!$G$2:$G$215,MATCH(C2158,Radicals!$A$2:$A$215,0))</f>
        <v>power, strength</v>
      </c>
      <c r="F2158" s="8" t="n">
        <f aca="false">INDEX(Radicals!$D$2:$D$215,MATCH(C2158,Radicals!$A$2:$A$215,0))</f>
        <v>2</v>
      </c>
      <c r="G2158" s="8" t="n">
        <v>9</v>
      </c>
    </row>
    <row r="2159" customFormat="false" ht="17.35" hidden="false" customHeight="false" outlineLevel="0" collapsed="false">
      <c r="A2159" s="8" t="n">
        <v>2158</v>
      </c>
      <c r="B2159" s="9" t="s">
        <v>3125</v>
      </c>
      <c r="C2159" s="8" t="n">
        <v>140</v>
      </c>
      <c r="D2159" s="9" t="str">
        <f aca="false">INDEX(Radicals!$B$2:$B$215,MATCH(C2159,Radicals!$A$2:$A$215,0))</f>
        <v>艸</v>
      </c>
      <c r="E2159" s="10" t="str">
        <f aca="false">INDEX(Radicals!$G$2:$G$215,MATCH(C2159,Radicals!$A$2:$A$215,0))</f>
        <v>grass, plant</v>
      </c>
      <c r="F2159" s="8" t="n">
        <f aca="false">INDEX(Radicals!$D$2:$D$215,MATCH(C2159,Radicals!$A$2:$A$215,0))</f>
        <v>6</v>
      </c>
      <c r="G2159" s="8" t="n">
        <v>7</v>
      </c>
    </row>
    <row r="2160" customFormat="false" ht="17.35" hidden="false" customHeight="false" outlineLevel="0" collapsed="false">
      <c r="A2160" s="8" t="n">
        <v>2159</v>
      </c>
      <c r="B2160" s="9" t="s">
        <v>3126</v>
      </c>
      <c r="C2160" s="8" t="n">
        <v>75</v>
      </c>
      <c r="D2160" s="9" t="str">
        <f aca="false">INDEX(Radicals!$B$2:$B$215,MATCH(C2160,Radicals!$A$2:$A$215,0))</f>
        <v>木</v>
      </c>
      <c r="E2160" s="10" t="str">
        <f aca="false">INDEX(Radicals!$G$2:$G$215,MATCH(C2160,Radicals!$A$2:$A$215,0))</f>
        <v>tree, wood</v>
      </c>
      <c r="F2160" s="8" t="n">
        <f aca="false">INDEX(Radicals!$D$2:$D$215,MATCH(C2160,Radicals!$A$2:$A$215,0))</f>
        <v>4</v>
      </c>
      <c r="G2160" s="8" t="n">
        <v>7</v>
      </c>
    </row>
    <row r="2161" customFormat="false" ht="17.35" hidden="false" customHeight="false" outlineLevel="0" collapsed="false">
      <c r="A2161" s="8" t="n">
        <v>2160</v>
      </c>
      <c r="B2161" s="9" t="s">
        <v>3127</v>
      </c>
      <c r="C2161" s="8" t="n">
        <v>162</v>
      </c>
      <c r="D2161" s="9" t="str">
        <f aca="false">INDEX(Radicals!$B$2:$B$215,MATCH(C2161,Radicals!$A$2:$A$215,0))</f>
        <v>辵</v>
      </c>
      <c r="E2161" s="10" t="str">
        <f aca="false">INDEX(Radicals!$G$2:$G$215,MATCH(C2161,Radicals!$A$2:$A$215,0))</f>
        <v>walk, movement</v>
      </c>
      <c r="F2161" s="8" t="n">
        <f aca="false">INDEX(Radicals!$D$2:$D$215,MATCH(C2161,Radicals!$A$2:$A$215,0))</f>
        <v>7</v>
      </c>
      <c r="G2161" s="8" t="n">
        <v>8</v>
      </c>
    </row>
    <row r="2162" customFormat="false" ht="17.35" hidden="false" customHeight="false" outlineLevel="0" collapsed="false">
      <c r="A2162" s="8" t="n">
        <v>2161</v>
      </c>
      <c r="B2162" s="9" t="s">
        <v>3128</v>
      </c>
      <c r="C2162" s="8" t="n">
        <v>75</v>
      </c>
      <c r="D2162" s="9" t="str">
        <f aca="false">INDEX(Radicals!$B$2:$B$215,MATCH(C2162,Radicals!$A$2:$A$215,0))</f>
        <v>木</v>
      </c>
      <c r="E2162" s="10" t="str">
        <f aca="false">INDEX(Radicals!$G$2:$G$215,MATCH(C2162,Radicals!$A$2:$A$215,0))</f>
        <v>tree, wood</v>
      </c>
      <c r="F2162" s="8" t="n">
        <f aca="false">INDEX(Radicals!$D$2:$D$215,MATCH(C2162,Radicals!$A$2:$A$215,0))</f>
        <v>4</v>
      </c>
      <c r="G2162" s="8" t="n">
        <v>12</v>
      </c>
    </row>
    <row r="2163" customFormat="false" ht="17.35" hidden="false" customHeight="false" outlineLevel="0" collapsed="false">
      <c r="A2163" s="8" t="n">
        <v>2162</v>
      </c>
      <c r="B2163" s="9" t="s">
        <v>3129</v>
      </c>
      <c r="C2163" s="8" t="n">
        <v>9</v>
      </c>
      <c r="D2163" s="9" t="str">
        <f aca="false">INDEX(Radicals!$B$2:$B$215,MATCH(C2163,Radicals!$A$2:$A$215,0))</f>
        <v>人</v>
      </c>
      <c r="E2163" s="10" t="str">
        <f aca="false">INDEX(Radicals!$G$2:$G$215,MATCH(C2163,Radicals!$A$2:$A$215,0))</f>
        <v>person</v>
      </c>
      <c r="F2163" s="8" t="n">
        <f aca="false">INDEX(Radicals!$D$2:$D$215,MATCH(C2163,Radicals!$A$2:$A$215,0))</f>
        <v>2</v>
      </c>
      <c r="G2163" s="8" t="n">
        <v>16</v>
      </c>
    </row>
    <row r="2164" customFormat="false" ht="17.35" hidden="false" customHeight="false" outlineLevel="0" collapsed="false">
      <c r="A2164" s="8" t="n">
        <v>2163</v>
      </c>
      <c r="B2164" s="9" t="s">
        <v>3130</v>
      </c>
      <c r="C2164" s="8" t="n">
        <v>196</v>
      </c>
      <c r="D2164" s="9" t="str">
        <f aca="false">INDEX(Radicals!$B$2:$B$215,MATCH(C2164,Radicals!$A$2:$A$215,0))</f>
        <v>鳥</v>
      </c>
      <c r="E2164" s="10" t="str">
        <f aca="false">INDEX(Radicals!$G$2:$G$215,MATCH(C2164,Radicals!$A$2:$A$215,0))</f>
        <v>bird</v>
      </c>
      <c r="F2164" s="8" t="n">
        <f aca="false">INDEX(Radicals!$D$2:$D$215,MATCH(C2164,Radicals!$A$2:$A$215,0))</f>
        <v>11</v>
      </c>
      <c r="G2164" s="8" t="n">
        <v>14</v>
      </c>
    </row>
    <row r="2165" customFormat="false" ht="17.35" hidden="false" customHeight="false" outlineLevel="0" collapsed="false">
      <c r="A2165" s="8" t="n">
        <v>2164</v>
      </c>
      <c r="B2165" s="9" t="s">
        <v>3131</v>
      </c>
      <c r="C2165" s="8" t="n">
        <v>186</v>
      </c>
      <c r="D2165" s="9" t="str">
        <f aca="false">INDEX(Radicals!$B$2:$B$215,MATCH(C2165,Radicals!$A$2:$A$215,0))</f>
        <v>香</v>
      </c>
      <c r="E2165" s="10" t="str">
        <f aca="false">INDEX(Radicals!$G$2:$G$215,MATCH(C2165,Radicals!$A$2:$A$215,0))</f>
        <v>fragrance, incense</v>
      </c>
      <c r="F2165" s="8" t="n">
        <f aca="false">INDEX(Radicals!$D$2:$D$215,MATCH(C2165,Radicals!$A$2:$A$215,0))</f>
        <v>9</v>
      </c>
      <c r="G2165" s="8" t="n">
        <v>20</v>
      </c>
    </row>
    <row r="2166" customFormat="false" ht="17.35" hidden="false" customHeight="false" outlineLevel="0" collapsed="false">
      <c r="A2166" s="8" t="n">
        <v>2165</v>
      </c>
      <c r="B2166" s="9" t="s">
        <v>3132</v>
      </c>
      <c r="C2166" s="8" t="n">
        <v>67</v>
      </c>
      <c r="D2166" s="9" t="str">
        <f aca="false">INDEX(Radicals!$B$2:$B$215,MATCH(C2166,Radicals!$A$2:$A$215,0))</f>
        <v>文</v>
      </c>
      <c r="E2166" s="10" t="str">
        <f aca="false">INDEX(Radicals!$G$2:$G$215,MATCH(C2166,Radicals!$A$2:$A$215,0))</f>
        <v>script, literature</v>
      </c>
      <c r="F2166" s="8" t="n">
        <f aca="false">INDEX(Radicals!$D$2:$D$215,MATCH(C2166,Radicals!$A$2:$A$215,0))</f>
        <v>4</v>
      </c>
      <c r="G2166" s="8" t="n">
        <v>12</v>
      </c>
    </row>
    <row r="2167" customFormat="false" ht="17.35" hidden="false" customHeight="false" outlineLevel="0" collapsed="false">
      <c r="A2167" s="8" t="n">
        <v>2166</v>
      </c>
      <c r="B2167" s="9" t="s">
        <v>3133</v>
      </c>
      <c r="C2167" s="8" t="n">
        <v>140</v>
      </c>
      <c r="D2167" s="9" t="str">
        <f aca="false">INDEX(Radicals!$B$2:$B$215,MATCH(C2167,Radicals!$A$2:$A$215,0))</f>
        <v>艸</v>
      </c>
      <c r="E2167" s="10" t="str">
        <f aca="false">INDEX(Radicals!$G$2:$G$215,MATCH(C2167,Radicals!$A$2:$A$215,0))</f>
        <v>grass, plant</v>
      </c>
      <c r="F2167" s="8" t="n">
        <f aca="false">INDEX(Radicals!$D$2:$D$215,MATCH(C2167,Radicals!$A$2:$A$215,0))</f>
        <v>6</v>
      </c>
      <c r="G2167" s="8" t="n">
        <v>14</v>
      </c>
    </row>
    <row r="2168" customFormat="false" ht="17.35" hidden="false" customHeight="false" outlineLevel="0" collapsed="false">
      <c r="A2168" s="8" t="n">
        <v>2167</v>
      </c>
      <c r="B2168" s="9" t="s">
        <v>3134</v>
      </c>
      <c r="C2168" s="8" t="n">
        <v>86</v>
      </c>
      <c r="D2168" s="9" t="str">
        <f aca="false">INDEX(Radicals!$B$2:$B$215,MATCH(C2168,Radicals!$A$2:$A$215,0))</f>
        <v>火</v>
      </c>
      <c r="E2168" s="10" t="str">
        <f aca="false">INDEX(Radicals!$G$2:$G$215,MATCH(C2168,Radicals!$A$2:$A$215,0))</f>
        <v>fire</v>
      </c>
      <c r="F2168" s="8" t="n">
        <f aca="false">INDEX(Radicals!$D$2:$D$215,MATCH(C2168,Radicals!$A$2:$A$215,0))</f>
        <v>4</v>
      </c>
      <c r="G2168" s="8" t="n">
        <v>11</v>
      </c>
    </row>
    <row r="2169" customFormat="false" ht="17.35" hidden="false" customHeight="false" outlineLevel="0" collapsed="false">
      <c r="A2169" s="8" t="n">
        <v>2168</v>
      </c>
      <c r="B2169" s="9" t="s">
        <v>3135</v>
      </c>
      <c r="C2169" s="8" t="n">
        <v>61</v>
      </c>
      <c r="D2169" s="9" t="str">
        <f aca="false">INDEX(Radicals!$B$2:$B$215,MATCH(C2169,Radicals!$A$2:$A$215,0))</f>
        <v>心</v>
      </c>
      <c r="E2169" s="10" t="str">
        <f aca="false">INDEX(Radicals!$G$2:$G$215,MATCH(C2169,Radicals!$A$2:$A$215,0))</f>
        <v>heart, mind</v>
      </c>
      <c r="F2169" s="8" t="n">
        <f aca="false">INDEX(Radicals!$D$2:$D$215,MATCH(C2169,Radicals!$A$2:$A$215,0))</f>
        <v>4</v>
      </c>
      <c r="G2169" s="8" t="n">
        <v>15</v>
      </c>
    </row>
    <row r="2170" customFormat="false" ht="17.35" hidden="false" customHeight="false" outlineLevel="0" collapsed="false">
      <c r="A2170" s="8" t="n">
        <v>2169</v>
      </c>
      <c r="B2170" s="9" t="s">
        <v>3136</v>
      </c>
      <c r="C2170" s="8" t="n">
        <v>113</v>
      </c>
      <c r="D2170" s="9" t="str">
        <f aca="false">INDEX(Radicals!$B$2:$B$215,MATCH(C2170,Radicals!$A$2:$A$215,0))</f>
        <v>示</v>
      </c>
      <c r="E2170" s="10" t="str">
        <f aca="false">INDEX(Radicals!$G$2:$G$215,MATCH(C2170,Radicals!$A$2:$A$215,0))</f>
        <v>spirit, altar, show</v>
      </c>
      <c r="F2170" s="8" t="n">
        <f aca="false">INDEX(Radicals!$D$2:$D$215,MATCH(C2170,Radicals!$A$2:$A$215,0))</f>
        <v>5</v>
      </c>
      <c r="G2170" s="8" t="n">
        <v>8</v>
      </c>
    </row>
    <row r="2171" customFormat="false" ht="17.35" hidden="false" customHeight="false" outlineLevel="0" collapsed="false">
      <c r="A2171" s="8" t="n">
        <v>2170</v>
      </c>
      <c r="B2171" s="9" t="s">
        <v>3137</v>
      </c>
      <c r="C2171" s="8" t="n">
        <v>64</v>
      </c>
      <c r="D2171" s="9" t="str">
        <f aca="false">INDEX(Radicals!$B$2:$B$215,MATCH(C2171,Radicals!$A$2:$A$215,0))</f>
        <v>手</v>
      </c>
      <c r="E2171" s="10" t="str">
        <f aca="false">INDEX(Radicals!$G$2:$G$215,MATCH(C2171,Radicals!$A$2:$A$215,0))</f>
        <v>hand</v>
      </c>
      <c r="F2171" s="8" t="n">
        <f aca="false">INDEX(Radicals!$D$2:$D$215,MATCH(C2171,Radicals!$A$2:$A$215,0))</f>
        <v>4</v>
      </c>
      <c r="G2171" s="8" t="n">
        <v>15</v>
      </c>
    </row>
    <row r="2172" customFormat="false" ht="17.35" hidden="false" customHeight="false" outlineLevel="0" collapsed="false">
      <c r="A2172" s="8" t="n">
        <v>2171</v>
      </c>
      <c r="B2172" s="9" t="s">
        <v>3138</v>
      </c>
      <c r="C2172" s="8" t="n">
        <v>61</v>
      </c>
      <c r="D2172" s="9" t="str">
        <f aca="false">INDEX(Radicals!$B$2:$B$215,MATCH(C2172,Radicals!$A$2:$A$215,0))</f>
        <v>心</v>
      </c>
      <c r="E2172" s="10" t="str">
        <f aca="false">INDEX(Radicals!$G$2:$G$215,MATCH(C2172,Radicals!$A$2:$A$215,0))</f>
        <v>heart, mind</v>
      </c>
      <c r="F2172" s="8" t="n">
        <f aca="false">INDEX(Radicals!$D$2:$D$215,MATCH(C2172,Radicals!$A$2:$A$215,0))</f>
        <v>4</v>
      </c>
      <c r="G2172" s="8" t="n">
        <v>13</v>
      </c>
    </row>
    <row r="2173" customFormat="false" ht="17.35" hidden="false" customHeight="false" outlineLevel="0" collapsed="false">
      <c r="A2173" s="8" t="n">
        <v>2172</v>
      </c>
      <c r="B2173" s="9" t="s">
        <v>3139</v>
      </c>
      <c r="C2173" s="8" t="n">
        <v>196</v>
      </c>
      <c r="D2173" s="9" t="str">
        <f aca="false">INDEX(Radicals!$B$2:$B$215,MATCH(C2173,Radicals!$A$2:$A$215,0))</f>
        <v>鳥</v>
      </c>
      <c r="E2173" s="10" t="str">
        <f aca="false">INDEX(Radicals!$G$2:$G$215,MATCH(C2173,Radicals!$A$2:$A$215,0))</f>
        <v>bird</v>
      </c>
      <c r="F2173" s="8" t="n">
        <f aca="false">INDEX(Radicals!$D$2:$D$215,MATCH(C2173,Radicals!$A$2:$A$215,0))</f>
        <v>11</v>
      </c>
      <c r="G2173" s="8" t="n">
        <v>24</v>
      </c>
    </row>
    <row r="2174" customFormat="false" ht="17.35" hidden="false" customHeight="false" outlineLevel="0" collapsed="false">
      <c r="A2174" s="8" t="n">
        <v>2173</v>
      </c>
      <c r="B2174" s="9" t="s">
        <v>3140</v>
      </c>
      <c r="C2174" s="8" t="n">
        <v>75</v>
      </c>
      <c r="D2174" s="9" t="str">
        <f aca="false">INDEX(Radicals!$B$2:$B$215,MATCH(C2174,Radicals!$A$2:$A$215,0))</f>
        <v>木</v>
      </c>
      <c r="E2174" s="10" t="str">
        <f aca="false">INDEX(Radicals!$G$2:$G$215,MATCH(C2174,Radicals!$A$2:$A$215,0))</f>
        <v>tree, wood</v>
      </c>
      <c r="F2174" s="8" t="n">
        <f aca="false">INDEX(Radicals!$D$2:$D$215,MATCH(C2174,Radicals!$A$2:$A$215,0))</f>
        <v>4</v>
      </c>
      <c r="G2174" s="8" t="n">
        <v>13</v>
      </c>
    </row>
    <row r="2175" customFormat="false" ht="17.35" hidden="false" customHeight="false" outlineLevel="0" collapsed="false">
      <c r="A2175" s="8" t="n">
        <v>2174</v>
      </c>
      <c r="B2175" s="9" t="s">
        <v>3141</v>
      </c>
      <c r="C2175" s="8" t="n">
        <v>59</v>
      </c>
      <c r="D2175" s="9" t="str">
        <f aca="false">INDEX(Radicals!$B$2:$B$215,MATCH(C2175,Radicals!$A$2:$A$215,0))</f>
        <v>彡</v>
      </c>
      <c r="E2175" s="10" t="str">
        <f aca="false">INDEX(Radicals!$G$2:$G$215,MATCH(C2175,Radicals!$A$2:$A$215,0))</f>
        <v>bristle, hair, shadow</v>
      </c>
      <c r="F2175" s="8" t="n">
        <f aca="false">INDEX(Radicals!$D$2:$D$215,MATCH(C2175,Radicals!$A$2:$A$215,0))</f>
        <v>3</v>
      </c>
      <c r="G2175" s="8" t="n">
        <v>11</v>
      </c>
    </row>
    <row r="2176" customFormat="false" ht="17.35" hidden="false" customHeight="false" outlineLevel="0" collapsed="false">
      <c r="A2176" s="8" t="n">
        <v>2175</v>
      </c>
      <c r="B2176" s="9" t="s">
        <v>3142</v>
      </c>
      <c r="C2176" s="8" t="n">
        <v>145</v>
      </c>
      <c r="D2176" s="9" t="str">
        <f aca="false">INDEX(Radicals!$B$2:$B$215,MATCH(C2176,Radicals!$A$2:$A$215,0))</f>
        <v>衣</v>
      </c>
      <c r="E2176" s="10" t="str">
        <f aca="false">INDEX(Radicals!$G$2:$G$215,MATCH(C2176,Radicals!$A$2:$A$215,0))</f>
        <v>clothes</v>
      </c>
      <c r="F2176" s="8" t="n">
        <f aca="false">INDEX(Radicals!$D$2:$D$215,MATCH(C2176,Radicals!$A$2:$A$215,0))</f>
        <v>6</v>
      </c>
      <c r="G2176" s="8" t="n">
        <v>11</v>
      </c>
    </row>
    <row r="2177" customFormat="false" ht="17.35" hidden="false" customHeight="false" outlineLevel="0" collapsed="false">
      <c r="A2177" s="8" t="n">
        <v>2176</v>
      </c>
      <c r="B2177" s="9" t="s">
        <v>3143</v>
      </c>
      <c r="C2177" s="8" t="n">
        <v>22</v>
      </c>
      <c r="D2177" s="9" t="str">
        <f aca="false">INDEX(Radicals!$B$2:$B$215,MATCH(C2177,Radicals!$A$2:$A$215,0))</f>
        <v>匚</v>
      </c>
      <c r="E2177" s="10" t="str">
        <f aca="false">INDEX(Radicals!$G$2:$G$215,MATCH(C2177,Radicals!$A$2:$A$215,0))</f>
        <v>box (open right)</v>
      </c>
      <c r="F2177" s="8" t="n">
        <f aca="false">INDEX(Radicals!$D$2:$D$215,MATCH(C2177,Radicals!$A$2:$A$215,0))</f>
        <v>2</v>
      </c>
      <c r="G2177" s="8" t="n">
        <v>6</v>
      </c>
    </row>
    <row r="2178" customFormat="false" ht="17.35" hidden="false" customHeight="false" outlineLevel="0" collapsed="false">
      <c r="A2178" s="8" t="n">
        <v>2177</v>
      </c>
      <c r="B2178" s="9" t="s">
        <v>3144</v>
      </c>
      <c r="C2178" s="8" t="n">
        <v>109</v>
      </c>
      <c r="D2178" s="9" t="str">
        <f aca="false">INDEX(Radicals!$B$2:$B$215,MATCH(C2178,Radicals!$A$2:$A$215,0))</f>
        <v>目</v>
      </c>
      <c r="E2178" s="10" t="str">
        <f aca="false">INDEX(Radicals!$G$2:$G$215,MATCH(C2178,Radicals!$A$2:$A$215,0))</f>
        <v>eye</v>
      </c>
      <c r="F2178" s="8" t="n">
        <f aca="false">INDEX(Radicals!$D$2:$D$215,MATCH(C2178,Radicals!$A$2:$A$215,0))</f>
        <v>5</v>
      </c>
      <c r="G2178" s="8" t="n">
        <v>9</v>
      </c>
    </row>
    <row r="2179" customFormat="false" ht="17.35" hidden="false" customHeight="false" outlineLevel="0" collapsed="false">
      <c r="A2179" s="8" t="n">
        <v>2178</v>
      </c>
      <c r="B2179" s="9" t="s">
        <v>3145</v>
      </c>
      <c r="C2179" s="8" t="n">
        <v>140</v>
      </c>
      <c r="D2179" s="9" t="str">
        <f aca="false">INDEX(Radicals!$B$2:$B$215,MATCH(C2179,Radicals!$A$2:$A$215,0))</f>
        <v>艸</v>
      </c>
      <c r="E2179" s="10" t="str">
        <f aca="false">INDEX(Radicals!$G$2:$G$215,MATCH(C2179,Radicals!$A$2:$A$215,0))</f>
        <v>grass, plant</v>
      </c>
      <c r="F2179" s="8" t="n">
        <f aca="false">INDEX(Radicals!$D$2:$D$215,MATCH(C2179,Radicals!$A$2:$A$215,0))</f>
        <v>6</v>
      </c>
      <c r="G2179" s="8" t="n">
        <v>7</v>
      </c>
    </row>
    <row r="2180" customFormat="false" ht="17.35" hidden="false" customHeight="false" outlineLevel="0" collapsed="false">
      <c r="A2180" s="8" t="n">
        <v>2179</v>
      </c>
      <c r="B2180" s="9" t="s">
        <v>3146</v>
      </c>
      <c r="C2180" s="8" t="n">
        <v>149</v>
      </c>
      <c r="D2180" s="9" t="str">
        <f aca="false">INDEX(Radicals!$B$2:$B$215,MATCH(C2180,Radicals!$A$2:$A$215,0))</f>
        <v>言</v>
      </c>
      <c r="E2180" s="10" t="str">
        <f aca="false">INDEX(Radicals!$G$2:$G$215,MATCH(C2180,Radicals!$A$2:$A$215,0))</f>
        <v>speech, say</v>
      </c>
      <c r="F2180" s="8" t="n">
        <f aca="false">INDEX(Radicals!$D$2:$D$215,MATCH(C2180,Radicals!$A$2:$A$215,0))</f>
        <v>7</v>
      </c>
      <c r="G2180" s="8" t="n">
        <v>22</v>
      </c>
    </row>
    <row r="2181" customFormat="false" ht="17.35" hidden="false" customHeight="false" outlineLevel="0" collapsed="false">
      <c r="A2181" s="8" t="n">
        <v>2180</v>
      </c>
      <c r="B2181" s="9" t="s">
        <v>3147</v>
      </c>
      <c r="C2181" s="8" t="n">
        <v>44</v>
      </c>
      <c r="D2181" s="9" t="str">
        <f aca="false">INDEX(Radicals!$B$2:$B$215,MATCH(C2181,Radicals!$A$2:$A$215,0))</f>
        <v>尸</v>
      </c>
      <c r="E2181" s="10" t="str">
        <f aca="false">INDEX(Radicals!$G$2:$G$215,MATCH(C2181,Radicals!$A$2:$A$215,0))</f>
        <v>corpse, body</v>
      </c>
      <c r="F2181" s="8" t="n">
        <f aca="false">INDEX(Radicals!$D$2:$D$215,MATCH(C2181,Radicals!$A$2:$A$215,0))</f>
        <v>3</v>
      </c>
      <c r="G2181" s="8" t="n">
        <v>4</v>
      </c>
    </row>
    <row r="2182" customFormat="false" ht="17.35" hidden="false" customHeight="false" outlineLevel="0" collapsed="false">
      <c r="A2182" s="8" t="n">
        <v>2181</v>
      </c>
      <c r="B2182" s="9" t="s">
        <v>3148</v>
      </c>
      <c r="C2182" s="8" t="n">
        <v>76</v>
      </c>
      <c r="D2182" s="9" t="str">
        <f aca="false">INDEX(Radicals!$B$2:$B$215,MATCH(C2182,Radicals!$A$2:$A$215,0))</f>
        <v>欠</v>
      </c>
      <c r="E2182" s="10" t="str">
        <f aca="false">INDEX(Radicals!$G$2:$G$215,MATCH(C2182,Radicals!$A$2:$A$215,0))</f>
        <v>lack, yawn</v>
      </c>
      <c r="F2182" s="8" t="n">
        <f aca="false">INDEX(Radicals!$D$2:$D$215,MATCH(C2182,Radicals!$A$2:$A$215,0))</f>
        <v>4</v>
      </c>
      <c r="G2182" s="8" t="n">
        <v>12</v>
      </c>
    </row>
    <row r="2183" customFormat="false" ht="17.35" hidden="false" customHeight="false" outlineLevel="0" collapsed="false">
      <c r="A2183" s="8" t="n">
        <v>2182</v>
      </c>
      <c r="B2183" s="9" t="s">
        <v>3149</v>
      </c>
      <c r="C2183" s="8" t="n">
        <v>140</v>
      </c>
      <c r="D2183" s="9" t="str">
        <f aca="false">INDEX(Radicals!$B$2:$B$215,MATCH(C2183,Radicals!$A$2:$A$215,0))</f>
        <v>艸</v>
      </c>
      <c r="E2183" s="10" t="str">
        <f aca="false">INDEX(Radicals!$G$2:$G$215,MATCH(C2183,Radicals!$A$2:$A$215,0))</f>
        <v>grass, plant</v>
      </c>
      <c r="F2183" s="8" t="n">
        <f aca="false">INDEX(Radicals!$D$2:$D$215,MATCH(C2183,Radicals!$A$2:$A$215,0))</f>
        <v>6</v>
      </c>
      <c r="G2183" s="8" t="n">
        <v>16</v>
      </c>
    </row>
    <row r="2184" customFormat="false" ht="17.35" hidden="false" customHeight="false" outlineLevel="0" collapsed="false">
      <c r="A2184" s="8" t="n">
        <v>2183</v>
      </c>
      <c r="B2184" s="9" t="s">
        <v>3150</v>
      </c>
      <c r="C2184" s="8" t="n">
        <v>85</v>
      </c>
      <c r="D2184" s="9" t="str">
        <f aca="false">INDEX(Radicals!$B$2:$B$215,MATCH(C2184,Radicals!$A$2:$A$215,0))</f>
        <v>水</v>
      </c>
      <c r="E2184" s="10" t="str">
        <f aca="false">INDEX(Radicals!$G$2:$G$215,MATCH(C2184,Radicals!$A$2:$A$215,0))</f>
        <v>water</v>
      </c>
      <c r="F2184" s="8" t="n">
        <f aca="false">INDEX(Radicals!$D$2:$D$215,MATCH(C2184,Radicals!$A$2:$A$215,0))</f>
        <v>4</v>
      </c>
      <c r="G2184" s="8" t="n">
        <v>12</v>
      </c>
    </row>
    <row r="2185" customFormat="false" ht="17.35" hidden="false" customHeight="false" outlineLevel="0" collapsed="false">
      <c r="A2185" s="8" t="n">
        <v>2184</v>
      </c>
      <c r="B2185" s="9" t="s">
        <v>3151</v>
      </c>
      <c r="C2185" s="8" t="n">
        <v>32</v>
      </c>
      <c r="D2185" s="9" t="str">
        <f aca="false">INDEX(Radicals!$B$2:$B$215,MATCH(C2185,Radicals!$A$2:$A$215,0))</f>
        <v>土</v>
      </c>
      <c r="E2185" s="10" t="str">
        <f aca="false">INDEX(Radicals!$G$2:$G$215,MATCH(C2185,Radicals!$A$2:$A$215,0))</f>
        <v>earth, soil</v>
      </c>
      <c r="F2185" s="8" t="n">
        <f aca="false">INDEX(Radicals!$D$2:$D$215,MATCH(C2185,Radicals!$A$2:$A$215,0))</f>
        <v>3</v>
      </c>
      <c r="G2185" s="8" t="n">
        <v>11</v>
      </c>
    </row>
    <row r="2186" customFormat="false" ht="17.35" hidden="false" customHeight="false" outlineLevel="0" collapsed="false">
      <c r="A2186" s="8" t="n">
        <v>2185</v>
      </c>
      <c r="B2186" s="9" t="s">
        <v>3152</v>
      </c>
      <c r="C2186" s="8" t="n">
        <v>94</v>
      </c>
      <c r="D2186" s="9" t="str">
        <f aca="false">INDEX(Radicals!$B$2:$B$215,MATCH(C2186,Radicals!$A$2:$A$215,0))</f>
        <v>犬</v>
      </c>
      <c r="E2186" s="10" t="str">
        <f aca="false">INDEX(Radicals!$G$2:$G$215,MATCH(C2186,Radicals!$A$2:$A$215,0))</f>
        <v>dog</v>
      </c>
      <c r="F2186" s="8" t="n">
        <f aca="false">INDEX(Radicals!$D$2:$D$215,MATCH(C2186,Radicals!$A$2:$A$215,0))</f>
        <v>4</v>
      </c>
      <c r="G2186" s="8" t="n">
        <v>9</v>
      </c>
    </row>
    <row r="2187" customFormat="false" ht="17.35" hidden="false" customHeight="false" outlineLevel="0" collapsed="false">
      <c r="A2187" s="8" t="n">
        <v>2186</v>
      </c>
      <c r="B2187" s="9" t="s">
        <v>3153</v>
      </c>
      <c r="C2187" s="8" t="n">
        <v>145</v>
      </c>
      <c r="D2187" s="9" t="str">
        <f aca="false">INDEX(Radicals!$B$2:$B$215,MATCH(C2187,Radicals!$A$2:$A$215,0))</f>
        <v>衣</v>
      </c>
      <c r="E2187" s="10" t="str">
        <f aca="false">INDEX(Radicals!$G$2:$G$215,MATCH(C2187,Radicals!$A$2:$A$215,0))</f>
        <v>clothes</v>
      </c>
      <c r="F2187" s="8" t="n">
        <f aca="false">INDEX(Radicals!$D$2:$D$215,MATCH(C2187,Radicals!$A$2:$A$215,0))</f>
        <v>6</v>
      </c>
      <c r="G2187" s="8" t="n">
        <v>13</v>
      </c>
    </row>
    <row r="2188" customFormat="false" ht="17.35" hidden="false" customHeight="false" outlineLevel="0" collapsed="false">
      <c r="A2188" s="8" t="n">
        <v>2187</v>
      </c>
      <c r="B2188" s="9" t="s">
        <v>3154</v>
      </c>
      <c r="C2188" s="8" t="n">
        <v>196</v>
      </c>
      <c r="D2188" s="9" t="str">
        <f aca="false">INDEX(Radicals!$B$2:$B$215,MATCH(C2188,Radicals!$A$2:$A$215,0))</f>
        <v>鳥</v>
      </c>
      <c r="E2188" s="10" t="str">
        <f aca="false">INDEX(Radicals!$G$2:$G$215,MATCH(C2188,Radicals!$A$2:$A$215,0))</f>
        <v>bird</v>
      </c>
      <c r="F2188" s="8" t="n">
        <f aca="false">INDEX(Radicals!$D$2:$D$215,MATCH(C2188,Radicals!$A$2:$A$215,0))</f>
        <v>11</v>
      </c>
      <c r="G2188" s="8" t="n">
        <v>15</v>
      </c>
    </row>
    <row r="2189" customFormat="false" ht="17.35" hidden="false" customHeight="false" outlineLevel="0" collapsed="false">
      <c r="A2189" s="8" t="n">
        <v>2188</v>
      </c>
      <c r="B2189" s="9" t="s">
        <v>3155</v>
      </c>
      <c r="C2189" s="8" t="n">
        <v>85</v>
      </c>
      <c r="D2189" s="9" t="str">
        <f aca="false">INDEX(Radicals!$B$2:$B$215,MATCH(C2189,Radicals!$A$2:$A$215,0))</f>
        <v>水</v>
      </c>
      <c r="E2189" s="10" t="str">
        <f aca="false">INDEX(Radicals!$G$2:$G$215,MATCH(C2189,Radicals!$A$2:$A$215,0))</f>
        <v>water</v>
      </c>
      <c r="F2189" s="8" t="n">
        <f aca="false">INDEX(Radicals!$D$2:$D$215,MATCH(C2189,Radicals!$A$2:$A$215,0))</f>
        <v>4</v>
      </c>
      <c r="G2189" s="8" t="n">
        <v>18</v>
      </c>
    </row>
    <row r="2190" customFormat="false" ht="17.35" hidden="false" customHeight="false" outlineLevel="0" collapsed="false">
      <c r="A2190" s="8" t="n">
        <v>2189</v>
      </c>
      <c r="B2190" s="9" t="s">
        <v>3156</v>
      </c>
      <c r="C2190" s="8" t="n">
        <v>64</v>
      </c>
      <c r="D2190" s="9" t="str">
        <f aca="false">INDEX(Radicals!$B$2:$B$215,MATCH(C2190,Radicals!$A$2:$A$215,0))</f>
        <v>手</v>
      </c>
      <c r="E2190" s="10" t="str">
        <f aca="false">INDEX(Radicals!$G$2:$G$215,MATCH(C2190,Radicals!$A$2:$A$215,0))</f>
        <v>hand</v>
      </c>
      <c r="F2190" s="8" t="n">
        <f aca="false">INDEX(Radicals!$D$2:$D$215,MATCH(C2190,Radicals!$A$2:$A$215,0))</f>
        <v>4</v>
      </c>
      <c r="G2190" s="8" t="n">
        <v>10</v>
      </c>
    </row>
    <row r="2191" customFormat="false" ht="17.35" hidden="false" customHeight="false" outlineLevel="0" collapsed="false">
      <c r="A2191" s="8" t="n">
        <v>2190</v>
      </c>
      <c r="B2191" s="9" t="s">
        <v>3157</v>
      </c>
      <c r="C2191" s="8" t="n">
        <v>154</v>
      </c>
      <c r="D2191" s="9" t="str">
        <f aca="false">INDEX(Radicals!$B$2:$B$215,MATCH(C2191,Radicals!$A$2:$A$215,0))</f>
        <v>貝</v>
      </c>
      <c r="E2191" s="10" t="str">
        <f aca="false">INDEX(Radicals!$G$2:$G$215,MATCH(C2191,Radicals!$A$2:$A$215,0))</f>
        <v>shell, money</v>
      </c>
      <c r="F2191" s="8" t="n">
        <f aca="false">INDEX(Radicals!$D$2:$D$215,MATCH(C2191,Radicals!$A$2:$A$215,0))</f>
        <v>7</v>
      </c>
      <c r="G2191" s="8" t="n">
        <v>15</v>
      </c>
    </row>
    <row r="2192" customFormat="false" ht="17.35" hidden="false" customHeight="false" outlineLevel="0" collapsed="false">
      <c r="A2192" s="8" t="n">
        <v>2191</v>
      </c>
      <c r="B2192" s="9" t="s">
        <v>3158</v>
      </c>
      <c r="C2192" s="8" t="n">
        <v>46</v>
      </c>
      <c r="D2192" s="9" t="str">
        <f aca="false">INDEX(Radicals!$B$2:$B$215,MATCH(C2192,Radicals!$A$2:$A$215,0))</f>
        <v>山</v>
      </c>
      <c r="E2192" s="10" t="str">
        <f aca="false">INDEX(Radicals!$G$2:$G$215,MATCH(C2192,Radicals!$A$2:$A$215,0))</f>
        <v>mountain</v>
      </c>
      <c r="F2192" s="8" t="n">
        <f aca="false">INDEX(Radicals!$D$2:$D$215,MATCH(C2192,Radicals!$A$2:$A$215,0))</f>
        <v>3</v>
      </c>
      <c r="G2192" s="8" t="n">
        <v>13</v>
      </c>
    </row>
    <row r="2193" customFormat="false" ht="17.35" hidden="false" customHeight="false" outlineLevel="0" collapsed="false">
      <c r="A2193" s="8" t="n">
        <v>2192</v>
      </c>
      <c r="B2193" s="9" t="s">
        <v>3159</v>
      </c>
      <c r="C2193" s="8" t="n">
        <v>172</v>
      </c>
      <c r="D2193" s="9" t="str">
        <f aca="false">INDEX(Radicals!$B$2:$B$215,MATCH(C2193,Radicals!$A$2:$A$215,0))</f>
        <v>隹</v>
      </c>
      <c r="E2193" s="10" t="str">
        <f aca="false">INDEX(Radicals!$G$2:$G$215,MATCH(C2193,Radicals!$A$2:$A$215,0))</f>
        <v>short-tailed bird</v>
      </c>
      <c r="F2193" s="8" t="n">
        <f aca="false">INDEX(Radicals!$D$2:$D$215,MATCH(C2193,Radicals!$A$2:$A$215,0))</f>
        <v>8</v>
      </c>
      <c r="G2193" s="8" t="n">
        <v>12</v>
      </c>
    </row>
    <row r="2194" customFormat="false" ht="17.35" hidden="false" customHeight="false" outlineLevel="0" collapsed="false">
      <c r="A2194" s="8" t="n">
        <v>2193</v>
      </c>
      <c r="B2194" s="9" t="s">
        <v>3160</v>
      </c>
      <c r="C2194" s="8" t="n">
        <v>9</v>
      </c>
      <c r="D2194" s="9" t="str">
        <f aca="false">INDEX(Radicals!$B$2:$B$215,MATCH(C2194,Radicals!$A$2:$A$215,0))</f>
        <v>人</v>
      </c>
      <c r="E2194" s="10" t="str">
        <f aca="false">INDEX(Radicals!$G$2:$G$215,MATCH(C2194,Radicals!$A$2:$A$215,0))</f>
        <v>person</v>
      </c>
      <c r="F2194" s="8" t="n">
        <f aca="false">INDEX(Radicals!$D$2:$D$215,MATCH(C2194,Radicals!$A$2:$A$215,0))</f>
        <v>2</v>
      </c>
      <c r="G2194" s="8" t="n">
        <v>7</v>
      </c>
    </row>
    <row r="2195" customFormat="false" ht="17.35" hidden="false" customHeight="false" outlineLevel="0" collapsed="false">
      <c r="A2195" s="8" t="n">
        <v>2194</v>
      </c>
      <c r="B2195" s="9" t="s">
        <v>3161</v>
      </c>
      <c r="C2195" s="8" t="n">
        <v>120</v>
      </c>
      <c r="D2195" s="9" t="str">
        <f aca="false">INDEX(Radicals!$B$2:$B$215,MATCH(C2195,Radicals!$A$2:$A$215,0))</f>
        <v>糸</v>
      </c>
      <c r="E2195" s="10" t="str">
        <f aca="false">INDEX(Radicals!$G$2:$G$215,MATCH(C2195,Radicals!$A$2:$A$215,0))</f>
        <v>thread, silk</v>
      </c>
      <c r="F2195" s="8" t="n">
        <f aca="false">INDEX(Radicals!$D$2:$D$215,MATCH(C2195,Radicals!$A$2:$A$215,0))</f>
        <v>6</v>
      </c>
      <c r="G2195" s="8" t="n">
        <v>14</v>
      </c>
    </row>
    <row r="2196" customFormat="false" ht="17.35" hidden="false" customHeight="false" outlineLevel="0" collapsed="false">
      <c r="A2196" s="8" t="n">
        <v>2195</v>
      </c>
      <c r="B2196" s="9" t="s">
        <v>3162</v>
      </c>
      <c r="C2196" s="8" t="n">
        <v>120</v>
      </c>
      <c r="D2196" s="9" t="str">
        <f aca="false">INDEX(Radicals!$B$2:$B$215,MATCH(C2196,Radicals!$A$2:$A$215,0))</f>
        <v>糸</v>
      </c>
      <c r="E2196" s="10" t="str">
        <f aca="false">INDEX(Radicals!$G$2:$G$215,MATCH(C2196,Radicals!$A$2:$A$215,0))</f>
        <v>thread, silk</v>
      </c>
      <c r="F2196" s="8" t="n">
        <f aca="false">INDEX(Radicals!$D$2:$D$215,MATCH(C2196,Radicals!$A$2:$A$215,0))</f>
        <v>6</v>
      </c>
      <c r="G2196" s="8" t="n">
        <v>18</v>
      </c>
    </row>
    <row r="2197" customFormat="false" ht="17.35" hidden="false" customHeight="false" outlineLevel="0" collapsed="false">
      <c r="A2197" s="8" t="n">
        <v>2196</v>
      </c>
      <c r="B2197" s="9" t="s">
        <v>3163</v>
      </c>
      <c r="C2197" s="8" t="n">
        <v>94</v>
      </c>
      <c r="D2197" s="9" t="str">
        <f aca="false">INDEX(Radicals!$B$2:$B$215,MATCH(C2197,Radicals!$A$2:$A$215,0))</f>
        <v>犬</v>
      </c>
      <c r="E2197" s="10" t="str">
        <f aca="false">INDEX(Radicals!$G$2:$G$215,MATCH(C2197,Radicals!$A$2:$A$215,0))</f>
        <v>dog</v>
      </c>
      <c r="F2197" s="8" t="n">
        <f aca="false">INDEX(Radicals!$D$2:$D$215,MATCH(C2197,Radicals!$A$2:$A$215,0))</f>
        <v>4</v>
      </c>
      <c r="G2197" s="8" t="n">
        <v>8</v>
      </c>
    </row>
    <row r="2198" customFormat="false" ht="17.35" hidden="false" customHeight="false" outlineLevel="0" collapsed="false">
      <c r="A2198" s="8" t="n">
        <v>2197</v>
      </c>
      <c r="B2198" s="9" t="s">
        <v>3164</v>
      </c>
      <c r="C2198" s="8" t="n">
        <v>33</v>
      </c>
      <c r="D2198" s="9" t="str">
        <f aca="false">INDEX(Radicals!$B$2:$B$215,MATCH(C2198,Radicals!$A$2:$A$215,0))</f>
        <v>士</v>
      </c>
      <c r="E2198" s="10" t="str">
        <f aca="false">INDEX(Radicals!$G$2:$G$215,MATCH(C2198,Radicals!$A$2:$A$215,0))</f>
        <v>scholar, samurai</v>
      </c>
      <c r="F2198" s="8" t="n">
        <f aca="false">INDEX(Radicals!$D$2:$D$215,MATCH(C2198,Radicals!$A$2:$A$215,0))</f>
        <v>3</v>
      </c>
      <c r="G2198" s="8" t="n">
        <v>11</v>
      </c>
    </row>
    <row r="2199" customFormat="false" ht="17.35" hidden="false" customHeight="false" outlineLevel="0" collapsed="false">
      <c r="A2199" s="8" t="n">
        <v>2198</v>
      </c>
      <c r="B2199" s="9" t="s">
        <v>3165</v>
      </c>
      <c r="C2199" s="8" t="n">
        <v>75</v>
      </c>
      <c r="D2199" s="9" t="str">
        <f aca="false">INDEX(Radicals!$B$2:$B$215,MATCH(C2199,Radicals!$A$2:$A$215,0))</f>
        <v>木</v>
      </c>
      <c r="E2199" s="10" t="str">
        <f aca="false">INDEX(Radicals!$G$2:$G$215,MATCH(C2199,Radicals!$A$2:$A$215,0))</f>
        <v>tree, wood</v>
      </c>
      <c r="F2199" s="8" t="n">
        <f aca="false">INDEX(Radicals!$D$2:$D$215,MATCH(C2199,Radicals!$A$2:$A$215,0))</f>
        <v>4</v>
      </c>
      <c r="G2199" s="8" t="n">
        <v>17</v>
      </c>
    </row>
    <row r="2200" customFormat="false" ht="17.35" hidden="false" customHeight="false" outlineLevel="0" collapsed="false">
      <c r="A2200" s="8" t="n">
        <v>2199</v>
      </c>
      <c r="B2200" s="9" t="s">
        <v>3166</v>
      </c>
      <c r="C2200" s="8" t="n">
        <v>75</v>
      </c>
      <c r="D2200" s="9" t="str">
        <f aca="false">INDEX(Radicals!$B$2:$B$215,MATCH(C2200,Radicals!$A$2:$A$215,0))</f>
        <v>木</v>
      </c>
      <c r="E2200" s="10" t="str">
        <f aca="false">INDEX(Radicals!$G$2:$G$215,MATCH(C2200,Radicals!$A$2:$A$215,0))</f>
        <v>tree, wood</v>
      </c>
      <c r="F2200" s="8" t="n">
        <f aca="false">INDEX(Radicals!$D$2:$D$215,MATCH(C2200,Radicals!$A$2:$A$215,0))</f>
        <v>4</v>
      </c>
      <c r="G2200" s="8" t="n">
        <v>10</v>
      </c>
    </row>
    <row r="2201" customFormat="false" ht="17.35" hidden="false" customHeight="false" outlineLevel="0" collapsed="false">
      <c r="A2201" s="8" t="n">
        <v>2200</v>
      </c>
      <c r="B2201" s="9" t="s">
        <v>3167</v>
      </c>
      <c r="C2201" s="8" t="n">
        <v>124</v>
      </c>
      <c r="D2201" s="9" t="str">
        <f aca="false">INDEX(Radicals!$B$2:$B$215,MATCH(C2201,Radicals!$A$2:$A$215,0))</f>
        <v>羽</v>
      </c>
      <c r="E2201" s="10" t="str">
        <f aca="false">INDEX(Radicals!$G$2:$G$215,MATCH(C2201,Radicals!$A$2:$A$215,0))</f>
        <v>feather, wing</v>
      </c>
      <c r="F2201" s="8" t="n">
        <f aca="false">INDEX(Radicals!$D$2:$D$215,MATCH(C2201,Radicals!$A$2:$A$215,0))</f>
        <v>6</v>
      </c>
      <c r="G2201" s="8" t="n">
        <v>14</v>
      </c>
    </row>
    <row r="2202" customFormat="false" ht="17.35" hidden="false" customHeight="false" outlineLevel="0" collapsed="false">
      <c r="A2202" s="8" t="n">
        <v>2201</v>
      </c>
      <c r="B2202" s="9" t="s">
        <v>3168</v>
      </c>
      <c r="C2202" s="8" t="n">
        <v>195</v>
      </c>
      <c r="D2202" s="9" t="str">
        <f aca="false">INDEX(Radicals!$B$2:$B$215,MATCH(C2202,Radicals!$A$2:$A$215,0))</f>
        <v>魚</v>
      </c>
      <c r="E2202" s="10" t="str">
        <f aca="false">INDEX(Radicals!$G$2:$G$215,MATCH(C2202,Radicals!$A$2:$A$215,0))</f>
        <v>fish</v>
      </c>
      <c r="F2202" s="8" t="n">
        <f aca="false">INDEX(Radicals!$D$2:$D$215,MATCH(C2202,Radicals!$A$2:$A$215,0))</f>
        <v>11</v>
      </c>
      <c r="G2202" s="8" t="n">
        <v>16</v>
      </c>
    </row>
    <row r="2203" customFormat="false" ht="17.35" hidden="false" customHeight="false" outlineLevel="0" collapsed="false">
      <c r="A2203" s="8" t="n">
        <v>2202</v>
      </c>
      <c r="B2203" s="9" t="s">
        <v>3169</v>
      </c>
      <c r="C2203" s="8" t="n">
        <v>140</v>
      </c>
      <c r="D2203" s="9" t="str">
        <f aca="false">INDEX(Radicals!$B$2:$B$215,MATCH(C2203,Radicals!$A$2:$A$215,0))</f>
        <v>艸</v>
      </c>
      <c r="E2203" s="10" t="str">
        <f aca="false">INDEX(Radicals!$G$2:$G$215,MATCH(C2203,Radicals!$A$2:$A$215,0))</f>
        <v>grass, plant</v>
      </c>
      <c r="F2203" s="8" t="n">
        <f aca="false">INDEX(Radicals!$D$2:$D$215,MATCH(C2203,Radicals!$A$2:$A$215,0))</f>
        <v>6</v>
      </c>
      <c r="G2203" s="8" t="n">
        <v>7</v>
      </c>
    </row>
    <row r="2204" customFormat="false" ht="17.35" hidden="false" customHeight="false" outlineLevel="0" collapsed="false">
      <c r="A2204" s="8" t="n">
        <v>2203</v>
      </c>
      <c r="B2204" s="9" t="s">
        <v>3170</v>
      </c>
      <c r="C2204" s="8" t="n">
        <v>142</v>
      </c>
      <c r="D2204" s="9" t="str">
        <f aca="false">INDEX(Radicals!$B$2:$B$215,MATCH(C2204,Radicals!$A$2:$A$215,0))</f>
        <v>虫</v>
      </c>
      <c r="E2204" s="10" t="str">
        <f aca="false">INDEX(Radicals!$G$2:$G$215,MATCH(C2204,Radicals!$A$2:$A$215,0))</f>
        <v>insect</v>
      </c>
      <c r="F2204" s="8" t="n">
        <f aca="false">INDEX(Radicals!$D$2:$D$215,MATCH(C2204,Radicals!$A$2:$A$215,0))</f>
        <v>6</v>
      </c>
      <c r="G2204" s="8" t="n">
        <v>14</v>
      </c>
    </row>
    <row r="2205" customFormat="false" ht="17.35" hidden="false" customHeight="false" outlineLevel="0" collapsed="false">
      <c r="A2205" s="8" t="n">
        <v>2204</v>
      </c>
      <c r="B2205" s="9" t="s">
        <v>3171</v>
      </c>
      <c r="C2205" s="8" t="n">
        <v>64</v>
      </c>
      <c r="D2205" s="9" t="str">
        <f aca="false">INDEX(Radicals!$B$2:$B$215,MATCH(C2205,Radicals!$A$2:$A$215,0))</f>
        <v>手</v>
      </c>
      <c r="E2205" s="10" t="str">
        <f aca="false">INDEX(Radicals!$G$2:$G$215,MATCH(C2205,Radicals!$A$2:$A$215,0))</f>
        <v>hand</v>
      </c>
      <c r="F2205" s="8" t="n">
        <f aca="false">INDEX(Radicals!$D$2:$D$215,MATCH(C2205,Radicals!$A$2:$A$215,0))</f>
        <v>4</v>
      </c>
      <c r="G2205" s="8" t="n">
        <v>15</v>
      </c>
    </row>
    <row r="2206" customFormat="false" ht="17.35" hidden="false" customHeight="false" outlineLevel="0" collapsed="false">
      <c r="A2206" s="8" t="n">
        <v>2205</v>
      </c>
      <c r="B2206" s="9" t="s">
        <v>3172</v>
      </c>
      <c r="C2206" s="8" t="n">
        <v>75</v>
      </c>
      <c r="D2206" s="9" t="str">
        <f aca="false">INDEX(Radicals!$B$2:$B$215,MATCH(C2206,Radicals!$A$2:$A$215,0))</f>
        <v>木</v>
      </c>
      <c r="E2206" s="10" t="str">
        <f aca="false">INDEX(Radicals!$G$2:$G$215,MATCH(C2206,Radicals!$A$2:$A$215,0))</f>
        <v>tree, wood</v>
      </c>
      <c r="F2206" s="8" t="n">
        <f aca="false">INDEX(Radicals!$D$2:$D$215,MATCH(C2206,Radicals!$A$2:$A$215,0))</f>
        <v>4</v>
      </c>
      <c r="G2206" s="8" t="n">
        <v>14</v>
      </c>
    </row>
    <row r="2207" customFormat="false" ht="17.35" hidden="false" customHeight="false" outlineLevel="0" collapsed="false">
      <c r="A2207" s="8" t="n">
        <v>2206</v>
      </c>
      <c r="B2207" s="9" t="s">
        <v>3173</v>
      </c>
      <c r="C2207" s="8" t="n">
        <v>17</v>
      </c>
      <c r="D2207" s="9" t="str">
        <f aca="false">INDEX(Radicals!$B$2:$B$215,MATCH(C2207,Radicals!$A$2:$A$215,0))</f>
        <v>凵</v>
      </c>
      <c r="E2207" s="10" t="str">
        <f aca="false">INDEX(Radicals!$G$2:$G$215,MATCH(C2207,Radicals!$A$2:$A$215,0))</f>
        <v>open box</v>
      </c>
      <c r="F2207" s="8" t="n">
        <f aca="false">INDEX(Radicals!$D$2:$D$215,MATCH(C2207,Radicals!$A$2:$A$215,0))</f>
        <v>2</v>
      </c>
      <c r="G2207" s="8" t="n">
        <v>5</v>
      </c>
    </row>
    <row r="2208" customFormat="false" ht="17.35" hidden="false" customHeight="false" outlineLevel="0" collapsed="false">
      <c r="A2208" s="8" t="n">
        <v>2207</v>
      </c>
      <c r="B2208" s="9" t="s">
        <v>3174</v>
      </c>
      <c r="C2208" s="8" t="n">
        <v>139</v>
      </c>
      <c r="D2208" s="9" t="str">
        <f aca="false">INDEX(Radicals!$B$2:$B$215,MATCH(C2208,Radicals!$A$2:$A$215,0))</f>
        <v>色</v>
      </c>
      <c r="E2208" s="10" t="str">
        <f aca="false">INDEX(Radicals!$G$2:$G$215,MATCH(C2208,Radicals!$A$2:$A$215,0))</f>
        <v>color</v>
      </c>
      <c r="F2208" s="8" t="n">
        <f aca="false">INDEX(Radicals!$D$2:$D$215,MATCH(C2208,Radicals!$A$2:$A$215,0))</f>
        <v>6</v>
      </c>
      <c r="G2208" s="8" t="n">
        <v>19</v>
      </c>
    </row>
    <row r="2209" customFormat="false" ht="17.35" hidden="false" customHeight="false" outlineLevel="0" collapsed="false">
      <c r="A2209" s="8" t="n">
        <v>2208</v>
      </c>
      <c r="B2209" s="9" t="s">
        <v>3175</v>
      </c>
      <c r="C2209" s="8" t="n">
        <v>50</v>
      </c>
      <c r="D2209" s="9" t="str">
        <f aca="false">INDEX(Radicals!$B$2:$B$215,MATCH(C2209,Radicals!$A$2:$A$215,0))</f>
        <v>巾</v>
      </c>
      <c r="E2209" s="10" t="str">
        <f aca="false">INDEX(Radicals!$G$2:$G$215,MATCH(C2209,Radicals!$A$2:$A$215,0))</f>
        <v>turban, cloth</v>
      </c>
      <c r="F2209" s="8" t="n">
        <f aca="false">INDEX(Radicals!$D$2:$D$215,MATCH(C2209,Radicals!$A$2:$A$215,0))</f>
        <v>3</v>
      </c>
      <c r="G2209" s="8" t="n">
        <v>8</v>
      </c>
    </row>
    <row r="2210" customFormat="false" ht="17.35" hidden="false" customHeight="false" outlineLevel="0" collapsed="false">
      <c r="A2210" s="8" t="n">
        <v>2209</v>
      </c>
      <c r="B2210" s="9" t="s">
        <v>3176</v>
      </c>
      <c r="C2210" s="8" t="n">
        <v>9</v>
      </c>
      <c r="D2210" s="9" t="str">
        <f aca="false">INDEX(Radicals!$B$2:$B$215,MATCH(C2210,Radicals!$A$2:$A$215,0))</f>
        <v>人</v>
      </c>
      <c r="E2210" s="10" t="str">
        <f aca="false">INDEX(Radicals!$G$2:$G$215,MATCH(C2210,Radicals!$A$2:$A$215,0))</f>
        <v>person</v>
      </c>
      <c r="F2210" s="8" t="n">
        <f aca="false">INDEX(Radicals!$D$2:$D$215,MATCH(C2210,Radicals!$A$2:$A$215,0))</f>
        <v>2</v>
      </c>
      <c r="G2210" s="8" t="n">
        <v>7</v>
      </c>
    </row>
    <row r="2211" customFormat="false" ht="17.35" hidden="false" customHeight="false" outlineLevel="0" collapsed="false">
      <c r="A2211" s="8" t="n">
        <v>2210</v>
      </c>
      <c r="B2211" s="9" t="s">
        <v>3177</v>
      </c>
      <c r="C2211" s="8" t="n">
        <v>75</v>
      </c>
      <c r="D2211" s="9" t="str">
        <f aca="false">INDEX(Radicals!$B$2:$B$215,MATCH(C2211,Radicals!$A$2:$A$215,0))</f>
        <v>木</v>
      </c>
      <c r="E2211" s="10" t="str">
        <f aca="false">INDEX(Radicals!$G$2:$G$215,MATCH(C2211,Radicals!$A$2:$A$215,0))</f>
        <v>tree, wood</v>
      </c>
      <c r="F2211" s="8" t="n">
        <f aca="false">INDEX(Radicals!$D$2:$D$215,MATCH(C2211,Radicals!$A$2:$A$215,0))</f>
        <v>4</v>
      </c>
      <c r="G2211" s="8" t="n">
        <v>11</v>
      </c>
    </row>
    <row r="2212" customFormat="false" ht="17.35" hidden="false" customHeight="false" outlineLevel="0" collapsed="false">
      <c r="A2212" s="8" t="n">
        <v>2211</v>
      </c>
      <c r="B2212" s="9" t="s">
        <v>3178</v>
      </c>
      <c r="C2212" s="8" t="n">
        <v>61</v>
      </c>
      <c r="D2212" s="9" t="str">
        <f aca="false">INDEX(Radicals!$B$2:$B$215,MATCH(C2212,Radicals!$A$2:$A$215,0))</f>
        <v>心</v>
      </c>
      <c r="E2212" s="10" t="str">
        <f aca="false">INDEX(Radicals!$G$2:$G$215,MATCH(C2212,Radicals!$A$2:$A$215,0))</f>
        <v>heart, mind</v>
      </c>
      <c r="F2212" s="8" t="n">
        <f aca="false">INDEX(Radicals!$D$2:$D$215,MATCH(C2212,Radicals!$A$2:$A$215,0))</f>
        <v>4</v>
      </c>
      <c r="G2212" s="8" t="n">
        <v>12</v>
      </c>
    </row>
    <row r="2213" customFormat="false" ht="17.35" hidden="false" customHeight="false" outlineLevel="0" collapsed="false">
      <c r="A2213" s="8" t="n">
        <v>2212</v>
      </c>
      <c r="B2213" s="9" t="s">
        <v>3179</v>
      </c>
      <c r="C2213" s="8" t="n">
        <v>130</v>
      </c>
      <c r="D2213" s="9" t="str">
        <f aca="false">INDEX(Radicals!$B$2:$B$215,MATCH(C2213,Radicals!$A$2:$A$215,0))</f>
        <v>肉</v>
      </c>
      <c r="E2213" s="10" t="str">
        <f aca="false">INDEX(Radicals!$G$2:$G$215,MATCH(C2213,Radicals!$A$2:$A$215,0))</f>
        <v>meat, flesh</v>
      </c>
      <c r="F2213" s="8" t="n">
        <f aca="false">INDEX(Radicals!$D$2:$D$215,MATCH(C2213,Radicals!$A$2:$A$215,0))</f>
        <v>6</v>
      </c>
      <c r="G2213" s="8" t="n">
        <v>8</v>
      </c>
    </row>
    <row r="2214" customFormat="false" ht="17.35" hidden="false" customHeight="false" outlineLevel="0" collapsed="false">
      <c r="A2214" s="8" t="n">
        <v>2213</v>
      </c>
      <c r="B2214" s="9" t="s">
        <v>3180</v>
      </c>
      <c r="C2214" s="8" t="n">
        <v>20</v>
      </c>
      <c r="D2214" s="9" t="str">
        <f aca="false">INDEX(Radicals!$B$2:$B$215,MATCH(C2214,Radicals!$A$2:$A$215,0))</f>
        <v>勹</v>
      </c>
      <c r="E2214" s="10" t="str">
        <f aca="false">INDEX(Radicals!$G$2:$G$215,MATCH(C2214,Radicals!$A$2:$A$215,0))</f>
        <v>wrap</v>
      </c>
      <c r="F2214" s="8" t="n">
        <f aca="false">INDEX(Radicals!$D$2:$D$215,MATCH(C2214,Radicals!$A$2:$A$215,0))</f>
        <v>2</v>
      </c>
      <c r="G2214" s="8" t="n">
        <v>4</v>
      </c>
    </row>
    <row r="2215" customFormat="false" ht="17.35" hidden="false" customHeight="false" outlineLevel="0" collapsed="false">
      <c r="A2215" s="8" t="n">
        <v>2214</v>
      </c>
      <c r="B2215" s="9" t="s">
        <v>3181</v>
      </c>
      <c r="C2215" s="8" t="n">
        <v>177</v>
      </c>
      <c r="D2215" s="9" t="str">
        <f aca="false">INDEX(Radicals!$B$2:$B$215,MATCH(C2215,Radicals!$A$2:$A$215,0))</f>
        <v>革</v>
      </c>
      <c r="E2215" s="10" t="str">
        <f aca="false">INDEX(Radicals!$G$2:$G$215,MATCH(C2215,Radicals!$A$2:$A$215,0))</f>
        <v>leather, to change</v>
      </c>
      <c r="F2215" s="8" t="n">
        <f aca="false">INDEX(Radicals!$D$2:$D$215,MATCH(C2215,Radicals!$A$2:$A$215,0))</f>
        <v>9</v>
      </c>
      <c r="G2215" s="8" t="n">
        <v>15</v>
      </c>
    </row>
    <row r="2216" customFormat="false" ht="17.35" hidden="false" customHeight="false" outlineLevel="0" collapsed="false">
      <c r="A2216" s="8" t="n">
        <v>2215</v>
      </c>
      <c r="B2216" s="9" t="s">
        <v>3182</v>
      </c>
      <c r="C2216" s="8" t="n">
        <v>140</v>
      </c>
      <c r="D2216" s="9" t="str">
        <f aca="false">INDEX(Radicals!$B$2:$B$215,MATCH(C2216,Radicals!$A$2:$A$215,0))</f>
        <v>艸</v>
      </c>
      <c r="E2216" s="10" t="str">
        <f aca="false">INDEX(Radicals!$G$2:$G$215,MATCH(C2216,Radicals!$A$2:$A$215,0))</f>
        <v>grass, plant</v>
      </c>
      <c r="F2216" s="8" t="n">
        <f aca="false">INDEX(Radicals!$D$2:$D$215,MATCH(C2216,Radicals!$A$2:$A$215,0))</f>
        <v>6</v>
      </c>
      <c r="G2216" s="8" t="n">
        <v>14</v>
      </c>
    </row>
    <row r="2217" customFormat="false" ht="17.35" hidden="false" customHeight="false" outlineLevel="0" collapsed="false">
      <c r="A2217" s="8" t="n">
        <v>2216</v>
      </c>
      <c r="B2217" s="9" t="s">
        <v>3183</v>
      </c>
      <c r="C2217" s="8" t="n">
        <v>96</v>
      </c>
      <c r="D2217" s="9" t="str">
        <f aca="false">INDEX(Radicals!$B$2:$B$215,MATCH(C2217,Radicals!$A$2:$A$215,0))</f>
        <v>玉</v>
      </c>
      <c r="E2217" s="10" t="str">
        <f aca="false">INDEX(Radicals!$G$2:$G$215,MATCH(C2217,Radicals!$A$2:$A$215,0))</f>
        <v>jade, king</v>
      </c>
      <c r="F2217" s="8" t="n">
        <f aca="false">INDEX(Radicals!$D$2:$D$215,MATCH(C2217,Radicals!$A$2:$A$215,0))</f>
        <v>5</v>
      </c>
      <c r="G2217" s="8" t="n">
        <v>8</v>
      </c>
    </row>
    <row r="2218" customFormat="false" ht="17.35" hidden="false" customHeight="false" outlineLevel="0" collapsed="false">
      <c r="A2218" s="8" t="n">
        <v>2217</v>
      </c>
      <c r="B2218" s="9" t="s">
        <v>3184</v>
      </c>
      <c r="C2218" s="8" t="n">
        <v>140</v>
      </c>
      <c r="D2218" s="9" t="str">
        <f aca="false">INDEX(Radicals!$B$2:$B$215,MATCH(C2218,Radicals!$A$2:$A$215,0))</f>
        <v>艸</v>
      </c>
      <c r="E2218" s="10" t="str">
        <f aca="false">INDEX(Radicals!$G$2:$G$215,MATCH(C2218,Radicals!$A$2:$A$215,0))</f>
        <v>grass, plant</v>
      </c>
      <c r="F2218" s="8" t="n">
        <f aca="false">INDEX(Radicals!$D$2:$D$215,MATCH(C2218,Radicals!$A$2:$A$215,0))</f>
        <v>6</v>
      </c>
      <c r="G2218" s="8" t="n">
        <v>12</v>
      </c>
    </row>
    <row r="2219" customFormat="false" ht="17.35" hidden="false" customHeight="false" outlineLevel="0" collapsed="false">
      <c r="A2219" s="8" t="n">
        <v>2218</v>
      </c>
      <c r="B2219" s="9" t="s">
        <v>3185</v>
      </c>
      <c r="C2219" s="8" t="n">
        <v>75</v>
      </c>
      <c r="D2219" s="9" t="str">
        <f aca="false">INDEX(Radicals!$B$2:$B$215,MATCH(C2219,Radicals!$A$2:$A$215,0))</f>
        <v>木</v>
      </c>
      <c r="E2219" s="10" t="str">
        <f aca="false">INDEX(Radicals!$G$2:$G$215,MATCH(C2219,Radicals!$A$2:$A$215,0))</f>
        <v>tree, wood</v>
      </c>
      <c r="F2219" s="8" t="n">
        <f aca="false">INDEX(Radicals!$D$2:$D$215,MATCH(C2219,Radicals!$A$2:$A$215,0))</f>
        <v>4</v>
      </c>
      <c r="G2219" s="8" t="n">
        <v>11</v>
      </c>
    </row>
    <row r="2220" customFormat="false" ht="17.35" hidden="false" customHeight="false" outlineLevel="0" collapsed="false">
      <c r="A2220" s="8" t="n">
        <v>2219</v>
      </c>
      <c r="B2220" s="9" t="s">
        <v>3186</v>
      </c>
      <c r="C2220" s="8" t="n">
        <v>173</v>
      </c>
      <c r="D2220" s="9" t="str">
        <f aca="false">INDEX(Radicals!$B$2:$B$215,MATCH(C2220,Radicals!$A$2:$A$215,0))</f>
        <v>雨</v>
      </c>
      <c r="E2220" s="10" t="str">
        <f aca="false">INDEX(Radicals!$G$2:$G$215,MATCH(C2220,Radicals!$A$2:$A$215,0))</f>
        <v>rain</v>
      </c>
      <c r="F2220" s="8" t="n">
        <f aca="false">INDEX(Radicals!$D$2:$D$215,MATCH(C2220,Radicals!$A$2:$A$215,0))</f>
        <v>8</v>
      </c>
      <c r="G2220" s="8" t="n">
        <v>11</v>
      </c>
    </row>
    <row r="2221" customFormat="false" ht="17.35" hidden="false" customHeight="false" outlineLevel="0" collapsed="false">
      <c r="A2221" s="8" t="n">
        <v>2220</v>
      </c>
      <c r="B2221" s="9" t="s">
        <v>3187</v>
      </c>
      <c r="C2221" s="8" t="n">
        <v>120</v>
      </c>
      <c r="D2221" s="9" t="str">
        <f aca="false">INDEX(Radicals!$B$2:$B$215,MATCH(C2221,Radicals!$A$2:$A$215,0))</f>
        <v>糸</v>
      </c>
      <c r="E2221" s="10" t="str">
        <f aca="false">INDEX(Radicals!$G$2:$G$215,MATCH(C2221,Radicals!$A$2:$A$215,0))</f>
        <v>thread, silk</v>
      </c>
      <c r="F2221" s="8" t="n">
        <f aca="false">INDEX(Radicals!$D$2:$D$215,MATCH(C2221,Radicals!$A$2:$A$215,0))</f>
        <v>6</v>
      </c>
      <c r="G2221" s="8" t="n">
        <v>11</v>
      </c>
    </row>
    <row r="2222" customFormat="false" ht="17.35" hidden="false" customHeight="false" outlineLevel="0" collapsed="false">
      <c r="A2222" s="8" t="n">
        <v>2221</v>
      </c>
      <c r="B2222" s="9" t="s">
        <v>3188</v>
      </c>
      <c r="C2222" s="8" t="n">
        <v>167</v>
      </c>
      <c r="D2222" s="9" t="str">
        <f aca="false">INDEX(Radicals!$B$2:$B$215,MATCH(C2222,Radicals!$A$2:$A$215,0))</f>
        <v>金</v>
      </c>
      <c r="E2222" s="10" t="str">
        <f aca="false">INDEX(Radicals!$G$2:$G$215,MATCH(C2222,Radicals!$A$2:$A$215,0))</f>
        <v>metal, gold</v>
      </c>
      <c r="F2222" s="8" t="n">
        <f aca="false">INDEX(Radicals!$D$2:$D$215,MATCH(C2222,Radicals!$A$2:$A$215,0))</f>
        <v>8</v>
      </c>
      <c r="G2222" s="8" t="n">
        <v>16</v>
      </c>
    </row>
    <row r="2223" customFormat="false" ht="17.35" hidden="false" customHeight="false" outlineLevel="0" collapsed="false">
      <c r="A2223" s="8" t="n">
        <v>2222</v>
      </c>
      <c r="B2223" s="9" t="s">
        <v>3189</v>
      </c>
      <c r="C2223" s="8" t="n">
        <v>85</v>
      </c>
      <c r="D2223" s="9" t="str">
        <f aca="false">INDEX(Radicals!$B$2:$B$215,MATCH(C2223,Radicals!$A$2:$A$215,0))</f>
        <v>水</v>
      </c>
      <c r="E2223" s="10" t="str">
        <f aca="false">INDEX(Radicals!$G$2:$G$215,MATCH(C2223,Radicals!$A$2:$A$215,0))</f>
        <v>water</v>
      </c>
      <c r="F2223" s="8" t="n">
        <f aca="false">INDEX(Radicals!$D$2:$D$215,MATCH(C2223,Radicals!$A$2:$A$215,0))</f>
        <v>4</v>
      </c>
      <c r="G2223" s="8" t="n">
        <v>12</v>
      </c>
    </row>
    <row r="2224" customFormat="false" ht="17.35" hidden="false" customHeight="false" outlineLevel="0" collapsed="false">
      <c r="A2224" s="8" t="n">
        <v>2223</v>
      </c>
      <c r="B2224" s="9" t="s">
        <v>3190</v>
      </c>
      <c r="C2224" s="8" t="n">
        <v>142</v>
      </c>
      <c r="D2224" s="9" t="str">
        <f aca="false">INDEX(Radicals!$B$2:$B$215,MATCH(C2224,Radicals!$A$2:$A$215,0))</f>
        <v>虫</v>
      </c>
      <c r="E2224" s="10" t="str">
        <f aca="false">INDEX(Radicals!$G$2:$G$215,MATCH(C2224,Radicals!$A$2:$A$215,0))</f>
        <v>insect</v>
      </c>
      <c r="F2224" s="8" t="n">
        <f aca="false">INDEX(Radicals!$D$2:$D$215,MATCH(C2224,Radicals!$A$2:$A$215,0))</f>
        <v>6</v>
      </c>
      <c r="G2224" s="8" t="n">
        <v>13</v>
      </c>
    </row>
    <row r="2225" customFormat="false" ht="17.35" hidden="false" customHeight="false" outlineLevel="0" collapsed="false">
      <c r="A2225" s="8" t="n">
        <v>2224</v>
      </c>
      <c r="B2225" s="9" t="s">
        <v>3191</v>
      </c>
      <c r="C2225" s="8" t="n">
        <v>172</v>
      </c>
      <c r="D2225" s="9" t="str">
        <f aca="false">INDEX(Radicals!$B$2:$B$215,MATCH(C2225,Radicals!$A$2:$A$215,0))</f>
        <v>隹</v>
      </c>
      <c r="E2225" s="10" t="str">
        <f aca="false">INDEX(Radicals!$G$2:$G$215,MATCH(C2225,Radicals!$A$2:$A$215,0))</f>
        <v>short-tailed bird</v>
      </c>
      <c r="F2225" s="8" t="n">
        <f aca="false">INDEX(Radicals!$D$2:$D$215,MATCH(C2225,Radicals!$A$2:$A$215,0))</f>
        <v>8</v>
      </c>
      <c r="G2225" s="8" t="n">
        <v>10</v>
      </c>
    </row>
    <row r="2226" customFormat="false" ht="17.35" hidden="false" customHeight="false" outlineLevel="0" collapsed="false">
      <c r="A2226" s="8" t="n">
        <v>2225</v>
      </c>
      <c r="B2226" s="9" t="s">
        <v>3192</v>
      </c>
      <c r="C2226" s="8" t="n">
        <v>137</v>
      </c>
      <c r="D2226" s="9" t="str">
        <f aca="false">INDEX(Radicals!$B$2:$B$215,MATCH(C2226,Radicals!$A$2:$A$215,0))</f>
        <v>舟</v>
      </c>
      <c r="E2226" s="10" t="str">
        <f aca="false">INDEX(Radicals!$G$2:$G$215,MATCH(C2226,Radicals!$A$2:$A$215,0))</f>
        <v>boat</v>
      </c>
      <c r="F2226" s="8" t="n">
        <f aca="false">INDEX(Radicals!$D$2:$D$215,MATCH(C2226,Radicals!$A$2:$A$215,0))</f>
        <v>6</v>
      </c>
      <c r="G2226" s="8" t="n">
        <v>11</v>
      </c>
    </row>
    <row r="2227" customFormat="false" ht="17.35" hidden="false" customHeight="false" outlineLevel="0" collapsed="false">
      <c r="A2227" s="8" t="n">
        <v>2226</v>
      </c>
      <c r="B2227" s="9" t="s">
        <v>3193</v>
      </c>
      <c r="C2227" s="8" t="n">
        <v>85</v>
      </c>
      <c r="D2227" s="9" t="str">
        <f aca="false">INDEX(Radicals!$B$2:$B$215,MATCH(C2227,Radicals!$A$2:$A$215,0))</f>
        <v>水</v>
      </c>
      <c r="E2227" s="10" t="str">
        <f aca="false">INDEX(Radicals!$G$2:$G$215,MATCH(C2227,Radicals!$A$2:$A$215,0))</f>
        <v>water</v>
      </c>
      <c r="F2227" s="8" t="n">
        <f aca="false">INDEX(Radicals!$D$2:$D$215,MATCH(C2227,Radicals!$A$2:$A$215,0))</f>
        <v>4</v>
      </c>
      <c r="G2227" s="8" t="n">
        <v>11</v>
      </c>
    </row>
    <row r="2228" customFormat="false" ht="17.35" hidden="false" customHeight="false" outlineLevel="0" collapsed="false">
      <c r="A2228" s="8" t="n">
        <v>2227</v>
      </c>
      <c r="B2228" s="9" t="s">
        <v>3194</v>
      </c>
      <c r="C2228" s="8" t="n">
        <v>96</v>
      </c>
      <c r="D2228" s="9" t="str">
        <f aca="false">INDEX(Radicals!$B$2:$B$215,MATCH(C2228,Radicals!$A$2:$A$215,0))</f>
        <v>玉</v>
      </c>
      <c r="E2228" s="10" t="str">
        <f aca="false">INDEX(Radicals!$G$2:$G$215,MATCH(C2228,Radicals!$A$2:$A$215,0))</f>
        <v>jade, king</v>
      </c>
      <c r="F2228" s="8" t="n">
        <f aca="false">INDEX(Radicals!$D$2:$D$215,MATCH(C2228,Radicals!$A$2:$A$215,0))</f>
        <v>5</v>
      </c>
      <c r="G2228" s="8" t="n">
        <v>9</v>
      </c>
    </row>
    <row r="2229" customFormat="false" ht="17.35" hidden="false" customHeight="false" outlineLevel="0" collapsed="false">
      <c r="A2229" s="8" t="n">
        <v>2228</v>
      </c>
      <c r="B2229" s="9" t="s">
        <v>3195</v>
      </c>
      <c r="C2229" s="8" t="n">
        <v>86</v>
      </c>
      <c r="D2229" s="9" t="str">
        <f aca="false">INDEX(Radicals!$B$2:$B$215,MATCH(C2229,Radicals!$A$2:$A$215,0))</f>
        <v>火</v>
      </c>
      <c r="E2229" s="10" t="str">
        <f aca="false">INDEX(Radicals!$G$2:$G$215,MATCH(C2229,Radicals!$A$2:$A$215,0))</f>
        <v>fire</v>
      </c>
      <c r="F2229" s="8" t="n">
        <f aca="false">INDEX(Radicals!$D$2:$D$215,MATCH(C2229,Radicals!$A$2:$A$215,0))</f>
        <v>4</v>
      </c>
      <c r="G2229" s="8" t="n">
        <v>13</v>
      </c>
    </row>
    <row r="2230" customFormat="false" ht="17.35" hidden="false" customHeight="false" outlineLevel="0" collapsed="false">
      <c r="A2230" s="8" t="n">
        <v>2229</v>
      </c>
      <c r="B2230" s="9" t="s">
        <v>3196</v>
      </c>
      <c r="C2230" s="8" t="n">
        <v>145</v>
      </c>
      <c r="D2230" s="9" t="str">
        <f aca="false">INDEX(Radicals!$B$2:$B$215,MATCH(C2230,Radicals!$A$2:$A$215,0))</f>
        <v>衣</v>
      </c>
      <c r="E2230" s="10" t="str">
        <f aca="false">INDEX(Radicals!$G$2:$G$215,MATCH(C2230,Radicals!$A$2:$A$215,0))</f>
        <v>clothes</v>
      </c>
      <c r="F2230" s="8" t="n">
        <f aca="false">INDEX(Radicals!$D$2:$D$215,MATCH(C2230,Radicals!$A$2:$A$215,0))</f>
        <v>6</v>
      </c>
      <c r="G2230" s="8" t="n">
        <v>10</v>
      </c>
    </row>
    <row r="2231" customFormat="false" ht="17.35" hidden="false" customHeight="false" outlineLevel="0" collapsed="false">
      <c r="A2231" s="8" t="n">
        <v>2230</v>
      </c>
      <c r="B2231" s="9" t="s">
        <v>3197</v>
      </c>
      <c r="C2231" s="8" t="n">
        <v>162</v>
      </c>
      <c r="D2231" s="9" t="str">
        <f aca="false">INDEX(Radicals!$B$2:$B$215,MATCH(C2231,Radicals!$A$2:$A$215,0))</f>
        <v>辵</v>
      </c>
      <c r="E2231" s="10" t="str">
        <f aca="false">INDEX(Radicals!$G$2:$G$215,MATCH(C2231,Radicals!$A$2:$A$215,0))</f>
        <v>walk, movement</v>
      </c>
      <c r="F2231" s="8" t="n">
        <f aca="false">INDEX(Radicals!$D$2:$D$215,MATCH(C2231,Radicals!$A$2:$A$215,0))</f>
        <v>7</v>
      </c>
      <c r="G2231" s="8" t="n">
        <v>10</v>
      </c>
    </row>
    <row r="2232" customFormat="false" ht="17.35" hidden="false" customHeight="false" outlineLevel="0" collapsed="false">
      <c r="A2232" s="8" t="n">
        <v>2231</v>
      </c>
      <c r="B2232" s="9" t="s">
        <v>3198</v>
      </c>
      <c r="C2232" s="8" t="n">
        <v>69</v>
      </c>
      <c r="D2232" s="9" t="str">
        <f aca="false">INDEX(Radicals!$B$2:$B$215,MATCH(C2232,Radicals!$A$2:$A$215,0))</f>
        <v>斤</v>
      </c>
      <c r="E2232" s="10" t="str">
        <f aca="false">INDEX(Radicals!$G$2:$G$215,MATCH(C2232,Radicals!$A$2:$A$215,0))</f>
        <v>axe</v>
      </c>
      <c r="F2232" s="8" t="n">
        <f aca="false">INDEX(Radicals!$D$2:$D$215,MATCH(C2232,Radicals!$A$2:$A$215,0))</f>
        <v>4</v>
      </c>
      <c r="G2232" s="8" t="n">
        <v>5</v>
      </c>
    </row>
    <row r="2233" customFormat="false" ht="17.35" hidden="false" customHeight="false" outlineLevel="0" collapsed="false">
      <c r="A2233" s="8" t="n">
        <v>2232</v>
      </c>
      <c r="B2233" s="9" t="s">
        <v>3199</v>
      </c>
      <c r="C2233" s="8" t="n">
        <v>115</v>
      </c>
      <c r="D2233" s="9" t="str">
        <f aca="false">INDEX(Radicals!$B$2:$B$215,MATCH(C2233,Radicals!$A$2:$A$215,0))</f>
        <v>禾</v>
      </c>
      <c r="E2233" s="10" t="str">
        <f aca="false">INDEX(Radicals!$G$2:$G$215,MATCH(C2233,Radicals!$A$2:$A$215,0))</f>
        <v>grain, rice plant</v>
      </c>
      <c r="F2233" s="8" t="n">
        <f aca="false">INDEX(Radicals!$D$2:$D$215,MATCH(C2233,Radicals!$A$2:$A$215,0))</f>
        <v>5</v>
      </c>
      <c r="G2233" s="8" t="n">
        <v>12</v>
      </c>
    </row>
    <row r="2234" customFormat="false" ht="17.35" hidden="false" customHeight="false" outlineLevel="0" collapsed="false">
      <c r="A2234" s="8" t="n">
        <v>2233</v>
      </c>
      <c r="B2234" s="9" t="s">
        <v>3200</v>
      </c>
      <c r="C2234" s="8" t="n">
        <v>104</v>
      </c>
      <c r="D2234" s="9" t="str">
        <f aca="false">INDEX(Radicals!$B$2:$B$215,MATCH(C2234,Radicals!$A$2:$A$215,0))</f>
        <v>疒</v>
      </c>
      <c r="E2234" s="10" t="str">
        <f aca="false">INDEX(Radicals!$G$2:$G$215,MATCH(C2234,Radicals!$A$2:$A$215,0))</f>
        <v>sickness</v>
      </c>
      <c r="F2234" s="8" t="n">
        <f aca="false">INDEX(Radicals!$D$2:$D$215,MATCH(C2234,Radicals!$A$2:$A$215,0))</f>
        <v>5</v>
      </c>
      <c r="G2234" s="8" t="n">
        <v>17</v>
      </c>
    </row>
    <row r="2235" customFormat="false" ht="17.35" hidden="false" customHeight="false" outlineLevel="0" collapsed="false">
      <c r="A2235" s="8" t="n">
        <v>2234</v>
      </c>
      <c r="B2235" s="9" t="s">
        <v>3201</v>
      </c>
      <c r="C2235" s="8" t="n">
        <v>46</v>
      </c>
      <c r="D2235" s="9" t="str">
        <f aca="false">INDEX(Radicals!$B$2:$B$215,MATCH(C2235,Radicals!$A$2:$A$215,0))</f>
        <v>山</v>
      </c>
      <c r="E2235" s="10" t="str">
        <f aca="false">INDEX(Radicals!$G$2:$G$215,MATCH(C2235,Radicals!$A$2:$A$215,0))</f>
        <v>mountain</v>
      </c>
      <c r="F2235" s="8" t="n">
        <f aca="false">INDEX(Radicals!$D$2:$D$215,MATCH(C2235,Radicals!$A$2:$A$215,0))</f>
        <v>3</v>
      </c>
      <c r="G2235" s="8" t="n">
        <v>10</v>
      </c>
    </row>
    <row r="2236" customFormat="false" ht="17.35" hidden="false" customHeight="false" outlineLevel="0" collapsed="false">
      <c r="A2236" s="8" t="n">
        <v>2235</v>
      </c>
      <c r="B2236" s="9" t="s">
        <v>3202</v>
      </c>
      <c r="C2236" s="8" t="n">
        <v>30</v>
      </c>
      <c r="D2236" s="9" t="str">
        <f aca="false">INDEX(Radicals!$B$2:$B$215,MATCH(C2236,Radicals!$A$2:$A$215,0))</f>
        <v>口</v>
      </c>
      <c r="E2236" s="10" t="str">
        <f aca="false">INDEX(Radicals!$G$2:$G$215,MATCH(C2236,Radicals!$A$2:$A$215,0))</f>
        <v>mouth</v>
      </c>
      <c r="F2236" s="8" t="n">
        <f aca="false">INDEX(Radicals!$D$2:$D$215,MATCH(C2236,Radicals!$A$2:$A$215,0))</f>
        <v>3</v>
      </c>
      <c r="G2236" s="8" t="n">
        <v>14</v>
      </c>
    </row>
    <row r="2237" customFormat="false" ht="17.35" hidden="false" customHeight="false" outlineLevel="0" collapsed="false">
      <c r="A2237" s="8" t="n">
        <v>2236</v>
      </c>
      <c r="B2237" s="9" t="s">
        <v>3203</v>
      </c>
      <c r="C2237" s="8" t="n">
        <v>70</v>
      </c>
      <c r="D2237" s="9" t="str">
        <f aca="false">INDEX(Radicals!$B$2:$B$215,MATCH(C2237,Radicals!$A$2:$A$215,0))</f>
        <v>方</v>
      </c>
      <c r="E2237" s="10" t="str">
        <f aca="false">INDEX(Radicals!$G$2:$G$215,MATCH(C2237,Radicals!$A$2:$A$215,0))</f>
        <v>square, direction</v>
      </c>
      <c r="F2237" s="8" t="n">
        <f aca="false">INDEX(Radicals!$D$2:$D$215,MATCH(C2237,Radicals!$A$2:$A$215,0))</f>
        <v>4</v>
      </c>
      <c r="G2237" s="8" t="n">
        <v>18</v>
      </c>
    </row>
    <row r="2238" customFormat="false" ht="17.35" hidden="false" customHeight="false" outlineLevel="0" collapsed="false">
      <c r="A2238" s="8" t="n">
        <v>2237</v>
      </c>
      <c r="B2238" s="9" t="s">
        <v>3204</v>
      </c>
      <c r="C2238" s="8" t="n">
        <v>118</v>
      </c>
      <c r="D2238" s="9" t="str">
        <f aca="false">INDEX(Radicals!$B$2:$B$215,MATCH(C2238,Radicals!$A$2:$A$215,0))</f>
        <v>竹</v>
      </c>
      <c r="E2238" s="10" t="str">
        <f aca="false">INDEX(Radicals!$G$2:$G$215,MATCH(C2238,Radicals!$A$2:$A$215,0))</f>
        <v>bamboo</v>
      </c>
      <c r="F2238" s="8" t="n">
        <f aca="false">INDEX(Radicals!$D$2:$D$215,MATCH(C2238,Radicals!$A$2:$A$215,0))</f>
        <v>6</v>
      </c>
      <c r="G2238" s="8" t="n">
        <v>16</v>
      </c>
    </row>
    <row r="2239" customFormat="false" ht="17.35" hidden="false" customHeight="false" outlineLevel="0" collapsed="false">
      <c r="A2239" s="8" t="n">
        <v>2238</v>
      </c>
      <c r="B2239" s="9" t="s">
        <v>3205</v>
      </c>
      <c r="C2239" s="8" t="n">
        <v>140</v>
      </c>
      <c r="D2239" s="9" t="str">
        <f aca="false">INDEX(Radicals!$B$2:$B$215,MATCH(C2239,Radicals!$A$2:$A$215,0))</f>
        <v>艸</v>
      </c>
      <c r="E2239" s="10" t="str">
        <f aca="false">INDEX(Radicals!$G$2:$G$215,MATCH(C2239,Radicals!$A$2:$A$215,0))</f>
        <v>grass, plant</v>
      </c>
      <c r="F2239" s="8" t="n">
        <f aca="false">INDEX(Radicals!$D$2:$D$215,MATCH(C2239,Radicals!$A$2:$A$215,0))</f>
        <v>6</v>
      </c>
      <c r="G2239" s="8" t="n">
        <v>7</v>
      </c>
    </row>
    <row r="2240" customFormat="false" ht="17.35" hidden="false" customHeight="false" outlineLevel="0" collapsed="false">
      <c r="A2240" s="8" t="n">
        <v>2239</v>
      </c>
      <c r="B2240" s="9" t="s">
        <v>3206</v>
      </c>
      <c r="C2240" s="8" t="n">
        <v>149</v>
      </c>
      <c r="D2240" s="9" t="str">
        <f aca="false">INDEX(Radicals!$B$2:$B$215,MATCH(C2240,Radicals!$A$2:$A$215,0))</f>
        <v>言</v>
      </c>
      <c r="E2240" s="10" t="str">
        <f aca="false">INDEX(Radicals!$G$2:$G$215,MATCH(C2240,Radicals!$A$2:$A$215,0))</f>
        <v>speech, say</v>
      </c>
      <c r="F2240" s="8" t="n">
        <f aca="false">INDEX(Radicals!$D$2:$D$215,MATCH(C2240,Radicals!$A$2:$A$215,0))</f>
        <v>7</v>
      </c>
      <c r="G2240" s="8" t="n">
        <v>12</v>
      </c>
    </row>
    <row r="2241" customFormat="false" ht="17.35" hidden="false" customHeight="false" outlineLevel="0" collapsed="false">
      <c r="A2241" s="8" t="n">
        <v>2240</v>
      </c>
      <c r="B2241" s="9" t="s">
        <v>3207</v>
      </c>
      <c r="C2241" s="8" t="n">
        <v>106</v>
      </c>
      <c r="D2241" s="9" t="str">
        <f aca="false">INDEX(Radicals!$B$2:$B$215,MATCH(C2241,Radicals!$A$2:$A$215,0))</f>
        <v>白</v>
      </c>
      <c r="E2241" s="10" t="str">
        <f aca="false">INDEX(Radicals!$G$2:$G$215,MATCH(C2241,Radicals!$A$2:$A$215,0))</f>
        <v>white</v>
      </c>
      <c r="F2241" s="8" t="n">
        <f aca="false">INDEX(Radicals!$D$2:$D$215,MATCH(C2241,Radicals!$A$2:$A$215,0))</f>
        <v>5</v>
      </c>
      <c r="G2241" s="8" t="n">
        <v>11</v>
      </c>
    </row>
    <row r="2242" customFormat="false" ht="17.35" hidden="false" customHeight="false" outlineLevel="0" collapsed="false">
      <c r="A2242" s="8" t="n">
        <v>2241</v>
      </c>
      <c r="B2242" s="9" t="s">
        <v>3208</v>
      </c>
      <c r="C2242" s="8" t="n">
        <v>172</v>
      </c>
      <c r="D2242" s="9" t="str">
        <f aca="false">INDEX(Radicals!$B$2:$B$215,MATCH(C2242,Radicals!$A$2:$A$215,0))</f>
        <v>隹</v>
      </c>
      <c r="E2242" s="10" t="str">
        <f aca="false">INDEX(Radicals!$G$2:$G$215,MATCH(C2242,Radicals!$A$2:$A$215,0))</f>
        <v>short-tailed bird</v>
      </c>
      <c r="F2242" s="8" t="n">
        <f aca="false">INDEX(Radicals!$D$2:$D$215,MATCH(C2242,Radicals!$A$2:$A$215,0))</f>
        <v>8</v>
      </c>
      <c r="G2242" s="8" t="n">
        <v>18</v>
      </c>
    </row>
    <row r="2243" customFormat="false" ht="17.35" hidden="false" customHeight="false" outlineLevel="0" collapsed="false">
      <c r="A2243" s="8" t="n">
        <v>2242</v>
      </c>
      <c r="B2243" s="9" t="s">
        <v>3209</v>
      </c>
      <c r="C2243" s="8" t="n">
        <v>38</v>
      </c>
      <c r="D2243" s="9" t="str">
        <f aca="false">INDEX(Radicals!$B$2:$B$215,MATCH(C2243,Radicals!$A$2:$A$215,0))</f>
        <v>女</v>
      </c>
      <c r="E2243" s="10" t="str">
        <f aca="false">INDEX(Radicals!$G$2:$G$215,MATCH(C2243,Radicals!$A$2:$A$215,0))</f>
        <v>woman</v>
      </c>
      <c r="F2243" s="8" t="n">
        <f aca="false">INDEX(Radicals!$D$2:$D$215,MATCH(C2243,Radicals!$A$2:$A$215,0))</f>
        <v>3</v>
      </c>
      <c r="G2243" s="8" t="n">
        <v>11</v>
      </c>
    </row>
    <row r="2244" customFormat="false" ht="17.35" hidden="false" customHeight="false" outlineLevel="0" collapsed="false">
      <c r="A2244" s="8" t="n">
        <v>2243</v>
      </c>
      <c r="B2244" s="9" t="s">
        <v>3210</v>
      </c>
      <c r="C2244" s="8" t="n">
        <v>118</v>
      </c>
      <c r="D2244" s="9" t="str">
        <f aca="false">INDEX(Radicals!$B$2:$B$215,MATCH(C2244,Radicals!$A$2:$A$215,0))</f>
        <v>竹</v>
      </c>
      <c r="E2244" s="10" t="str">
        <f aca="false">INDEX(Radicals!$G$2:$G$215,MATCH(C2244,Radicals!$A$2:$A$215,0))</f>
        <v>bamboo</v>
      </c>
      <c r="F2244" s="8" t="n">
        <f aca="false">INDEX(Radicals!$D$2:$D$215,MATCH(C2244,Radicals!$A$2:$A$215,0))</f>
        <v>6</v>
      </c>
      <c r="G2244" s="8" t="n">
        <v>15</v>
      </c>
    </row>
    <row r="2245" customFormat="false" ht="17.35" hidden="false" customHeight="false" outlineLevel="0" collapsed="false">
      <c r="A2245" s="8" t="n">
        <v>2244</v>
      </c>
      <c r="B2245" s="9" t="s">
        <v>3211</v>
      </c>
      <c r="C2245" s="8" t="n">
        <v>195</v>
      </c>
      <c r="D2245" s="9" t="str">
        <f aca="false">INDEX(Radicals!$B$2:$B$215,MATCH(C2245,Radicals!$A$2:$A$215,0))</f>
        <v>魚</v>
      </c>
      <c r="E2245" s="10" t="str">
        <f aca="false">INDEX(Radicals!$G$2:$G$215,MATCH(C2245,Radicals!$A$2:$A$215,0))</f>
        <v>fish</v>
      </c>
      <c r="F2245" s="8" t="n">
        <f aca="false">INDEX(Radicals!$D$2:$D$215,MATCH(C2245,Radicals!$A$2:$A$215,0))</f>
        <v>11</v>
      </c>
      <c r="G2245" s="8" t="n">
        <v>17</v>
      </c>
    </row>
    <row r="2246" customFormat="false" ht="17.35" hidden="false" customHeight="false" outlineLevel="0" collapsed="false">
      <c r="A2246" s="8" t="n">
        <v>2245</v>
      </c>
      <c r="B2246" s="9" t="s">
        <v>3212</v>
      </c>
      <c r="C2246" s="8" t="n">
        <v>75</v>
      </c>
      <c r="D2246" s="9" t="str">
        <f aca="false">INDEX(Radicals!$B$2:$B$215,MATCH(C2246,Radicals!$A$2:$A$215,0))</f>
        <v>木</v>
      </c>
      <c r="E2246" s="10" t="str">
        <f aca="false">INDEX(Radicals!$G$2:$G$215,MATCH(C2246,Radicals!$A$2:$A$215,0))</f>
        <v>tree, wood</v>
      </c>
      <c r="F2246" s="8" t="n">
        <f aca="false">INDEX(Radicals!$D$2:$D$215,MATCH(C2246,Radicals!$A$2:$A$215,0))</f>
        <v>4</v>
      </c>
      <c r="G2246" s="8" t="n">
        <v>12</v>
      </c>
    </row>
    <row r="2247" customFormat="false" ht="17.35" hidden="false" customHeight="false" outlineLevel="0" collapsed="false">
      <c r="A2247" s="8" t="n">
        <v>2246</v>
      </c>
      <c r="B2247" s="9" t="s">
        <v>3213</v>
      </c>
      <c r="C2247" s="8" t="n">
        <v>61</v>
      </c>
      <c r="D2247" s="9" t="str">
        <f aca="false">INDEX(Radicals!$B$2:$B$215,MATCH(C2247,Radicals!$A$2:$A$215,0))</f>
        <v>心</v>
      </c>
      <c r="E2247" s="10" t="str">
        <f aca="false">INDEX(Radicals!$G$2:$G$215,MATCH(C2247,Radicals!$A$2:$A$215,0))</f>
        <v>heart, mind</v>
      </c>
      <c r="F2247" s="8" t="n">
        <f aca="false">INDEX(Radicals!$D$2:$D$215,MATCH(C2247,Radicals!$A$2:$A$215,0))</f>
        <v>4</v>
      </c>
      <c r="G2247" s="8" t="n">
        <v>11</v>
      </c>
    </row>
    <row r="2248" customFormat="false" ht="17.35" hidden="false" customHeight="false" outlineLevel="0" collapsed="false">
      <c r="A2248" s="8" t="n">
        <v>2247</v>
      </c>
      <c r="B2248" s="9" t="s">
        <v>3214</v>
      </c>
      <c r="C2248" s="8" t="n">
        <v>91</v>
      </c>
      <c r="D2248" s="9" t="str">
        <f aca="false">INDEX(Radicals!$B$2:$B$215,MATCH(C2248,Radicals!$A$2:$A$215,0))</f>
        <v>片</v>
      </c>
      <c r="E2248" s="10" t="str">
        <f aca="false">INDEX(Radicals!$G$2:$G$215,MATCH(C2248,Radicals!$A$2:$A$215,0))</f>
        <v>slice, one side</v>
      </c>
      <c r="F2248" s="8" t="n">
        <f aca="false">INDEX(Radicals!$D$2:$D$215,MATCH(C2248,Radicals!$A$2:$A$215,0))</f>
        <v>4</v>
      </c>
      <c r="G2248" s="8" t="n">
        <v>12</v>
      </c>
    </row>
    <row r="2249" customFormat="false" ht="17.35" hidden="false" customHeight="false" outlineLevel="0" collapsed="false">
      <c r="A2249" s="8" t="n">
        <v>2248</v>
      </c>
      <c r="B2249" s="9" t="s">
        <v>3215</v>
      </c>
      <c r="C2249" s="8" t="n">
        <v>40</v>
      </c>
      <c r="D2249" s="9" t="str">
        <f aca="false">INDEX(Radicals!$B$2:$B$215,MATCH(C2249,Radicals!$A$2:$A$215,0))</f>
        <v>宀</v>
      </c>
      <c r="E2249" s="10" t="str">
        <f aca="false">INDEX(Radicals!$G$2:$G$215,MATCH(C2249,Radicals!$A$2:$A$215,0))</f>
        <v>roof</v>
      </c>
      <c r="F2249" s="8" t="n">
        <f aca="false">INDEX(Radicals!$D$2:$D$215,MATCH(C2249,Radicals!$A$2:$A$215,0))</f>
        <v>3</v>
      </c>
      <c r="G2249" s="8" t="n">
        <v>8</v>
      </c>
    </row>
    <row r="2250" customFormat="false" ht="17.35" hidden="false" customHeight="false" outlineLevel="0" collapsed="false">
      <c r="A2250" s="8" t="n">
        <v>2249</v>
      </c>
      <c r="B2250" s="9" t="s">
        <v>3216</v>
      </c>
      <c r="C2250" s="8" t="n">
        <v>30</v>
      </c>
      <c r="D2250" s="9" t="str">
        <f aca="false">INDEX(Radicals!$B$2:$B$215,MATCH(C2250,Radicals!$A$2:$A$215,0))</f>
        <v>口</v>
      </c>
      <c r="E2250" s="10" t="str">
        <f aca="false">INDEX(Radicals!$G$2:$G$215,MATCH(C2250,Radicals!$A$2:$A$215,0))</f>
        <v>mouth</v>
      </c>
      <c r="F2250" s="8" t="n">
        <f aca="false">INDEX(Radicals!$D$2:$D$215,MATCH(C2250,Radicals!$A$2:$A$215,0))</f>
        <v>3</v>
      </c>
      <c r="G2250" s="8" t="n">
        <v>12</v>
      </c>
    </row>
    <row r="2251" customFormat="false" ht="17.35" hidden="false" customHeight="false" outlineLevel="0" collapsed="false">
      <c r="A2251" s="8" t="n">
        <v>2250</v>
      </c>
      <c r="B2251" s="9" t="s">
        <v>3217</v>
      </c>
      <c r="C2251" s="8" t="n">
        <v>9</v>
      </c>
      <c r="D2251" s="9" t="str">
        <f aca="false">INDEX(Radicals!$B$2:$B$215,MATCH(C2251,Radicals!$A$2:$A$215,0))</f>
        <v>人</v>
      </c>
      <c r="E2251" s="10" t="str">
        <f aca="false">INDEX(Radicals!$G$2:$G$215,MATCH(C2251,Radicals!$A$2:$A$215,0))</f>
        <v>person</v>
      </c>
      <c r="F2251" s="8" t="n">
        <f aca="false">INDEX(Radicals!$D$2:$D$215,MATCH(C2251,Radicals!$A$2:$A$215,0))</f>
        <v>2</v>
      </c>
      <c r="G2251" s="8" t="n">
        <v>7</v>
      </c>
    </row>
    <row r="2252" customFormat="false" ht="17.35" hidden="false" customHeight="false" outlineLevel="0" collapsed="false">
      <c r="A2252" s="8" t="n">
        <v>2251</v>
      </c>
      <c r="B2252" s="9" t="s">
        <v>3218</v>
      </c>
      <c r="C2252" s="8" t="n">
        <v>140</v>
      </c>
      <c r="D2252" s="9" t="str">
        <f aca="false">INDEX(Radicals!$B$2:$B$215,MATCH(C2252,Radicals!$A$2:$A$215,0))</f>
        <v>艸</v>
      </c>
      <c r="E2252" s="10" t="str">
        <f aca="false">INDEX(Radicals!$G$2:$G$215,MATCH(C2252,Radicals!$A$2:$A$215,0))</f>
        <v>grass, plant</v>
      </c>
      <c r="F2252" s="8" t="n">
        <f aca="false">INDEX(Radicals!$D$2:$D$215,MATCH(C2252,Radicals!$A$2:$A$215,0))</f>
        <v>6</v>
      </c>
      <c r="G2252" s="8" t="n">
        <v>13</v>
      </c>
    </row>
    <row r="2253" customFormat="false" ht="17.35" hidden="false" customHeight="false" outlineLevel="0" collapsed="false">
      <c r="A2253" s="8" t="n">
        <v>2252</v>
      </c>
      <c r="B2253" s="9" t="s">
        <v>3219</v>
      </c>
      <c r="C2253" s="8" t="n">
        <v>75</v>
      </c>
      <c r="D2253" s="9" t="str">
        <f aca="false">INDEX(Radicals!$B$2:$B$215,MATCH(C2253,Radicals!$A$2:$A$215,0))</f>
        <v>木</v>
      </c>
      <c r="E2253" s="10" t="str">
        <f aca="false">INDEX(Radicals!$G$2:$G$215,MATCH(C2253,Radicals!$A$2:$A$215,0))</f>
        <v>tree, wood</v>
      </c>
      <c r="F2253" s="8" t="n">
        <f aca="false">INDEX(Radicals!$D$2:$D$215,MATCH(C2253,Radicals!$A$2:$A$215,0))</f>
        <v>4</v>
      </c>
      <c r="G2253" s="8" t="n">
        <v>15</v>
      </c>
    </row>
    <row r="2254" customFormat="false" ht="17.35" hidden="false" customHeight="false" outlineLevel="0" collapsed="false">
      <c r="A2254" s="8" t="n">
        <v>2253</v>
      </c>
      <c r="B2254" s="9" t="s">
        <v>3220</v>
      </c>
      <c r="C2254" s="8" t="n">
        <v>124</v>
      </c>
      <c r="D2254" s="9" t="str">
        <f aca="false">INDEX(Radicals!$B$2:$B$215,MATCH(C2254,Radicals!$A$2:$A$215,0))</f>
        <v>羽</v>
      </c>
      <c r="E2254" s="10" t="str">
        <f aca="false">INDEX(Radicals!$G$2:$G$215,MATCH(C2254,Radicals!$A$2:$A$215,0))</f>
        <v>feather, wing</v>
      </c>
      <c r="F2254" s="8" t="n">
        <f aca="false">INDEX(Radicals!$D$2:$D$215,MATCH(C2254,Radicals!$A$2:$A$215,0))</f>
        <v>6</v>
      </c>
      <c r="G2254" s="8" t="n">
        <v>20</v>
      </c>
    </row>
    <row r="2255" customFormat="false" ht="17.35" hidden="false" customHeight="false" outlineLevel="0" collapsed="false">
      <c r="A2255" s="8" t="n">
        <v>2254</v>
      </c>
      <c r="B2255" s="9" t="s">
        <v>3221</v>
      </c>
      <c r="C2255" s="8" t="n">
        <v>203</v>
      </c>
      <c r="D2255" s="9" t="str">
        <f aca="false">INDEX(Radicals!$B$2:$B$215,MATCH(C2255,Radicals!$A$2:$A$215,0))</f>
        <v>黑</v>
      </c>
      <c r="E2255" s="10" t="str">
        <f aca="false">INDEX(Radicals!$G$2:$G$215,MATCH(C2255,Radicals!$A$2:$A$215,0))</f>
        <v>black</v>
      </c>
      <c r="F2255" s="8" t="n">
        <f aca="false">INDEX(Radicals!$D$2:$D$215,MATCH(C2255,Radicals!$A$2:$A$215,0))</f>
        <v>12</v>
      </c>
      <c r="G2255" s="8" t="n">
        <v>16</v>
      </c>
    </row>
    <row r="2256" customFormat="false" ht="17.35" hidden="false" customHeight="false" outlineLevel="0" collapsed="false">
      <c r="A2256" s="8" t="n">
        <v>2255</v>
      </c>
      <c r="B2256" s="9" t="s">
        <v>3222</v>
      </c>
      <c r="C2256" s="8" t="n">
        <v>30</v>
      </c>
      <c r="D2256" s="9" t="str">
        <f aca="false">INDEX(Radicals!$B$2:$B$215,MATCH(C2256,Radicals!$A$2:$A$215,0))</f>
        <v>口</v>
      </c>
      <c r="E2256" s="10" t="str">
        <f aca="false">INDEX(Radicals!$G$2:$G$215,MATCH(C2256,Radicals!$A$2:$A$215,0))</f>
        <v>mouth</v>
      </c>
      <c r="F2256" s="8" t="n">
        <f aca="false">INDEX(Radicals!$D$2:$D$215,MATCH(C2256,Radicals!$A$2:$A$215,0))</f>
        <v>3</v>
      </c>
      <c r="G2256" s="8" t="n">
        <v>5</v>
      </c>
    </row>
    <row r="2257" customFormat="false" ht="17.35" hidden="false" customHeight="false" outlineLevel="0" collapsed="false">
      <c r="A2257" s="8" t="n">
        <v>2256</v>
      </c>
      <c r="B2257" s="9" t="s">
        <v>3223</v>
      </c>
      <c r="C2257" s="8" t="n">
        <v>75</v>
      </c>
      <c r="D2257" s="9" t="str">
        <f aca="false">INDEX(Radicals!$B$2:$B$215,MATCH(C2257,Radicals!$A$2:$A$215,0))</f>
        <v>木</v>
      </c>
      <c r="E2257" s="10" t="str">
        <f aca="false">INDEX(Radicals!$G$2:$G$215,MATCH(C2257,Radicals!$A$2:$A$215,0))</f>
        <v>tree, wood</v>
      </c>
      <c r="F2257" s="8" t="n">
        <f aca="false">INDEX(Radicals!$D$2:$D$215,MATCH(C2257,Radicals!$A$2:$A$215,0))</f>
        <v>4</v>
      </c>
      <c r="G2257" s="8" t="n">
        <v>17</v>
      </c>
    </row>
    <row r="2258" customFormat="false" ht="17.35" hidden="false" customHeight="false" outlineLevel="0" collapsed="false">
      <c r="A2258" s="8" t="n">
        <v>2257</v>
      </c>
      <c r="B2258" s="9" t="s">
        <v>3224</v>
      </c>
      <c r="C2258" s="8" t="n">
        <v>85</v>
      </c>
      <c r="D2258" s="9" t="str">
        <f aca="false">INDEX(Radicals!$B$2:$B$215,MATCH(C2258,Radicals!$A$2:$A$215,0))</f>
        <v>水</v>
      </c>
      <c r="E2258" s="10" t="str">
        <f aca="false">INDEX(Radicals!$G$2:$G$215,MATCH(C2258,Radicals!$A$2:$A$215,0))</f>
        <v>water</v>
      </c>
      <c r="F2258" s="8" t="n">
        <f aca="false">INDEX(Radicals!$D$2:$D$215,MATCH(C2258,Radicals!$A$2:$A$215,0))</f>
        <v>4</v>
      </c>
      <c r="G2258" s="8" t="n">
        <v>12</v>
      </c>
    </row>
    <row r="2259" customFormat="false" ht="17.35" hidden="false" customHeight="false" outlineLevel="0" collapsed="false">
      <c r="A2259" s="8" t="n">
        <v>2258</v>
      </c>
      <c r="B2259" s="9" t="s">
        <v>3225</v>
      </c>
      <c r="C2259" s="8" t="n">
        <v>64</v>
      </c>
      <c r="D2259" s="9" t="str">
        <f aca="false">INDEX(Radicals!$B$2:$B$215,MATCH(C2259,Radicals!$A$2:$A$215,0))</f>
        <v>手</v>
      </c>
      <c r="E2259" s="10" t="str">
        <f aca="false">INDEX(Radicals!$G$2:$G$215,MATCH(C2259,Radicals!$A$2:$A$215,0))</f>
        <v>hand</v>
      </c>
      <c r="F2259" s="8" t="n">
        <f aca="false">INDEX(Radicals!$D$2:$D$215,MATCH(C2259,Radicals!$A$2:$A$215,0))</f>
        <v>4</v>
      </c>
      <c r="G2259" s="8" t="n">
        <v>10</v>
      </c>
    </row>
    <row r="2260" customFormat="false" ht="17.35" hidden="false" customHeight="false" outlineLevel="0" collapsed="false">
      <c r="A2260" s="8" t="n">
        <v>2259</v>
      </c>
      <c r="B2260" s="9" t="s">
        <v>3226</v>
      </c>
      <c r="C2260" s="8" t="n">
        <v>61</v>
      </c>
      <c r="D2260" s="9" t="str">
        <f aca="false">INDEX(Radicals!$B$2:$B$215,MATCH(C2260,Radicals!$A$2:$A$215,0))</f>
        <v>心</v>
      </c>
      <c r="E2260" s="10" t="str">
        <f aca="false">INDEX(Radicals!$G$2:$G$215,MATCH(C2260,Radicals!$A$2:$A$215,0))</f>
        <v>heart, mind</v>
      </c>
      <c r="F2260" s="8" t="n">
        <f aca="false">INDEX(Radicals!$D$2:$D$215,MATCH(C2260,Radicals!$A$2:$A$215,0))</f>
        <v>4</v>
      </c>
      <c r="G2260" s="8" t="n">
        <v>15</v>
      </c>
    </row>
    <row r="2261" customFormat="false" ht="17.35" hidden="false" customHeight="false" outlineLevel="0" collapsed="false">
      <c r="A2261" s="8" t="n">
        <v>2260</v>
      </c>
      <c r="B2261" s="9" t="s">
        <v>3227</v>
      </c>
      <c r="C2261" s="8" t="n">
        <v>85</v>
      </c>
      <c r="D2261" s="9" t="str">
        <f aca="false">INDEX(Radicals!$B$2:$B$215,MATCH(C2261,Radicals!$A$2:$A$215,0))</f>
        <v>水</v>
      </c>
      <c r="E2261" s="10" t="str">
        <f aca="false">INDEX(Radicals!$G$2:$G$215,MATCH(C2261,Radicals!$A$2:$A$215,0))</f>
        <v>water</v>
      </c>
      <c r="F2261" s="8" t="n">
        <f aca="false">INDEX(Radicals!$D$2:$D$215,MATCH(C2261,Radicals!$A$2:$A$215,0))</f>
        <v>4</v>
      </c>
      <c r="G2261" s="8" t="n">
        <v>17</v>
      </c>
    </row>
    <row r="2262" customFormat="false" ht="17.35" hidden="false" customHeight="false" outlineLevel="0" collapsed="false">
      <c r="A2262" s="8" t="n">
        <v>2261</v>
      </c>
      <c r="B2262" s="9" t="s">
        <v>3228</v>
      </c>
      <c r="C2262" s="8" t="n">
        <v>75</v>
      </c>
      <c r="D2262" s="9" t="str">
        <f aca="false">INDEX(Radicals!$B$2:$B$215,MATCH(C2262,Radicals!$A$2:$A$215,0))</f>
        <v>木</v>
      </c>
      <c r="E2262" s="10" t="str">
        <f aca="false">INDEX(Radicals!$G$2:$G$215,MATCH(C2262,Radicals!$A$2:$A$215,0))</f>
        <v>tree, wood</v>
      </c>
      <c r="F2262" s="8" t="n">
        <f aca="false">INDEX(Radicals!$D$2:$D$215,MATCH(C2262,Radicals!$A$2:$A$215,0))</f>
        <v>4</v>
      </c>
      <c r="G2262" s="8" t="n">
        <v>14</v>
      </c>
    </row>
    <row r="2263" customFormat="false" ht="17.35" hidden="false" customHeight="false" outlineLevel="0" collapsed="false">
      <c r="A2263" s="8" t="n">
        <v>2262</v>
      </c>
      <c r="B2263" s="9" t="s">
        <v>3229</v>
      </c>
      <c r="C2263" s="8" t="n">
        <v>40</v>
      </c>
      <c r="D2263" s="9" t="str">
        <f aca="false">INDEX(Radicals!$B$2:$B$215,MATCH(C2263,Radicals!$A$2:$A$215,0))</f>
        <v>宀</v>
      </c>
      <c r="E2263" s="10" t="str">
        <f aca="false">INDEX(Radicals!$G$2:$G$215,MATCH(C2263,Radicals!$A$2:$A$215,0))</f>
        <v>roof</v>
      </c>
      <c r="F2263" s="8" t="n">
        <f aca="false">INDEX(Radicals!$D$2:$D$215,MATCH(C2263,Radicals!$A$2:$A$215,0))</f>
        <v>3</v>
      </c>
      <c r="G2263" s="8" t="n">
        <v>10</v>
      </c>
    </row>
    <row r="2264" customFormat="false" ht="17.35" hidden="false" customHeight="false" outlineLevel="0" collapsed="false">
      <c r="A2264" s="8" t="n">
        <v>2263</v>
      </c>
      <c r="B2264" s="9" t="s">
        <v>3230</v>
      </c>
      <c r="C2264" s="8" t="n">
        <v>145</v>
      </c>
      <c r="D2264" s="9" t="str">
        <f aca="false">INDEX(Radicals!$B$2:$B$215,MATCH(C2264,Radicals!$A$2:$A$215,0))</f>
        <v>衣</v>
      </c>
      <c r="E2264" s="10" t="str">
        <f aca="false">INDEX(Radicals!$G$2:$G$215,MATCH(C2264,Radicals!$A$2:$A$215,0))</f>
        <v>clothes</v>
      </c>
      <c r="F2264" s="8" t="n">
        <f aca="false">INDEX(Radicals!$D$2:$D$215,MATCH(C2264,Radicals!$A$2:$A$215,0))</f>
        <v>6</v>
      </c>
      <c r="G2264" s="8" t="n">
        <v>17</v>
      </c>
    </row>
    <row r="2265" customFormat="false" ht="17.35" hidden="false" customHeight="false" outlineLevel="0" collapsed="false">
      <c r="A2265" s="8" t="n">
        <v>2264</v>
      </c>
      <c r="B2265" s="9" t="s">
        <v>3231</v>
      </c>
      <c r="C2265" s="8" t="n">
        <v>38</v>
      </c>
      <c r="D2265" s="9" t="str">
        <f aca="false">INDEX(Radicals!$B$2:$B$215,MATCH(C2265,Radicals!$A$2:$A$215,0))</f>
        <v>女</v>
      </c>
      <c r="E2265" s="10" t="str">
        <f aca="false">INDEX(Radicals!$G$2:$G$215,MATCH(C2265,Radicals!$A$2:$A$215,0))</f>
        <v>woman</v>
      </c>
      <c r="F2265" s="8" t="n">
        <f aca="false">INDEX(Radicals!$D$2:$D$215,MATCH(C2265,Radicals!$A$2:$A$215,0))</f>
        <v>3</v>
      </c>
      <c r="G2265" s="8" t="n">
        <v>6</v>
      </c>
    </row>
    <row r="2266" customFormat="false" ht="17.35" hidden="false" customHeight="false" outlineLevel="0" collapsed="false">
      <c r="A2266" s="8" t="n">
        <v>2265</v>
      </c>
      <c r="B2266" s="9" t="s">
        <v>3232</v>
      </c>
      <c r="C2266" s="8" t="n">
        <v>61</v>
      </c>
      <c r="D2266" s="9" t="str">
        <f aca="false">INDEX(Radicals!$B$2:$B$215,MATCH(C2266,Radicals!$A$2:$A$215,0))</f>
        <v>心</v>
      </c>
      <c r="E2266" s="10" t="str">
        <f aca="false">INDEX(Radicals!$G$2:$G$215,MATCH(C2266,Radicals!$A$2:$A$215,0))</f>
        <v>heart, mind</v>
      </c>
      <c r="F2266" s="8" t="n">
        <f aca="false">INDEX(Radicals!$D$2:$D$215,MATCH(C2266,Radicals!$A$2:$A$215,0))</f>
        <v>4</v>
      </c>
      <c r="G2266" s="8" t="n">
        <v>11</v>
      </c>
    </row>
    <row r="2267" customFormat="false" ht="17.35" hidden="false" customHeight="false" outlineLevel="0" collapsed="false">
      <c r="A2267" s="8" t="n">
        <v>2266</v>
      </c>
      <c r="B2267" s="9" t="s">
        <v>3233</v>
      </c>
      <c r="C2267" s="8" t="n">
        <v>142</v>
      </c>
      <c r="D2267" s="9" t="str">
        <f aca="false">INDEX(Radicals!$B$2:$B$215,MATCH(C2267,Radicals!$A$2:$A$215,0))</f>
        <v>虫</v>
      </c>
      <c r="E2267" s="10" t="str">
        <f aca="false">INDEX(Radicals!$G$2:$G$215,MATCH(C2267,Radicals!$A$2:$A$215,0))</f>
        <v>insect</v>
      </c>
      <c r="F2267" s="8" t="n">
        <f aca="false">INDEX(Radicals!$D$2:$D$215,MATCH(C2267,Radicals!$A$2:$A$215,0))</f>
        <v>6</v>
      </c>
      <c r="G2267" s="8" t="n">
        <v>11</v>
      </c>
    </row>
    <row r="2268" customFormat="false" ht="17.35" hidden="false" customHeight="false" outlineLevel="0" collapsed="false">
      <c r="A2268" s="8" t="n">
        <v>2267</v>
      </c>
      <c r="B2268" s="9" t="s">
        <v>3234</v>
      </c>
      <c r="C2268" s="8" t="n">
        <v>130</v>
      </c>
      <c r="D2268" s="9" t="str">
        <f aca="false">INDEX(Radicals!$B$2:$B$215,MATCH(C2268,Radicals!$A$2:$A$215,0))</f>
        <v>肉</v>
      </c>
      <c r="E2268" s="10" t="str">
        <f aca="false">INDEX(Radicals!$G$2:$G$215,MATCH(C2268,Radicals!$A$2:$A$215,0))</f>
        <v>meat, flesh</v>
      </c>
      <c r="F2268" s="8" t="n">
        <f aca="false">INDEX(Radicals!$D$2:$D$215,MATCH(C2268,Radicals!$A$2:$A$215,0))</f>
        <v>6</v>
      </c>
      <c r="G2268" s="8" t="n">
        <v>11</v>
      </c>
    </row>
    <row r="2269" customFormat="false" ht="17.35" hidden="false" customHeight="false" outlineLevel="0" collapsed="false">
      <c r="A2269" s="8" t="n">
        <v>2268</v>
      </c>
      <c r="B2269" s="9" t="s">
        <v>3235</v>
      </c>
      <c r="C2269" s="8" t="n">
        <v>118</v>
      </c>
      <c r="D2269" s="9" t="str">
        <f aca="false">INDEX(Radicals!$B$2:$B$215,MATCH(C2269,Radicals!$A$2:$A$215,0))</f>
        <v>竹</v>
      </c>
      <c r="E2269" s="10" t="str">
        <f aca="false">INDEX(Radicals!$G$2:$G$215,MATCH(C2269,Radicals!$A$2:$A$215,0))</f>
        <v>bamboo</v>
      </c>
      <c r="F2269" s="8" t="n">
        <f aca="false">INDEX(Radicals!$D$2:$D$215,MATCH(C2269,Radicals!$A$2:$A$215,0))</f>
        <v>6</v>
      </c>
      <c r="G2269" s="8" t="n">
        <v>11</v>
      </c>
    </row>
    <row r="2270" customFormat="false" ht="17.35" hidden="false" customHeight="false" outlineLevel="0" collapsed="false">
      <c r="A2270" s="8" t="n">
        <v>2269</v>
      </c>
      <c r="B2270" s="9" t="s">
        <v>3236</v>
      </c>
      <c r="C2270" s="8" t="n">
        <v>40</v>
      </c>
      <c r="D2270" s="9" t="str">
        <f aca="false">INDEX(Radicals!$B$2:$B$215,MATCH(C2270,Radicals!$A$2:$A$215,0))</f>
        <v>宀</v>
      </c>
      <c r="E2270" s="10" t="str">
        <f aca="false">INDEX(Radicals!$G$2:$G$215,MATCH(C2270,Radicals!$A$2:$A$215,0))</f>
        <v>roof</v>
      </c>
      <c r="F2270" s="8" t="n">
        <f aca="false">INDEX(Radicals!$D$2:$D$215,MATCH(C2270,Radicals!$A$2:$A$215,0))</f>
        <v>3</v>
      </c>
      <c r="G2270" s="8" t="n">
        <v>7</v>
      </c>
    </row>
    <row r="2271" customFormat="false" ht="17.35" hidden="false" customHeight="false" outlineLevel="0" collapsed="false">
      <c r="A2271" s="8" t="n">
        <v>2270</v>
      </c>
      <c r="B2271" s="9" t="s">
        <v>3237</v>
      </c>
      <c r="C2271" s="8" t="n">
        <v>101</v>
      </c>
      <c r="D2271" s="9" t="str">
        <f aca="false">INDEX(Radicals!$B$2:$B$215,MATCH(C2271,Radicals!$A$2:$A$215,0))</f>
        <v>用</v>
      </c>
      <c r="E2271" s="10" t="str">
        <f aca="false">INDEX(Radicals!$G$2:$G$215,MATCH(C2271,Radicals!$A$2:$A$215,0))</f>
        <v>use</v>
      </c>
      <c r="F2271" s="8" t="n">
        <f aca="false">INDEX(Radicals!$D$2:$D$215,MATCH(C2271,Radicals!$A$2:$A$215,0))</f>
        <v>5</v>
      </c>
      <c r="G2271" s="8" t="n">
        <v>7</v>
      </c>
    </row>
    <row r="2272" customFormat="false" ht="17.35" hidden="false" customHeight="false" outlineLevel="0" collapsed="false">
      <c r="A2272" s="8" t="n">
        <v>2271</v>
      </c>
      <c r="B2272" s="9" t="s">
        <v>3238</v>
      </c>
      <c r="C2272" s="8" t="n">
        <v>164</v>
      </c>
      <c r="D2272" s="9" t="str">
        <f aca="false">INDEX(Radicals!$B$2:$B$215,MATCH(C2272,Radicals!$A$2:$A$215,0))</f>
        <v>酉</v>
      </c>
      <c r="E2272" s="10" t="str">
        <f aca="false">INDEX(Radicals!$G$2:$G$215,MATCH(C2272,Radicals!$A$2:$A$215,0))</f>
        <v>wine, 10th zodiac sign (rooster)</v>
      </c>
      <c r="F2272" s="8" t="n">
        <f aca="false">INDEX(Radicals!$D$2:$D$215,MATCH(C2272,Radicals!$A$2:$A$215,0))</f>
        <v>7</v>
      </c>
      <c r="G2272" s="8" t="n">
        <v>10</v>
      </c>
    </row>
    <row r="2273" customFormat="false" ht="17.35" hidden="false" customHeight="false" outlineLevel="0" collapsed="false">
      <c r="A2273" s="8" t="n">
        <v>2272</v>
      </c>
      <c r="B2273" s="9" t="s">
        <v>3239</v>
      </c>
      <c r="C2273" s="8" t="n">
        <v>142</v>
      </c>
      <c r="D2273" s="9" t="str">
        <f aca="false">INDEX(Radicals!$B$2:$B$215,MATCH(C2273,Radicals!$A$2:$A$215,0))</f>
        <v>虫</v>
      </c>
      <c r="E2273" s="10" t="str">
        <f aca="false">INDEX(Radicals!$G$2:$G$215,MATCH(C2273,Radicals!$A$2:$A$215,0))</f>
        <v>insect</v>
      </c>
      <c r="F2273" s="8" t="n">
        <f aca="false">INDEX(Radicals!$D$2:$D$215,MATCH(C2273,Radicals!$A$2:$A$215,0))</f>
        <v>6</v>
      </c>
      <c r="G2273" s="8" t="n">
        <v>10</v>
      </c>
    </row>
    <row r="2274" customFormat="false" ht="17.35" hidden="false" customHeight="false" outlineLevel="0" collapsed="false">
      <c r="A2274" s="8" t="n">
        <v>2273</v>
      </c>
      <c r="B2274" s="9" t="s">
        <v>3240</v>
      </c>
      <c r="C2274" s="8" t="n">
        <v>32</v>
      </c>
      <c r="D2274" s="9" t="str">
        <f aca="false">INDEX(Radicals!$B$2:$B$215,MATCH(C2274,Radicals!$A$2:$A$215,0))</f>
        <v>土</v>
      </c>
      <c r="E2274" s="10" t="str">
        <f aca="false">INDEX(Radicals!$G$2:$G$215,MATCH(C2274,Radicals!$A$2:$A$215,0))</f>
        <v>earth, soil</v>
      </c>
      <c r="F2274" s="8" t="n">
        <f aca="false">INDEX(Radicals!$D$2:$D$215,MATCH(C2274,Radicals!$A$2:$A$215,0))</f>
        <v>3</v>
      </c>
      <c r="G2274" s="8" t="n">
        <v>17</v>
      </c>
    </row>
    <row r="2275" customFormat="false" ht="17.35" hidden="false" customHeight="false" outlineLevel="0" collapsed="false">
      <c r="A2275" s="8" t="n">
        <v>2274</v>
      </c>
      <c r="B2275" s="9" t="s">
        <v>3241</v>
      </c>
      <c r="C2275" s="8" t="n">
        <v>38</v>
      </c>
      <c r="D2275" s="9" t="str">
        <f aca="false">INDEX(Radicals!$B$2:$B$215,MATCH(C2275,Radicals!$A$2:$A$215,0))</f>
        <v>女</v>
      </c>
      <c r="E2275" s="10" t="str">
        <f aca="false">INDEX(Radicals!$G$2:$G$215,MATCH(C2275,Radicals!$A$2:$A$215,0))</f>
        <v>woman</v>
      </c>
      <c r="F2275" s="8" t="n">
        <f aca="false">INDEX(Radicals!$D$2:$D$215,MATCH(C2275,Radicals!$A$2:$A$215,0))</f>
        <v>3</v>
      </c>
      <c r="G2275" s="8" t="n">
        <v>15</v>
      </c>
    </row>
    <row r="2276" customFormat="false" ht="17.35" hidden="false" customHeight="false" outlineLevel="0" collapsed="false">
      <c r="A2276" s="8" t="n">
        <v>2275</v>
      </c>
      <c r="B2276" s="9" t="s">
        <v>3242</v>
      </c>
      <c r="C2276" s="8" t="n">
        <v>30</v>
      </c>
      <c r="D2276" s="9" t="str">
        <f aca="false">INDEX(Radicals!$B$2:$B$215,MATCH(C2276,Radicals!$A$2:$A$215,0))</f>
        <v>口</v>
      </c>
      <c r="E2276" s="10" t="str">
        <f aca="false">INDEX(Radicals!$G$2:$G$215,MATCH(C2276,Radicals!$A$2:$A$215,0))</f>
        <v>mouth</v>
      </c>
      <c r="F2276" s="8" t="n">
        <f aca="false">INDEX(Radicals!$D$2:$D$215,MATCH(C2276,Radicals!$A$2:$A$215,0))</f>
        <v>3</v>
      </c>
      <c r="G2276" s="8" t="n">
        <v>21</v>
      </c>
    </row>
    <row r="2277" customFormat="false" ht="17.35" hidden="false" customHeight="false" outlineLevel="0" collapsed="false">
      <c r="A2277" s="8" t="n">
        <v>2276</v>
      </c>
      <c r="B2277" s="9" t="s">
        <v>3243</v>
      </c>
      <c r="C2277" s="8" t="n">
        <v>140</v>
      </c>
      <c r="D2277" s="9" t="str">
        <f aca="false">INDEX(Radicals!$B$2:$B$215,MATCH(C2277,Radicals!$A$2:$A$215,0))</f>
        <v>艸</v>
      </c>
      <c r="E2277" s="10" t="str">
        <f aca="false">INDEX(Radicals!$G$2:$G$215,MATCH(C2277,Radicals!$A$2:$A$215,0))</f>
        <v>grass, plant</v>
      </c>
      <c r="F2277" s="8" t="n">
        <f aca="false">INDEX(Radicals!$D$2:$D$215,MATCH(C2277,Radicals!$A$2:$A$215,0))</f>
        <v>6</v>
      </c>
      <c r="G2277" s="8" t="n">
        <v>13</v>
      </c>
    </row>
    <row r="2278" customFormat="false" ht="17.35" hidden="false" customHeight="false" outlineLevel="0" collapsed="false">
      <c r="A2278" s="8" t="n">
        <v>2277</v>
      </c>
      <c r="B2278" s="9" t="s">
        <v>3244</v>
      </c>
      <c r="C2278" s="8" t="n">
        <v>184</v>
      </c>
      <c r="D2278" s="9" t="str">
        <f aca="false">INDEX(Radicals!$B$2:$B$215,MATCH(C2278,Radicals!$A$2:$A$215,0))</f>
        <v>食</v>
      </c>
      <c r="E2278" s="10" t="str">
        <f aca="false">INDEX(Radicals!$G$2:$G$215,MATCH(C2278,Radicals!$A$2:$A$215,0))</f>
        <v>eat, food</v>
      </c>
      <c r="F2278" s="8" t="n">
        <f aca="false">INDEX(Radicals!$D$2:$D$215,MATCH(C2278,Radicals!$A$2:$A$215,0))</f>
        <v>9</v>
      </c>
      <c r="G2278" s="8" t="n">
        <v>14</v>
      </c>
    </row>
    <row r="2279" customFormat="false" ht="17.35" hidden="false" customHeight="false" outlineLevel="0" collapsed="false">
      <c r="A2279" s="8" t="n">
        <v>2278</v>
      </c>
      <c r="B2279" s="9" t="s">
        <v>3245</v>
      </c>
      <c r="C2279" s="8" t="n">
        <v>118</v>
      </c>
      <c r="D2279" s="9" t="str">
        <f aca="false">INDEX(Radicals!$B$2:$B$215,MATCH(C2279,Radicals!$A$2:$A$215,0))</f>
        <v>竹</v>
      </c>
      <c r="E2279" s="10" t="str">
        <f aca="false">INDEX(Radicals!$G$2:$G$215,MATCH(C2279,Radicals!$A$2:$A$215,0))</f>
        <v>bamboo</v>
      </c>
      <c r="F2279" s="8" t="n">
        <f aca="false">INDEX(Radicals!$D$2:$D$215,MATCH(C2279,Radicals!$A$2:$A$215,0))</f>
        <v>6</v>
      </c>
      <c r="G2279" s="8" t="n">
        <v>17</v>
      </c>
    </row>
    <row r="2280" customFormat="false" ht="17.35" hidden="false" customHeight="false" outlineLevel="0" collapsed="false">
      <c r="A2280" s="8" t="n">
        <v>2279</v>
      </c>
      <c r="B2280" s="9" t="s">
        <v>3246</v>
      </c>
      <c r="C2280" s="8" t="n">
        <v>46</v>
      </c>
      <c r="D2280" s="9" t="str">
        <f aca="false">INDEX(Radicals!$B$2:$B$215,MATCH(C2280,Radicals!$A$2:$A$215,0))</f>
        <v>山</v>
      </c>
      <c r="E2280" s="10" t="str">
        <f aca="false">INDEX(Radicals!$G$2:$G$215,MATCH(C2280,Radicals!$A$2:$A$215,0))</f>
        <v>mountain</v>
      </c>
      <c r="F2280" s="8" t="n">
        <f aca="false">INDEX(Radicals!$D$2:$D$215,MATCH(C2280,Radicals!$A$2:$A$215,0))</f>
        <v>3</v>
      </c>
      <c r="G2280" s="8" t="n">
        <v>9</v>
      </c>
    </row>
    <row r="2281" customFormat="false" ht="17.35" hidden="false" customHeight="false" outlineLevel="0" collapsed="false">
      <c r="A2281" s="8" t="n">
        <v>2280</v>
      </c>
      <c r="B2281" s="9" t="s">
        <v>3247</v>
      </c>
      <c r="C2281" s="8" t="n">
        <v>119</v>
      </c>
      <c r="D2281" s="9" t="str">
        <f aca="false">INDEX(Radicals!$B$2:$B$215,MATCH(C2281,Radicals!$A$2:$A$215,0))</f>
        <v>米</v>
      </c>
      <c r="E2281" s="10" t="str">
        <f aca="false">INDEX(Radicals!$G$2:$G$215,MATCH(C2281,Radicals!$A$2:$A$215,0))</f>
        <v>rice</v>
      </c>
      <c r="F2281" s="8" t="n">
        <f aca="false">INDEX(Radicals!$D$2:$D$215,MATCH(C2281,Radicals!$A$2:$A$215,0))</f>
        <v>6</v>
      </c>
      <c r="G2281" s="8" t="n">
        <v>12</v>
      </c>
    </row>
    <row r="2282" customFormat="false" ht="17.35" hidden="false" customHeight="false" outlineLevel="0" collapsed="false">
      <c r="A2282" s="8" t="n">
        <v>2281</v>
      </c>
      <c r="B2282" s="9" t="s">
        <v>3248</v>
      </c>
      <c r="C2282" s="8" t="n">
        <v>135</v>
      </c>
      <c r="D2282" s="9" t="str">
        <f aca="false">INDEX(Radicals!$B$2:$B$215,MATCH(C2282,Radicals!$A$2:$A$215,0))</f>
        <v>舌</v>
      </c>
      <c r="E2282" s="10" t="str">
        <f aca="false">INDEX(Radicals!$G$2:$G$215,MATCH(C2282,Radicals!$A$2:$A$215,0))</f>
        <v>tongue</v>
      </c>
      <c r="F2282" s="8" t="n">
        <f aca="false">INDEX(Radicals!$D$2:$D$215,MATCH(C2282,Radicals!$A$2:$A$215,0))</f>
        <v>6</v>
      </c>
      <c r="G2282" s="8" t="n">
        <v>16</v>
      </c>
    </row>
    <row r="2283" customFormat="false" ht="17.35" hidden="false" customHeight="false" outlineLevel="0" collapsed="false">
      <c r="A2283" s="8" t="n">
        <v>2282</v>
      </c>
      <c r="B2283" s="9" t="s">
        <v>3249</v>
      </c>
      <c r="C2283" s="8" t="n">
        <v>167</v>
      </c>
      <c r="D2283" s="9" t="str">
        <f aca="false">INDEX(Radicals!$B$2:$B$215,MATCH(C2283,Radicals!$A$2:$A$215,0))</f>
        <v>金</v>
      </c>
      <c r="E2283" s="10" t="str">
        <f aca="false">INDEX(Radicals!$G$2:$G$215,MATCH(C2283,Radicals!$A$2:$A$215,0))</f>
        <v>metal, gold</v>
      </c>
      <c r="F2283" s="8" t="n">
        <f aca="false">INDEX(Radicals!$D$2:$D$215,MATCH(C2283,Radicals!$A$2:$A$215,0))</f>
        <v>8</v>
      </c>
      <c r="G2283" s="8" t="n">
        <v>14</v>
      </c>
    </row>
    <row r="2284" customFormat="false" ht="17.35" hidden="false" customHeight="false" outlineLevel="0" collapsed="false">
      <c r="A2284" s="8" t="n">
        <v>2283</v>
      </c>
      <c r="B2284" s="9" t="s">
        <v>3250</v>
      </c>
      <c r="C2284" s="8" t="n">
        <v>163</v>
      </c>
      <c r="D2284" s="9" t="str">
        <f aca="false">INDEX(Radicals!$B$2:$B$215,MATCH(C2284,Radicals!$A$2:$A$215,0))</f>
        <v>邑</v>
      </c>
      <c r="E2284" s="10" t="str">
        <f aca="false">INDEX(Radicals!$G$2:$G$215,MATCH(C2284,Radicals!$A$2:$A$215,0))</f>
        <v>city, village</v>
      </c>
      <c r="F2284" s="8" t="n">
        <f aca="false">INDEX(Radicals!$D$2:$D$215,MATCH(C2284,Radicals!$A$2:$A$215,0))</f>
        <v>7</v>
      </c>
      <c r="G2284" s="8" t="n">
        <v>13</v>
      </c>
    </row>
    <row r="2285" customFormat="false" ht="17.35" hidden="false" customHeight="false" outlineLevel="0" collapsed="false">
      <c r="A2285" s="8" t="n">
        <v>2284</v>
      </c>
      <c r="B2285" s="9" t="s">
        <v>3251</v>
      </c>
      <c r="C2285" s="8" t="n">
        <v>142</v>
      </c>
      <c r="D2285" s="9" t="str">
        <f aca="false">INDEX(Radicals!$B$2:$B$215,MATCH(C2285,Radicals!$A$2:$A$215,0))</f>
        <v>虫</v>
      </c>
      <c r="E2285" s="10" t="str">
        <f aca="false">INDEX(Radicals!$G$2:$G$215,MATCH(C2285,Radicals!$A$2:$A$215,0))</f>
        <v>insect</v>
      </c>
      <c r="F2285" s="8" t="n">
        <f aca="false">INDEX(Radicals!$D$2:$D$215,MATCH(C2285,Radicals!$A$2:$A$215,0))</f>
        <v>6</v>
      </c>
      <c r="G2285" s="8" t="n">
        <v>14</v>
      </c>
    </row>
    <row r="2286" customFormat="false" ht="17.35" hidden="false" customHeight="false" outlineLevel="0" collapsed="false">
      <c r="A2286" s="8" t="n">
        <v>2285</v>
      </c>
      <c r="B2286" s="9" t="s">
        <v>3252</v>
      </c>
      <c r="C2286" s="8" t="n">
        <v>72</v>
      </c>
      <c r="D2286" s="9" t="str">
        <f aca="false">INDEX(Radicals!$B$2:$B$215,MATCH(C2286,Radicals!$A$2:$A$215,0))</f>
        <v>日</v>
      </c>
      <c r="E2286" s="10" t="str">
        <f aca="false">INDEX(Radicals!$G$2:$G$215,MATCH(C2286,Radicals!$A$2:$A$215,0))</f>
        <v>sun, day</v>
      </c>
      <c r="F2286" s="8" t="n">
        <f aca="false">INDEX(Radicals!$D$2:$D$215,MATCH(C2286,Radicals!$A$2:$A$215,0))</f>
        <v>4</v>
      </c>
      <c r="G2286" s="8" t="n">
        <v>13</v>
      </c>
    </row>
    <row r="2287" customFormat="false" ht="17.35" hidden="false" customHeight="false" outlineLevel="0" collapsed="false">
      <c r="A2287" s="8" t="n">
        <v>2286</v>
      </c>
      <c r="B2287" s="9" t="s">
        <v>3253</v>
      </c>
      <c r="C2287" s="8" t="n">
        <v>64</v>
      </c>
      <c r="D2287" s="9" t="str">
        <f aca="false">INDEX(Radicals!$B$2:$B$215,MATCH(C2287,Radicals!$A$2:$A$215,0))</f>
        <v>手</v>
      </c>
      <c r="E2287" s="10" t="str">
        <f aca="false">INDEX(Radicals!$G$2:$G$215,MATCH(C2287,Radicals!$A$2:$A$215,0))</f>
        <v>hand</v>
      </c>
      <c r="F2287" s="8" t="n">
        <f aca="false">INDEX(Radicals!$D$2:$D$215,MATCH(C2287,Radicals!$A$2:$A$215,0))</f>
        <v>4</v>
      </c>
      <c r="G2287" s="8" t="n">
        <v>11</v>
      </c>
    </row>
    <row r="2288" customFormat="false" ht="17.35" hidden="false" customHeight="false" outlineLevel="0" collapsed="false">
      <c r="A2288" s="8" t="n">
        <v>2287</v>
      </c>
      <c r="B2288" s="9" t="s">
        <v>3254</v>
      </c>
      <c r="C2288" s="8" t="n">
        <v>181</v>
      </c>
      <c r="D2288" s="9" t="str">
        <f aca="false">INDEX(Radicals!$B$2:$B$215,MATCH(C2288,Radicals!$A$2:$A$215,0))</f>
        <v>頁</v>
      </c>
      <c r="E2288" s="10" t="str">
        <f aca="false">INDEX(Radicals!$G$2:$G$215,MATCH(C2288,Radicals!$A$2:$A$215,0))</f>
        <v>page, leaf (head)</v>
      </c>
      <c r="F2288" s="8" t="n">
        <f aca="false">INDEX(Radicals!$D$2:$D$215,MATCH(C2288,Radicals!$A$2:$A$215,0))</f>
        <v>9</v>
      </c>
      <c r="G2288" s="8" t="n">
        <v>13</v>
      </c>
    </row>
    <row r="2289" customFormat="false" ht="17.35" hidden="false" customHeight="false" outlineLevel="0" collapsed="false">
      <c r="A2289" s="8" t="n">
        <v>2288</v>
      </c>
      <c r="B2289" s="9" t="s">
        <v>3255</v>
      </c>
      <c r="C2289" s="8" t="n">
        <v>30</v>
      </c>
      <c r="D2289" s="9" t="str">
        <f aca="false">INDEX(Radicals!$B$2:$B$215,MATCH(C2289,Radicals!$A$2:$A$215,0))</f>
        <v>口</v>
      </c>
      <c r="E2289" s="10" t="str">
        <f aca="false">INDEX(Radicals!$G$2:$G$215,MATCH(C2289,Radicals!$A$2:$A$215,0))</f>
        <v>mouth</v>
      </c>
      <c r="F2289" s="8" t="n">
        <f aca="false">INDEX(Radicals!$D$2:$D$215,MATCH(C2289,Radicals!$A$2:$A$215,0))</f>
        <v>3</v>
      </c>
      <c r="G2289" s="8" t="n">
        <v>5</v>
      </c>
    </row>
    <row r="2290" customFormat="false" ht="17.35" hidden="false" customHeight="false" outlineLevel="0" collapsed="false">
      <c r="A2290" s="8" t="n">
        <v>2289</v>
      </c>
      <c r="B2290" s="9" t="s">
        <v>3256</v>
      </c>
      <c r="C2290" s="8" t="n">
        <v>130</v>
      </c>
      <c r="D2290" s="9" t="str">
        <f aca="false">INDEX(Radicals!$B$2:$B$215,MATCH(C2290,Radicals!$A$2:$A$215,0))</f>
        <v>肉</v>
      </c>
      <c r="E2290" s="10" t="str">
        <f aca="false">INDEX(Radicals!$G$2:$G$215,MATCH(C2290,Radicals!$A$2:$A$215,0))</f>
        <v>meat, flesh</v>
      </c>
      <c r="F2290" s="8" t="n">
        <f aca="false">INDEX(Radicals!$D$2:$D$215,MATCH(C2290,Radicals!$A$2:$A$215,0))</f>
        <v>6</v>
      </c>
      <c r="G2290" s="8" t="n">
        <v>8</v>
      </c>
    </row>
    <row r="2291" customFormat="false" ht="17.35" hidden="false" customHeight="false" outlineLevel="0" collapsed="false">
      <c r="A2291" s="8" t="n">
        <v>2290</v>
      </c>
      <c r="B2291" s="9" t="s">
        <v>3257</v>
      </c>
      <c r="C2291" s="8" t="n">
        <v>118</v>
      </c>
      <c r="D2291" s="9" t="str">
        <f aca="false">INDEX(Radicals!$B$2:$B$215,MATCH(C2291,Radicals!$A$2:$A$215,0))</f>
        <v>竹</v>
      </c>
      <c r="E2291" s="10" t="str">
        <f aca="false">INDEX(Radicals!$G$2:$G$215,MATCH(C2291,Radicals!$A$2:$A$215,0))</f>
        <v>bamboo</v>
      </c>
      <c r="F2291" s="8" t="n">
        <f aca="false">INDEX(Radicals!$D$2:$D$215,MATCH(C2291,Radicals!$A$2:$A$215,0))</f>
        <v>6</v>
      </c>
      <c r="G2291" s="8" t="n">
        <v>14</v>
      </c>
    </row>
    <row r="2292" customFormat="false" ht="17.35" hidden="false" customHeight="false" outlineLevel="0" collapsed="false">
      <c r="A2292" s="8" t="n">
        <v>2291</v>
      </c>
      <c r="B2292" s="9" t="s">
        <v>3258</v>
      </c>
      <c r="C2292" s="8" t="n">
        <v>75</v>
      </c>
      <c r="D2292" s="9" t="str">
        <f aca="false">INDEX(Radicals!$B$2:$B$215,MATCH(C2292,Radicals!$A$2:$A$215,0))</f>
        <v>木</v>
      </c>
      <c r="E2292" s="10" t="str">
        <f aca="false">INDEX(Radicals!$G$2:$G$215,MATCH(C2292,Radicals!$A$2:$A$215,0))</f>
        <v>tree, wood</v>
      </c>
      <c r="F2292" s="8" t="n">
        <f aca="false">INDEX(Radicals!$D$2:$D$215,MATCH(C2292,Radicals!$A$2:$A$215,0))</f>
        <v>4</v>
      </c>
      <c r="G2292" s="8" t="n">
        <v>17</v>
      </c>
    </row>
    <row r="2293" customFormat="false" ht="17.35" hidden="false" customHeight="false" outlineLevel="0" collapsed="false">
      <c r="A2293" s="8" t="n">
        <v>2292</v>
      </c>
      <c r="B2293" s="9" t="s">
        <v>3259</v>
      </c>
      <c r="C2293" s="8" t="n">
        <v>196</v>
      </c>
      <c r="D2293" s="9" t="str">
        <f aca="false">INDEX(Radicals!$B$2:$B$215,MATCH(C2293,Radicals!$A$2:$A$215,0))</f>
        <v>鳥</v>
      </c>
      <c r="E2293" s="10" t="str">
        <f aca="false">INDEX(Radicals!$G$2:$G$215,MATCH(C2293,Radicals!$A$2:$A$215,0))</f>
        <v>bird</v>
      </c>
      <c r="F2293" s="8" t="n">
        <f aca="false">INDEX(Radicals!$D$2:$D$215,MATCH(C2293,Radicals!$A$2:$A$215,0))</f>
        <v>11</v>
      </c>
      <c r="G2293" s="8" t="n">
        <v>18</v>
      </c>
    </row>
    <row r="2294" customFormat="false" ht="17.35" hidden="false" customHeight="false" outlineLevel="0" collapsed="false">
      <c r="A2294" s="8" t="n">
        <v>2293</v>
      </c>
      <c r="B2294" s="9" t="s">
        <v>3260</v>
      </c>
      <c r="C2294" s="8" t="n">
        <v>16</v>
      </c>
      <c r="D2294" s="9" t="str">
        <f aca="false">INDEX(Radicals!$B$2:$B$215,MATCH(C2294,Radicals!$A$2:$A$215,0))</f>
        <v>几</v>
      </c>
      <c r="E2294" s="10" t="str">
        <f aca="false">INDEX(Radicals!$G$2:$G$215,MATCH(C2294,Radicals!$A$2:$A$215,0))</f>
        <v>table, wind</v>
      </c>
      <c r="F2294" s="8" t="n">
        <f aca="false">INDEX(Radicals!$D$2:$D$215,MATCH(C2294,Radicals!$A$2:$A$215,0))</f>
        <v>2</v>
      </c>
      <c r="G2294" s="8" t="n">
        <v>12</v>
      </c>
    </row>
    <row r="2295" customFormat="false" ht="17.35" hidden="false" customHeight="false" outlineLevel="0" collapsed="false">
      <c r="A2295" s="8" t="n">
        <v>2294</v>
      </c>
      <c r="B2295" s="9" t="s">
        <v>3261</v>
      </c>
      <c r="C2295" s="8" t="n">
        <v>58</v>
      </c>
      <c r="D2295" s="9" t="str">
        <f aca="false">INDEX(Radicals!$B$2:$B$215,MATCH(C2295,Radicals!$A$2:$A$215,0))</f>
        <v>彐</v>
      </c>
      <c r="E2295" s="10" t="str">
        <f aca="false">INDEX(Radicals!$G$2:$G$215,MATCH(C2295,Radicals!$A$2:$A$215,0))</f>
        <v>pig snout</v>
      </c>
      <c r="F2295" s="8" t="n">
        <f aca="false">INDEX(Radicals!$D$2:$D$215,MATCH(C2295,Radicals!$A$2:$A$215,0))</f>
        <v>3</v>
      </c>
      <c r="G2295" s="8" t="n">
        <v>11</v>
      </c>
    </row>
    <row r="2296" customFormat="false" ht="17.35" hidden="false" customHeight="false" outlineLevel="0" collapsed="false">
      <c r="A2296" s="8" t="n">
        <v>2295</v>
      </c>
      <c r="B2296" s="9" t="s">
        <v>3262</v>
      </c>
      <c r="C2296" s="8" t="n">
        <v>149</v>
      </c>
      <c r="D2296" s="9" t="str">
        <f aca="false">INDEX(Radicals!$B$2:$B$215,MATCH(C2296,Radicals!$A$2:$A$215,0))</f>
        <v>言</v>
      </c>
      <c r="E2296" s="10" t="str">
        <f aca="false">INDEX(Radicals!$G$2:$G$215,MATCH(C2296,Radicals!$A$2:$A$215,0))</f>
        <v>speech, say</v>
      </c>
      <c r="F2296" s="8" t="n">
        <f aca="false">INDEX(Radicals!$D$2:$D$215,MATCH(C2296,Radicals!$A$2:$A$215,0))</f>
        <v>7</v>
      </c>
      <c r="G2296" s="8" t="n">
        <v>17</v>
      </c>
    </row>
    <row r="2297" customFormat="false" ht="17.35" hidden="false" customHeight="false" outlineLevel="0" collapsed="false">
      <c r="A2297" s="8" t="n">
        <v>2296</v>
      </c>
      <c r="B2297" s="9" t="s">
        <v>3263</v>
      </c>
      <c r="C2297" s="8" t="n">
        <v>149</v>
      </c>
      <c r="D2297" s="9" t="str">
        <f aca="false">INDEX(Radicals!$B$2:$B$215,MATCH(C2297,Radicals!$A$2:$A$215,0))</f>
        <v>言</v>
      </c>
      <c r="E2297" s="10" t="str">
        <f aca="false">INDEX(Radicals!$G$2:$G$215,MATCH(C2297,Radicals!$A$2:$A$215,0))</f>
        <v>speech, say</v>
      </c>
      <c r="F2297" s="8" t="n">
        <f aca="false">INDEX(Radicals!$D$2:$D$215,MATCH(C2297,Radicals!$A$2:$A$215,0))</f>
        <v>7</v>
      </c>
      <c r="G2297" s="8" t="n">
        <v>15</v>
      </c>
    </row>
    <row r="2298" customFormat="false" ht="17.35" hidden="false" customHeight="false" outlineLevel="0" collapsed="false">
      <c r="A2298" s="8" t="n">
        <v>2297</v>
      </c>
      <c r="B2298" s="9" t="s">
        <v>3264</v>
      </c>
      <c r="C2298" s="8" t="n">
        <v>75</v>
      </c>
      <c r="D2298" s="9" t="str">
        <f aca="false">INDEX(Radicals!$B$2:$B$215,MATCH(C2298,Radicals!$A$2:$A$215,0))</f>
        <v>木</v>
      </c>
      <c r="E2298" s="10" t="str">
        <f aca="false">INDEX(Radicals!$G$2:$G$215,MATCH(C2298,Radicals!$A$2:$A$215,0))</f>
        <v>tree, wood</v>
      </c>
      <c r="F2298" s="8" t="n">
        <f aca="false">INDEX(Radicals!$D$2:$D$215,MATCH(C2298,Radicals!$A$2:$A$215,0))</f>
        <v>4</v>
      </c>
      <c r="G2298" s="8" t="n">
        <v>16</v>
      </c>
    </row>
    <row r="2299" customFormat="false" ht="17.35" hidden="false" customHeight="false" outlineLevel="0" collapsed="false">
      <c r="A2299" s="8" t="n">
        <v>2298</v>
      </c>
      <c r="B2299" s="9" t="s">
        <v>3265</v>
      </c>
      <c r="C2299" s="8" t="n">
        <v>30</v>
      </c>
      <c r="D2299" s="9" t="str">
        <f aca="false">INDEX(Radicals!$B$2:$B$215,MATCH(C2299,Radicals!$A$2:$A$215,0))</f>
        <v>口</v>
      </c>
      <c r="E2299" s="10" t="str">
        <f aca="false">INDEX(Radicals!$G$2:$G$215,MATCH(C2299,Radicals!$A$2:$A$215,0))</f>
        <v>mouth</v>
      </c>
      <c r="F2299" s="8" t="n">
        <f aca="false">INDEX(Radicals!$D$2:$D$215,MATCH(C2299,Radicals!$A$2:$A$215,0))</f>
        <v>3</v>
      </c>
      <c r="G2299" s="8" t="n">
        <v>15</v>
      </c>
    </row>
    <row r="2300" customFormat="false" ht="17.35" hidden="false" customHeight="false" outlineLevel="0" collapsed="false">
      <c r="A2300" s="8" t="n">
        <v>2299</v>
      </c>
      <c r="B2300" s="9" t="s">
        <v>3266</v>
      </c>
      <c r="C2300" s="8" t="n">
        <v>130</v>
      </c>
      <c r="D2300" s="9" t="str">
        <f aca="false">INDEX(Radicals!$B$2:$B$215,MATCH(C2300,Radicals!$A$2:$A$215,0))</f>
        <v>肉</v>
      </c>
      <c r="E2300" s="10" t="str">
        <f aca="false">INDEX(Radicals!$G$2:$G$215,MATCH(C2300,Radicals!$A$2:$A$215,0))</f>
        <v>meat, flesh</v>
      </c>
      <c r="F2300" s="8" t="n">
        <f aca="false">INDEX(Radicals!$D$2:$D$215,MATCH(C2300,Radicals!$A$2:$A$215,0))</f>
        <v>6</v>
      </c>
      <c r="G2300" s="8" t="n">
        <v>10</v>
      </c>
    </row>
    <row r="2301" customFormat="false" ht="17.35" hidden="false" customHeight="false" outlineLevel="0" collapsed="false">
      <c r="A2301" s="8" t="n">
        <v>2300</v>
      </c>
      <c r="B2301" s="9" t="s">
        <v>3267</v>
      </c>
      <c r="C2301" s="8" t="n">
        <v>93</v>
      </c>
      <c r="D2301" s="9" t="str">
        <f aca="false">INDEX(Radicals!$B$2:$B$215,MATCH(C2301,Radicals!$A$2:$A$215,0))</f>
        <v>牛</v>
      </c>
      <c r="E2301" s="10" t="str">
        <f aca="false">INDEX(Radicals!$G$2:$G$215,MATCH(C2301,Radicals!$A$2:$A$215,0))</f>
        <v>cow, ox</v>
      </c>
      <c r="F2301" s="8" t="n">
        <f aca="false">INDEX(Radicals!$D$2:$D$215,MATCH(C2301,Radicals!$A$2:$A$215,0))</f>
        <v>4</v>
      </c>
      <c r="G2301" s="8" t="n">
        <v>6</v>
      </c>
    </row>
    <row r="2302" customFormat="false" ht="17.35" hidden="false" customHeight="false" outlineLevel="0" collapsed="false">
      <c r="A2302" s="8" t="n">
        <v>2301</v>
      </c>
      <c r="B2302" s="9" t="s">
        <v>3268</v>
      </c>
      <c r="C2302" s="8" t="n">
        <v>75</v>
      </c>
      <c r="D2302" s="9" t="str">
        <f aca="false">INDEX(Radicals!$B$2:$B$215,MATCH(C2302,Radicals!$A$2:$A$215,0))</f>
        <v>木</v>
      </c>
      <c r="E2302" s="10" t="str">
        <f aca="false">INDEX(Radicals!$G$2:$G$215,MATCH(C2302,Radicals!$A$2:$A$215,0))</f>
        <v>tree, wood</v>
      </c>
      <c r="F2302" s="8" t="n">
        <f aca="false">INDEX(Radicals!$D$2:$D$215,MATCH(C2302,Radicals!$A$2:$A$215,0))</f>
        <v>4</v>
      </c>
      <c r="G2302" s="8" t="n">
        <v>11</v>
      </c>
    </row>
    <row r="2303" customFormat="false" ht="17.35" hidden="false" customHeight="false" outlineLevel="0" collapsed="false">
      <c r="A2303" s="8" t="n">
        <v>2302</v>
      </c>
      <c r="B2303" s="9" t="s">
        <v>3269</v>
      </c>
      <c r="C2303" s="8" t="n">
        <v>85</v>
      </c>
      <c r="D2303" s="9" t="str">
        <f aca="false">INDEX(Radicals!$B$2:$B$215,MATCH(C2303,Radicals!$A$2:$A$215,0))</f>
        <v>水</v>
      </c>
      <c r="E2303" s="10" t="str">
        <f aca="false">INDEX(Radicals!$G$2:$G$215,MATCH(C2303,Radicals!$A$2:$A$215,0))</f>
        <v>water</v>
      </c>
      <c r="F2303" s="8" t="n">
        <f aca="false">INDEX(Radicals!$D$2:$D$215,MATCH(C2303,Radicals!$A$2:$A$215,0))</f>
        <v>4</v>
      </c>
      <c r="G2303" s="8" t="n">
        <v>9</v>
      </c>
    </row>
    <row r="2304" customFormat="false" ht="17.35" hidden="false" customHeight="false" outlineLevel="0" collapsed="false">
      <c r="A2304" s="8" t="n">
        <v>2303</v>
      </c>
      <c r="B2304" s="9" t="s">
        <v>3270</v>
      </c>
      <c r="C2304" s="8" t="n">
        <v>164</v>
      </c>
      <c r="D2304" s="9" t="str">
        <f aca="false">INDEX(Radicals!$B$2:$B$215,MATCH(C2304,Radicals!$A$2:$A$215,0))</f>
        <v>酉</v>
      </c>
      <c r="E2304" s="10" t="str">
        <f aca="false">INDEX(Radicals!$G$2:$G$215,MATCH(C2304,Radicals!$A$2:$A$215,0))</f>
        <v>wine, 10th zodiac sign (rooster)</v>
      </c>
      <c r="F2304" s="8" t="n">
        <f aca="false">INDEX(Radicals!$D$2:$D$215,MATCH(C2304,Radicals!$A$2:$A$215,0))</f>
        <v>7</v>
      </c>
      <c r="G2304" s="8" t="n">
        <v>16</v>
      </c>
    </row>
    <row r="2305" customFormat="false" ht="17.35" hidden="false" customHeight="false" outlineLevel="0" collapsed="false">
      <c r="A2305" s="8" t="n">
        <v>2304</v>
      </c>
      <c r="B2305" s="9" t="s">
        <v>3271</v>
      </c>
      <c r="C2305" s="8" t="n">
        <v>112</v>
      </c>
      <c r="D2305" s="9" t="str">
        <f aca="false">INDEX(Radicals!$B$2:$B$215,MATCH(C2305,Radicals!$A$2:$A$215,0))</f>
        <v>石</v>
      </c>
      <c r="E2305" s="10" t="str">
        <f aca="false">INDEX(Radicals!$G$2:$G$215,MATCH(C2305,Radicals!$A$2:$A$215,0))</f>
        <v>stone</v>
      </c>
      <c r="F2305" s="8" t="n">
        <f aca="false">INDEX(Radicals!$D$2:$D$215,MATCH(C2305,Radicals!$A$2:$A$215,0))</f>
        <v>5</v>
      </c>
      <c r="G2305" s="8" t="n">
        <v>11</v>
      </c>
    </row>
    <row r="2306" customFormat="false" ht="17.35" hidden="false" customHeight="false" outlineLevel="0" collapsed="false">
      <c r="A2306" s="8" t="n">
        <v>2305</v>
      </c>
      <c r="B2306" s="9" t="s">
        <v>3272</v>
      </c>
      <c r="C2306" s="8" t="n">
        <v>1</v>
      </c>
      <c r="D2306" s="9" t="str">
        <f aca="false">INDEX(Radicals!$B$2:$B$215,MATCH(C2306,Radicals!$A$2:$A$215,0))</f>
        <v>一</v>
      </c>
      <c r="E2306" s="10" t="str">
        <f aca="false">INDEX(Radicals!$G$2:$G$215,MATCH(C2306,Radicals!$A$2:$A$215,0))</f>
        <v>one</v>
      </c>
      <c r="F2306" s="8" t="n">
        <f aca="false">INDEX(Radicals!$D$2:$D$215,MATCH(C2306,Radicals!$A$2:$A$215,0))</f>
        <v>1</v>
      </c>
      <c r="G2306" s="8" t="n">
        <v>4</v>
      </c>
    </row>
    <row r="2307" customFormat="false" ht="17.35" hidden="false" customHeight="false" outlineLevel="0" collapsed="false">
      <c r="A2307" s="8" t="n">
        <v>2306</v>
      </c>
      <c r="B2307" s="9" t="s">
        <v>3273</v>
      </c>
      <c r="C2307" s="8" t="n">
        <v>118</v>
      </c>
      <c r="D2307" s="9" t="str">
        <f aca="false">INDEX(Radicals!$B$2:$B$215,MATCH(C2307,Radicals!$A$2:$A$215,0))</f>
        <v>竹</v>
      </c>
      <c r="E2307" s="10" t="str">
        <f aca="false">INDEX(Radicals!$G$2:$G$215,MATCH(C2307,Radicals!$A$2:$A$215,0))</f>
        <v>bamboo</v>
      </c>
      <c r="F2307" s="8" t="n">
        <f aca="false">INDEX(Radicals!$D$2:$D$215,MATCH(C2307,Radicals!$A$2:$A$215,0))</f>
        <v>6</v>
      </c>
      <c r="G2307" s="8" t="n">
        <v>10</v>
      </c>
    </row>
    <row r="2308" customFormat="false" ht="17.35" hidden="false" customHeight="false" outlineLevel="0" collapsed="false">
      <c r="A2308" s="8" t="n">
        <v>2307</v>
      </c>
      <c r="B2308" s="9" t="s">
        <v>3274</v>
      </c>
      <c r="C2308" s="8" t="n">
        <v>140</v>
      </c>
      <c r="D2308" s="9" t="str">
        <f aca="false">INDEX(Radicals!$B$2:$B$215,MATCH(C2308,Radicals!$A$2:$A$215,0))</f>
        <v>艸</v>
      </c>
      <c r="E2308" s="10" t="str">
        <f aca="false">INDEX(Radicals!$G$2:$G$215,MATCH(C2308,Radicals!$A$2:$A$215,0))</f>
        <v>grass, plant</v>
      </c>
      <c r="F2308" s="8" t="n">
        <f aca="false">INDEX(Radicals!$D$2:$D$215,MATCH(C2308,Radicals!$A$2:$A$215,0))</f>
        <v>6</v>
      </c>
      <c r="G2308" s="8" t="n">
        <v>15</v>
      </c>
    </row>
    <row r="2309" customFormat="false" ht="17.35" hidden="false" customHeight="false" outlineLevel="0" collapsed="false">
      <c r="A2309" s="8" t="n">
        <v>2308</v>
      </c>
      <c r="B2309" s="9" t="s">
        <v>3275</v>
      </c>
      <c r="C2309" s="8" t="n">
        <v>30</v>
      </c>
      <c r="D2309" s="9" t="str">
        <f aca="false">INDEX(Radicals!$B$2:$B$215,MATCH(C2309,Radicals!$A$2:$A$215,0))</f>
        <v>口</v>
      </c>
      <c r="E2309" s="10" t="str">
        <f aca="false">INDEX(Radicals!$G$2:$G$215,MATCH(C2309,Radicals!$A$2:$A$215,0))</f>
        <v>mouth</v>
      </c>
      <c r="F2309" s="8" t="n">
        <f aca="false">INDEX(Radicals!$D$2:$D$215,MATCH(C2309,Radicals!$A$2:$A$215,0))</f>
        <v>3</v>
      </c>
      <c r="G2309" s="8" t="n">
        <v>16</v>
      </c>
    </row>
    <row r="2310" customFormat="false" ht="17.35" hidden="false" customHeight="false" outlineLevel="0" collapsed="false">
      <c r="A2310" s="8" t="n">
        <v>2309</v>
      </c>
      <c r="B2310" s="9" t="s">
        <v>3276</v>
      </c>
      <c r="C2310" s="8" t="n">
        <v>64</v>
      </c>
      <c r="D2310" s="9" t="str">
        <f aca="false">INDEX(Radicals!$B$2:$B$215,MATCH(C2310,Radicals!$A$2:$A$215,0))</f>
        <v>手</v>
      </c>
      <c r="E2310" s="10" t="str">
        <f aca="false">INDEX(Radicals!$G$2:$G$215,MATCH(C2310,Radicals!$A$2:$A$215,0))</f>
        <v>hand</v>
      </c>
      <c r="F2310" s="8" t="n">
        <f aca="false">INDEX(Radicals!$D$2:$D$215,MATCH(C2310,Radicals!$A$2:$A$215,0))</f>
        <v>4</v>
      </c>
      <c r="G2310" s="8" t="n">
        <v>7</v>
      </c>
    </row>
    <row r="2311" customFormat="false" ht="17.35" hidden="false" customHeight="false" outlineLevel="0" collapsed="false">
      <c r="A2311" s="8" t="n">
        <v>2310</v>
      </c>
      <c r="B2311" s="9" t="s">
        <v>3277</v>
      </c>
      <c r="C2311" s="8" t="n">
        <v>30</v>
      </c>
      <c r="D2311" s="9" t="str">
        <f aca="false">INDEX(Radicals!$B$2:$B$215,MATCH(C2311,Radicals!$A$2:$A$215,0))</f>
        <v>口</v>
      </c>
      <c r="E2311" s="10" t="str">
        <f aca="false">INDEX(Radicals!$G$2:$G$215,MATCH(C2311,Radicals!$A$2:$A$215,0))</f>
        <v>mouth</v>
      </c>
      <c r="F2311" s="8" t="n">
        <f aca="false">INDEX(Radicals!$D$2:$D$215,MATCH(C2311,Radicals!$A$2:$A$215,0))</f>
        <v>3</v>
      </c>
      <c r="G2311" s="8" t="n">
        <v>13</v>
      </c>
    </row>
    <row r="2312" customFormat="false" ht="17.35" hidden="false" customHeight="false" outlineLevel="0" collapsed="false">
      <c r="A2312" s="8" t="n">
        <v>2311</v>
      </c>
      <c r="B2312" s="9" t="s">
        <v>3278</v>
      </c>
      <c r="C2312" s="8" t="n">
        <v>170</v>
      </c>
      <c r="D2312" s="9" t="str">
        <f aca="false">INDEX(Radicals!$B$2:$B$215,MATCH(C2312,Radicals!$A$2:$A$215,0))</f>
        <v>阜</v>
      </c>
      <c r="E2312" s="10" t="str">
        <f aca="false">INDEX(Radicals!$G$2:$G$215,MATCH(C2312,Radicals!$A$2:$A$215,0))</f>
        <v>mound, hill</v>
      </c>
      <c r="F2312" s="8" t="n">
        <f aca="false">INDEX(Radicals!$D$2:$D$215,MATCH(C2312,Radicals!$A$2:$A$215,0))</f>
        <v>8</v>
      </c>
      <c r="G2312" s="8" t="n">
        <v>12</v>
      </c>
    </row>
    <row r="2313" customFormat="false" ht="17.35" hidden="false" customHeight="false" outlineLevel="0" collapsed="false">
      <c r="A2313" s="8" t="n">
        <v>2312</v>
      </c>
      <c r="B2313" s="9" t="s">
        <v>3279</v>
      </c>
      <c r="C2313" s="8" t="n">
        <v>30</v>
      </c>
      <c r="D2313" s="9" t="str">
        <f aca="false">INDEX(Radicals!$B$2:$B$215,MATCH(C2313,Radicals!$A$2:$A$215,0))</f>
        <v>口</v>
      </c>
      <c r="E2313" s="10" t="str">
        <f aca="false">INDEX(Radicals!$G$2:$G$215,MATCH(C2313,Radicals!$A$2:$A$215,0))</f>
        <v>mouth</v>
      </c>
      <c r="F2313" s="8" t="n">
        <f aca="false">INDEX(Radicals!$D$2:$D$215,MATCH(C2313,Radicals!$A$2:$A$215,0))</f>
        <v>3</v>
      </c>
      <c r="G2313" s="8" t="n">
        <v>5</v>
      </c>
    </row>
    <row r="2314" customFormat="false" ht="17.35" hidden="false" customHeight="false" outlineLevel="0" collapsed="false">
      <c r="A2314" s="8" t="n">
        <v>2313</v>
      </c>
      <c r="B2314" s="9" t="s">
        <v>3280</v>
      </c>
      <c r="C2314" s="8" t="n">
        <v>15</v>
      </c>
      <c r="D2314" s="9" t="str">
        <f aca="false">INDEX(Radicals!$B$2:$B$215,MATCH(C2314,Radicals!$A$2:$A$215,0))</f>
        <v>冫</v>
      </c>
      <c r="E2314" s="10" t="str">
        <f aca="false">INDEX(Radicals!$G$2:$G$215,MATCH(C2314,Radicals!$A$2:$A$215,0))</f>
        <v>ice</v>
      </c>
      <c r="F2314" s="8" t="n">
        <f aca="false">INDEX(Radicals!$D$2:$D$215,MATCH(C2314,Radicals!$A$2:$A$215,0))</f>
        <v>2</v>
      </c>
      <c r="G2314" s="8" t="n">
        <v>10</v>
      </c>
    </row>
    <row r="2315" customFormat="false" ht="17.35" hidden="false" customHeight="false" outlineLevel="0" collapsed="false">
      <c r="A2315" s="8" t="n">
        <v>2314</v>
      </c>
      <c r="B2315" s="9" t="s">
        <v>3281</v>
      </c>
      <c r="C2315" s="8" t="n">
        <v>85</v>
      </c>
      <c r="D2315" s="9" t="str">
        <f aca="false">INDEX(Radicals!$B$2:$B$215,MATCH(C2315,Radicals!$A$2:$A$215,0))</f>
        <v>水</v>
      </c>
      <c r="E2315" s="10" t="str">
        <f aca="false">INDEX(Radicals!$G$2:$G$215,MATCH(C2315,Radicals!$A$2:$A$215,0))</f>
        <v>water</v>
      </c>
      <c r="F2315" s="8" t="n">
        <f aca="false">INDEX(Radicals!$D$2:$D$215,MATCH(C2315,Radicals!$A$2:$A$215,0))</f>
        <v>4</v>
      </c>
      <c r="G2315" s="8" t="n">
        <v>6</v>
      </c>
    </row>
    <row r="2316" customFormat="false" ht="17.35" hidden="false" customHeight="false" outlineLevel="0" collapsed="false">
      <c r="A2316" s="8" t="n">
        <v>2315</v>
      </c>
      <c r="B2316" s="9" t="s">
        <v>3282</v>
      </c>
      <c r="C2316" s="8" t="n">
        <v>120</v>
      </c>
      <c r="D2316" s="9" t="str">
        <f aca="false">INDEX(Radicals!$B$2:$B$215,MATCH(C2316,Radicals!$A$2:$A$215,0))</f>
        <v>糸</v>
      </c>
      <c r="E2316" s="10" t="str">
        <f aca="false">INDEX(Radicals!$G$2:$G$215,MATCH(C2316,Radicals!$A$2:$A$215,0))</f>
        <v>thread, silk</v>
      </c>
      <c r="F2316" s="8" t="n">
        <f aca="false">INDEX(Radicals!$D$2:$D$215,MATCH(C2316,Radicals!$A$2:$A$215,0))</f>
        <v>6</v>
      </c>
      <c r="G2316" s="8" t="n">
        <v>12</v>
      </c>
    </row>
    <row r="2317" customFormat="false" ht="17.35" hidden="false" customHeight="false" outlineLevel="0" collapsed="false">
      <c r="A2317" s="8" t="n">
        <v>2316</v>
      </c>
      <c r="B2317" s="9" t="s">
        <v>3283</v>
      </c>
      <c r="C2317" s="8" t="n">
        <v>30</v>
      </c>
      <c r="D2317" s="9" t="str">
        <f aca="false">INDEX(Radicals!$B$2:$B$215,MATCH(C2317,Radicals!$A$2:$A$215,0))</f>
        <v>口</v>
      </c>
      <c r="E2317" s="10" t="str">
        <f aca="false">INDEX(Radicals!$G$2:$G$215,MATCH(C2317,Radicals!$A$2:$A$215,0))</f>
        <v>mouth</v>
      </c>
      <c r="F2317" s="8" t="n">
        <f aca="false">INDEX(Radicals!$D$2:$D$215,MATCH(C2317,Radicals!$A$2:$A$215,0))</f>
        <v>3</v>
      </c>
      <c r="G2317" s="8" t="n">
        <v>5</v>
      </c>
    </row>
    <row r="2318" customFormat="false" ht="17.35" hidden="false" customHeight="false" outlineLevel="0" collapsed="false">
      <c r="A2318" s="8" t="n">
        <v>2317</v>
      </c>
      <c r="B2318" s="9" t="s">
        <v>3284</v>
      </c>
      <c r="C2318" s="8" t="n">
        <v>38</v>
      </c>
      <c r="D2318" s="9" t="str">
        <f aca="false">INDEX(Radicals!$B$2:$B$215,MATCH(C2318,Radicals!$A$2:$A$215,0))</f>
        <v>女</v>
      </c>
      <c r="E2318" s="10" t="str">
        <f aca="false">INDEX(Radicals!$G$2:$G$215,MATCH(C2318,Radicals!$A$2:$A$215,0))</f>
        <v>woman</v>
      </c>
      <c r="F2318" s="8" t="n">
        <f aca="false">INDEX(Radicals!$D$2:$D$215,MATCH(C2318,Radicals!$A$2:$A$215,0))</f>
        <v>3</v>
      </c>
      <c r="G2318" s="8" t="n">
        <v>13</v>
      </c>
    </row>
    <row r="2319" customFormat="false" ht="17.35" hidden="false" customHeight="false" outlineLevel="0" collapsed="false">
      <c r="A2319" s="8" t="n">
        <v>2318</v>
      </c>
      <c r="B2319" s="9" t="s">
        <v>3285</v>
      </c>
      <c r="C2319" s="8" t="n">
        <v>74</v>
      </c>
      <c r="D2319" s="9" t="str">
        <f aca="false">INDEX(Radicals!$B$2:$B$215,MATCH(C2319,Radicals!$A$2:$A$215,0))</f>
        <v>月</v>
      </c>
      <c r="E2319" s="10" t="str">
        <f aca="false">INDEX(Radicals!$G$2:$G$215,MATCH(C2319,Radicals!$A$2:$A$215,0))</f>
        <v>moon, month</v>
      </c>
      <c r="F2319" s="8" t="n">
        <f aca="false">INDEX(Radicals!$D$2:$D$215,MATCH(C2319,Radicals!$A$2:$A$215,0))</f>
        <v>4</v>
      </c>
      <c r="G2319" s="8" t="n">
        <v>10</v>
      </c>
    </row>
    <row r="2320" customFormat="false" ht="17.35" hidden="false" customHeight="false" outlineLevel="0" collapsed="false">
      <c r="A2320" s="8" t="n">
        <v>2319</v>
      </c>
      <c r="B2320" s="9" t="s">
        <v>3286</v>
      </c>
      <c r="C2320" s="8" t="n">
        <v>140</v>
      </c>
      <c r="D2320" s="9" t="str">
        <f aca="false">INDEX(Radicals!$B$2:$B$215,MATCH(C2320,Radicals!$A$2:$A$215,0))</f>
        <v>艸</v>
      </c>
      <c r="E2320" s="10" t="str">
        <f aca="false">INDEX(Radicals!$G$2:$G$215,MATCH(C2320,Radicals!$A$2:$A$215,0))</f>
        <v>grass, plant</v>
      </c>
      <c r="F2320" s="8" t="n">
        <f aca="false">INDEX(Radicals!$D$2:$D$215,MATCH(C2320,Radicals!$A$2:$A$215,0))</f>
        <v>6</v>
      </c>
      <c r="G2320" s="8" t="n">
        <v>14</v>
      </c>
    </row>
    <row r="2321" customFormat="false" ht="17.35" hidden="false" customHeight="false" outlineLevel="0" collapsed="false">
      <c r="A2321" s="8" t="n">
        <v>2320</v>
      </c>
      <c r="B2321" s="9" t="s">
        <v>3287</v>
      </c>
      <c r="C2321" s="8" t="n">
        <v>130</v>
      </c>
      <c r="D2321" s="9" t="str">
        <f aca="false">INDEX(Radicals!$B$2:$B$215,MATCH(C2321,Radicals!$A$2:$A$215,0))</f>
        <v>肉</v>
      </c>
      <c r="E2321" s="10" t="str">
        <f aca="false">INDEX(Radicals!$G$2:$G$215,MATCH(C2321,Radicals!$A$2:$A$215,0))</f>
        <v>meat, flesh</v>
      </c>
      <c r="F2321" s="8" t="n">
        <f aca="false">INDEX(Radicals!$D$2:$D$215,MATCH(C2321,Radicals!$A$2:$A$215,0))</f>
        <v>6</v>
      </c>
      <c r="G2321" s="8" t="n">
        <v>15</v>
      </c>
    </row>
    <row r="2322" customFormat="false" ht="17.35" hidden="false" customHeight="false" outlineLevel="0" collapsed="false">
      <c r="A2322" s="8" t="n">
        <v>2321</v>
      </c>
      <c r="B2322" s="9" t="s">
        <v>3288</v>
      </c>
      <c r="C2322" s="8" t="n">
        <v>167</v>
      </c>
      <c r="D2322" s="9" t="str">
        <f aca="false">INDEX(Radicals!$B$2:$B$215,MATCH(C2322,Radicals!$A$2:$A$215,0))</f>
        <v>金</v>
      </c>
      <c r="E2322" s="10" t="str">
        <f aca="false">INDEX(Radicals!$G$2:$G$215,MATCH(C2322,Radicals!$A$2:$A$215,0))</f>
        <v>metal, gold</v>
      </c>
      <c r="F2322" s="8" t="n">
        <f aca="false">INDEX(Radicals!$D$2:$D$215,MATCH(C2322,Radicals!$A$2:$A$215,0))</f>
        <v>8</v>
      </c>
      <c r="G2322" s="8" t="n">
        <v>17</v>
      </c>
    </row>
    <row r="2323" customFormat="false" ht="17.35" hidden="false" customHeight="false" outlineLevel="0" collapsed="false">
      <c r="A2323" s="8" t="n">
        <v>2322</v>
      </c>
      <c r="B2323" s="9" t="s">
        <v>3289</v>
      </c>
      <c r="C2323" s="8" t="n">
        <v>9</v>
      </c>
      <c r="D2323" s="9" t="str">
        <f aca="false">INDEX(Radicals!$B$2:$B$215,MATCH(C2323,Radicals!$A$2:$A$215,0))</f>
        <v>人</v>
      </c>
      <c r="E2323" s="10" t="str">
        <f aca="false">INDEX(Radicals!$G$2:$G$215,MATCH(C2323,Radicals!$A$2:$A$215,0))</f>
        <v>person</v>
      </c>
      <c r="F2323" s="8" t="n">
        <f aca="false">INDEX(Radicals!$D$2:$D$215,MATCH(C2323,Radicals!$A$2:$A$215,0))</f>
        <v>2</v>
      </c>
      <c r="G2323" s="8" t="n">
        <v>4</v>
      </c>
    </row>
    <row r="2324" customFormat="false" ht="17.35" hidden="false" customHeight="false" outlineLevel="0" collapsed="false">
      <c r="A2324" s="8" t="n">
        <v>2323</v>
      </c>
      <c r="B2324" s="9" t="s">
        <v>3290</v>
      </c>
      <c r="C2324" s="8" t="n">
        <v>9</v>
      </c>
      <c r="D2324" s="9" t="str">
        <f aca="false">INDEX(Radicals!$B$2:$B$215,MATCH(C2324,Radicals!$A$2:$A$215,0))</f>
        <v>人</v>
      </c>
      <c r="E2324" s="10" t="str">
        <f aca="false">INDEX(Radicals!$G$2:$G$215,MATCH(C2324,Radicals!$A$2:$A$215,0))</f>
        <v>person</v>
      </c>
      <c r="F2324" s="8" t="n">
        <f aca="false">INDEX(Radicals!$D$2:$D$215,MATCH(C2324,Radicals!$A$2:$A$215,0))</f>
        <v>2</v>
      </c>
      <c r="G2324" s="8" t="n">
        <v>7</v>
      </c>
    </row>
    <row r="2325" customFormat="false" ht="17.35" hidden="false" customHeight="false" outlineLevel="0" collapsed="false">
      <c r="A2325" s="8" t="n">
        <v>2324</v>
      </c>
      <c r="B2325" s="9" t="s">
        <v>3291</v>
      </c>
      <c r="C2325" s="8" t="n">
        <v>37</v>
      </c>
      <c r="D2325" s="9" t="str">
        <f aca="false">INDEX(Radicals!$B$2:$B$215,MATCH(C2325,Radicals!$A$2:$A$215,0))</f>
        <v>大</v>
      </c>
      <c r="E2325" s="10" t="str">
        <f aca="false">INDEX(Radicals!$G$2:$G$215,MATCH(C2325,Radicals!$A$2:$A$215,0))</f>
        <v>big</v>
      </c>
      <c r="F2325" s="8" t="n">
        <f aca="false">INDEX(Radicals!$D$2:$D$215,MATCH(C2325,Radicals!$A$2:$A$215,0))</f>
        <v>3</v>
      </c>
      <c r="G2325" s="8" t="n">
        <v>6</v>
      </c>
    </row>
    <row r="2326" customFormat="false" ht="17.35" hidden="false" customHeight="false" outlineLevel="0" collapsed="false">
      <c r="A2326" s="8" t="n">
        <v>2325</v>
      </c>
      <c r="B2326" s="9" t="s">
        <v>3292</v>
      </c>
      <c r="C2326" s="8" t="n">
        <v>61</v>
      </c>
      <c r="D2326" s="9" t="str">
        <f aca="false">INDEX(Radicals!$B$2:$B$215,MATCH(C2326,Radicals!$A$2:$A$215,0))</f>
        <v>心</v>
      </c>
      <c r="E2326" s="10" t="str">
        <f aca="false">INDEX(Radicals!$G$2:$G$215,MATCH(C2326,Radicals!$A$2:$A$215,0))</f>
        <v>heart, mind</v>
      </c>
      <c r="F2326" s="8" t="n">
        <f aca="false">INDEX(Radicals!$D$2:$D$215,MATCH(C2326,Radicals!$A$2:$A$215,0))</f>
        <v>4</v>
      </c>
      <c r="G2326" s="8" t="n">
        <v>10</v>
      </c>
    </row>
    <row r="2327" customFormat="false" ht="17.35" hidden="false" customHeight="false" outlineLevel="0" collapsed="false">
      <c r="A2327" s="8" t="n">
        <v>2326</v>
      </c>
      <c r="B2327" s="9" t="s">
        <v>3293</v>
      </c>
      <c r="C2327" s="8" t="n">
        <v>109</v>
      </c>
      <c r="D2327" s="9" t="str">
        <f aca="false">INDEX(Radicals!$B$2:$B$215,MATCH(C2327,Radicals!$A$2:$A$215,0))</f>
        <v>目</v>
      </c>
      <c r="E2327" s="10" t="str">
        <f aca="false">INDEX(Radicals!$G$2:$G$215,MATCH(C2327,Radicals!$A$2:$A$215,0))</f>
        <v>eye</v>
      </c>
      <c r="F2327" s="8" t="n">
        <f aca="false">INDEX(Radicals!$D$2:$D$215,MATCH(C2327,Radicals!$A$2:$A$215,0))</f>
        <v>5</v>
      </c>
      <c r="G2327" s="8" t="n">
        <v>15</v>
      </c>
    </row>
    <row r="2328" customFormat="false" ht="17.35" hidden="false" customHeight="false" outlineLevel="0" collapsed="false">
      <c r="A2328" s="8" t="n">
        <v>2327</v>
      </c>
      <c r="B2328" s="9" t="s">
        <v>3294</v>
      </c>
      <c r="C2328" s="8" t="n">
        <v>102</v>
      </c>
      <c r="D2328" s="9" t="str">
        <f aca="false">INDEX(Radicals!$B$2:$B$215,MATCH(C2328,Radicals!$A$2:$A$215,0))</f>
        <v>田</v>
      </c>
      <c r="E2328" s="10" t="str">
        <f aca="false">INDEX(Radicals!$G$2:$G$215,MATCH(C2328,Radicals!$A$2:$A$215,0))</f>
        <v>field, paddy</v>
      </c>
      <c r="F2328" s="8" t="n">
        <f aca="false">INDEX(Radicals!$D$2:$D$215,MATCH(C2328,Radicals!$A$2:$A$215,0))</f>
        <v>5</v>
      </c>
      <c r="G2328" s="8" t="n">
        <v>10</v>
      </c>
    </row>
    <row r="2329" customFormat="false" ht="17.35" hidden="false" customHeight="false" outlineLevel="0" collapsed="false">
      <c r="A2329" s="8" t="n">
        <v>2328</v>
      </c>
      <c r="B2329" s="9" t="s">
        <v>3295</v>
      </c>
      <c r="C2329" s="8" t="n">
        <v>64</v>
      </c>
      <c r="D2329" s="9" t="str">
        <f aca="false">INDEX(Radicals!$B$2:$B$215,MATCH(C2329,Radicals!$A$2:$A$215,0))</f>
        <v>手</v>
      </c>
      <c r="E2329" s="10" t="str">
        <f aca="false">INDEX(Radicals!$G$2:$G$215,MATCH(C2329,Radicals!$A$2:$A$215,0))</f>
        <v>hand</v>
      </c>
      <c r="F2329" s="8" t="n">
        <f aca="false">INDEX(Radicals!$D$2:$D$215,MATCH(C2329,Radicals!$A$2:$A$215,0))</f>
        <v>4</v>
      </c>
      <c r="G2329" s="8" t="n">
        <v>7</v>
      </c>
    </row>
    <row r="2330" customFormat="false" ht="17.35" hidden="false" customHeight="false" outlineLevel="0" collapsed="false">
      <c r="A2330" s="8" t="n">
        <v>2329</v>
      </c>
      <c r="B2330" s="9" t="s">
        <v>3296</v>
      </c>
      <c r="C2330" s="8" t="n">
        <v>75</v>
      </c>
      <c r="D2330" s="9" t="str">
        <f aca="false">INDEX(Radicals!$B$2:$B$215,MATCH(C2330,Radicals!$A$2:$A$215,0))</f>
        <v>木</v>
      </c>
      <c r="E2330" s="10" t="str">
        <f aca="false">INDEX(Radicals!$G$2:$G$215,MATCH(C2330,Radicals!$A$2:$A$215,0))</f>
        <v>tree, wood</v>
      </c>
      <c r="F2330" s="8" t="n">
        <f aca="false">INDEX(Radicals!$D$2:$D$215,MATCH(C2330,Radicals!$A$2:$A$215,0))</f>
        <v>4</v>
      </c>
      <c r="G2330" s="8" t="n">
        <v>8</v>
      </c>
    </row>
    <row r="2331" customFormat="false" ht="17.35" hidden="false" customHeight="false" outlineLevel="0" collapsed="false">
      <c r="A2331" s="8" t="n">
        <v>2330</v>
      </c>
      <c r="B2331" s="9" t="s">
        <v>3297</v>
      </c>
      <c r="C2331" s="8" t="n">
        <v>40</v>
      </c>
      <c r="D2331" s="9" t="str">
        <f aca="false">INDEX(Radicals!$B$2:$B$215,MATCH(C2331,Radicals!$A$2:$A$215,0))</f>
        <v>宀</v>
      </c>
      <c r="E2331" s="10" t="str">
        <f aca="false">INDEX(Radicals!$G$2:$G$215,MATCH(C2331,Radicals!$A$2:$A$215,0))</f>
        <v>roof</v>
      </c>
      <c r="F2331" s="8" t="n">
        <f aca="false">INDEX(Radicals!$D$2:$D$215,MATCH(C2331,Radicals!$A$2:$A$215,0))</f>
        <v>3</v>
      </c>
      <c r="G2331" s="8" t="n">
        <v>12</v>
      </c>
    </row>
    <row r="2332" customFormat="false" ht="17.35" hidden="false" customHeight="false" outlineLevel="0" collapsed="false">
      <c r="A2332" s="8" t="n">
        <v>2331</v>
      </c>
      <c r="B2332" s="9" t="s">
        <v>3298</v>
      </c>
      <c r="C2332" s="8" t="n">
        <v>199</v>
      </c>
      <c r="D2332" s="9" t="str">
        <f aca="false">INDEX(Radicals!$B$2:$B$215,MATCH(C2332,Radicals!$A$2:$A$215,0))</f>
        <v>麥</v>
      </c>
      <c r="E2332" s="10" t="str">
        <f aca="false">INDEX(Radicals!$G$2:$G$215,MATCH(C2332,Radicals!$A$2:$A$215,0))</f>
        <v>wheat</v>
      </c>
      <c r="F2332" s="8" t="n">
        <f aca="false">INDEX(Radicals!$D$2:$D$215,MATCH(C2332,Radicals!$A$2:$A$215,0))</f>
        <v>11</v>
      </c>
      <c r="G2332" s="8" t="n">
        <v>16</v>
      </c>
    </row>
    <row r="2333" customFormat="false" ht="17.35" hidden="false" customHeight="false" outlineLevel="0" collapsed="false">
      <c r="A2333" s="8" t="n">
        <v>2332</v>
      </c>
      <c r="B2333" s="9" t="s">
        <v>3299</v>
      </c>
      <c r="C2333" s="8" t="n">
        <v>62</v>
      </c>
      <c r="D2333" s="9" t="str">
        <f aca="false">INDEX(Radicals!$B$2:$B$215,MATCH(C2333,Radicals!$A$2:$A$215,0))</f>
        <v>戈</v>
      </c>
      <c r="E2333" s="10" t="str">
        <f aca="false">INDEX(Radicals!$G$2:$G$215,MATCH(C2333,Radicals!$A$2:$A$215,0))</f>
        <v>halberd, spear</v>
      </c>
      <c r="F2333" s="8" t="n">
        <f aca="false">INDEX(Radicals!$D$2:$D$215,MATCH(C2333,Radicals!$A$2:$A$215,0))</f>
        <v>4</v>
      </c>
      <c r="G2333" s="8" t="n">
        <v>17</v>
      </c>
    </row>
    <row r="2334" customFormat="false" ht="17.35" hidden="false" customHeight="false" outlineLevel="0" collapsed="false">
      <c r="A2334" s="8" t="n">
        <v>2333</v>
      </c>
      <c r="B2334" s="9" t="s">
        <v>480</v>
      </c>
      <c r="C2334" s="8" t="n">
        <v>89</v>
      </c>
      <c r="D2334" s="9" t="str">
        <f aca="false">INDEX(Radicals!$B$2:$B$215,MATCH(C2334,Radicals!$A$2:$A$215,0))</f>
        <v>爻</v>
      </c>
      <c r="E2334" s="10" t="str">
        <f aca="false">INDEX(Radicals!$G$2:$G$215,MATCH(C2334,Radicals!$A$2:$A$215,0))</f>
        <v>mix, crossing</v>
      </c>
      <c r="F2334" s="8" t="n">
        <f aca="false">INDEX(Radicals!$D$2:$D$215,MATCH(C2334,Radicals!$A$2:$A$215,0))</f>
        <v>4</v>
      </c>
      <c r="G2334" s="8" t="n">
        <v>11</v>
      </c>
    </row>
    <row r="2335" customFormat="false" ht="17.35" hidden="false" customHeight="false" outlineLevel="0" collapsed="false">
      <c r="A2335" s="8" t="n">
        <v>2334</v>
      </c>
      <c r="B2335" s="9" t="s">
        <v>3300</v>
      </c>
      <c r="C2335" s="8" t="n">
        <v>145</v>
      </c>
      <c r="D2335" s="9" t="str">
        <f aca="false">INDEX(Radicals!$B$2:$B$215,MATCH(C2335,Radicals!$A$2:$A$215,0))</f>
        <v>衣</v>
      </c>
      <c r="E2335" s="10" t="str">
        <f aca="false">INDEX(Radicals!$G$2:$G$215,MATCH(C2335,Radicals!$A$2:$A$215,0))</f>
        <v>clothes</v>
      </c>
      <c r="F2335" s="8" t="n">
        <f aca="false">INDEX(Radicals!$D$2:$D$215,MATCH(C2335,Radicals!$A$2:$A$215,0))</f>
        <v>6</v>
      </c>
      <c r="G2335" s="8" t="n">
        <v>13</v>
      </c>
    </row>
    <row r="2336" customFormat="false" ht="17.35" hidden="false" customHeight="false" outlineLevel="0" collapsed="false">
      <c r="A2336" s="8" t="n">
        <v>2335</v>
      </c>
      <c r="B2336" s="9" t="s">
        <v>1051</v>
      </c>
      <c r="C2336" s="8" t="n">
        <v>202</v>
      </c>
      <c r="D2336" s="9" t="str">
        <f aca="false">INDEX(Radicals!$B$2:$B$215,MATCH(C2336,Radicals!$A$2:$A$215,0))</f>
        <v>黍</v>
      </c>
      <c r="E2336" s="10" t="str">
        <f aca="false">INDEX(Radicals!$G$2:$G$215,MATCH(C2336,Radicals!$A$2:$A$215,0))</f>
        <v>millet</v>
      </c>
      <c r="F2336" s="8" t="n">
        <f aca="false">INDEX(Radicals!$D$2:$D$215,MATCH(C2336,Radicals!$A$2:$A$215,0))</f>
        <v>12</v>
      </c>
      <c r="G2336" s="8" t="n">
        <v>15</v>
      </c>
    </row>
    <row r="2337" customFormat="false" ht="17.35" hidden="false" customHeight="false" outlineLevel="0" collapsed="false">
      <c r="A2337" s="8" t="n">
        <v>2336</v>
      </c>
      <c r="B2337" s="9" t="s">
        <v>3301</v>
      </c>
      <c r="C2337" s="8" t="n">
        <v>61</v>
      </c>
      <c r="D2337" s="9" t="str">
        <f aca="false">INDEX(Radicals!$B$2:$B$215,MATCH(C2337,Radicals!$A$2:$A$215,0))</f>
        <v>心</v>
      </c>
      <c r="E2337" s="10" t="str">
        <f aca="false">INDEX(Radicals!$G$2:$G$215,MATCH(C2337,Radicals!$A$2:$A$215,0))</f>
        <v>heart, mind</v>
      </c>
      <c r="F2337" s="8" t="n">
        <f aca="false">INDEX(Radicals!$D$2:$D$215,MATCH(C2337,Radicals!$A$2:$A$215,0))</f>
        <v>4</v>
      </c>
      <c r="G2337" s="8" t="n">
        <v>12</v>
      </c>
    </row>
    <row r="2338" customFormat="false" ht="17.35" hidden="false" customHeight="false" outlineLevel="0" collapsed="false">
      <c r="A2338" s="8" t="n">
        <v>2337</v>
      </c>
      <c r="B2338" s="9" t="s">
        <v>3302</v>
      </c>
      <c r="C2338" s="8" t="n">
        <v>32</v>
      </c>
      <c r="D2338" s="9" t="str">
        <f aca="false">INDEX(Radicals!$B$2:$B$215,MATCH(C2338,Radicals!$A$2:$A$215,0))</f>
        <v>土</v>
      </c>
      <c r="E2338" s="10" t="str">
        <f aca="false">INDEX(Radicals!$G$2:$G$215,MATCH(C2338,Radicals!$A$2:$A$215,0))</f>
        <v>earth, soil</v>
      </c>
      <c r="F2338" s="8" t="n">
        <f aca="false">INDEX(Radicals!$D$2:$D$215,MATCH(C2338,Radicals!$A$2:$A$215,0))</f>
        <v>3</v>
      </c>
      <c r="G2338" s="8" t="n">
        <v>7</v>
      </c>
    </row>
    <row r="2339" customFormat="false" ht="17.35" hidden="false" customHeight="false" outlineLevel="0" collapsed="false">
      <c r="A2339" s="8" t="n">
        <v>2338</v>
      </c>
      <c r="B2339" s="9" t="s">
        <v>3303</v>
      </c>
      <c r="C2339" s="8" t="n">
        <v>167</v>
      </c>
      <c r="D2339" s="9" t="str">
        <f aca="false">INDEX(Radicals!$B$2:$B$215,MATCH(C2339,Radicals!$A$2:$A$215,0))</f>
        <v>金</v>
      </c>
      <c r="E2339" s="10" t="str">
        <f aca="false">INDEX(Radicals!$G$2:$G$215,MATCH(C2339,Radicals!$A$2:$A$215,0))</f>
        <v>metal, gold</v>
      </c>
      <c r="F2339" s="8" t="n">
        <f aca="false">INDEX(Radicals!$D$2:$D$215,MATCH(C2339,Radicals!$A$2:$A$215,0))</f>
        <v>8</v>
      </c>
      <c r="G2339" s="8" t="n">
        <v>17</v>
      </c>
    </row>
    <row r="2340" customFormat="false" ht="17.35" hidden="false" customHeight="false" outlineLevel="0" collapsed="false">
      <c r="A2340" s="8" t="n">
        <v>2339</v>
      </c>
      <c r="B2340" s="9" t="s">
        <v>3304</v>
      </c>
      <c r="C2340" s="8" t="n">
        <v>142</v>
      </c>
      <c r="D2340" s="9" t="str">
        <f aca="false">INDEX(Radicals!$B$2:$B$215,MATCH(C2340,Radicals!$A$2:$A$215,0))</f>
        <v>虫</v>
      </c>
      <c r="E2340" s="10" t="str">
        <f aca="false">INDEX(Radicals!$G$2:$G$215,MATCH(C2340,Radicals!$A$2:$A$215,0))</f>
        <v>insect</v>
      </c>
      <c r="F2340" s="8" t="n">
        <f aca="false">INDEX(Radicals!$D$2:$D$215,MATCH(C2340,Radicals!$A$2:$A$215,0))</f>
        <v>6</v>
      </c>
      <c r="G2340" s="8" t="n">
        <v>12</v>
      </c>
    </row>
    <row r="2341" customFormat="false" ht="17.35" hidden="false" customHeight="false" outlineLevel="0" collapsed="false">
      <c r="A2341" s="8" t="n">
        <v>2340</v>
      </c>
      <c r="B2341" s="9" t="s">
        <v>3305</v>
      </c>
      <c r="C2341" s="8" t="n">
        <v>32</v>
      </c>
      <c r="D2341" s="9" t="str">
        <f aca="false">INDEX(Radicals!$B$2:$B$215,MATCH(C2341,Radicals!$A$2:$A$215,0))</f>
        <v>土</v>
      </c>
      <c r="E2341" s="10" t="str">
        <f aca="false">INDEX(Radicals!$G$2:$G$215,MATCH(C2341,Radicals!$A$2:$A$215,0))</f>
        <v>earth, soil</v>
      </c>
      <c r="F2341" s="8" t="n">
        <f aca="false">INDEX(Radicals!$D$2:$D$215,MATCH(C2341,Radicals!$A$2:$A$215,0))</f>
        <v>3</v>
      </c>
      <c r="G2341" s="8" t="n">
        <v>13</v>
      </c>
    </row>
    <row r="2342" customFormat="false" ht="17.35" hidden="false" customHeight="false" outlineLevel="0" collapsed="false">
      <c r="A2342" s="8" t="n">
        <v>2341</v>
      </c>
      <c r="B2342" s="9" t="s">
        <v>3306</v>
      </c>
      <c r="C2342" s="8" t="n">
        <v>15</v>
      </c>
      <c r="D2342" s="9" t="str">
        <f aca="false">INDEX(Radicals!$B$2:$B$215,MATCH(C2342,Radicals!$A$2:$A$215,0))</f>
        <v>冫</v>
      </c>
      <c r="E2342" s="10" t="str">
        <f aca="false">INDEX(Radicals!$G$2:$G$215,MATCH(C2342,Radicals!$A$2:$A$215,0))</f>
        <v>ice</v>
      </c>
      <c r="F2342" s="8" t="n">
        <f aca="false">INDEX(Radicals!$D$2:$D$215,MATCH(C2342,Radicals!$A$2:$A$215,0))</f>
        <v>2</v>
      </c>
      <c r="G2342" s="8" t="n">
        <v>7</v>
      </c>
    </row>
    <row r="2343" customFormat="false" ht="17.35" hidden="false" customHeight="false" outlineLevel="0" collapsed="false">
      <c r="A2343" s="8" t="n">
        <v>2342</v>
      </c>
      <c r="B2343" s="9" t="s">
        <v>3307</v>
      </c>
      <c r="C2343" s="8" t="n">
        <v>72</v>
      </c>
      <c r="D2343" s="9" t="str">
        <f aca="false">INDEX(Radicals!$B$2:$B$215,MATCH(C2343,Radicals!$A$2:$A$215,0))</f>
        <v>日</v>
      </c>
      <c r="E2343" s="10" t="str">
        <f aca="false">INDEX(Radicals!$G$2:$G$215,MATCH(C2343,Radicals!$A$2:$A$215,0))</f>
        <v>sun, day</v>
      </c>
      <c r="F2343" s="8" t="n">
        <f aca="false">INDEX(Radicals!$D$2:$D$215,MATCH(C2343,Radicals!$A$2:$A$215,0))</f>
        <v>4</v>
      </c>
      <c r="G2343" s="8" t="n">
        <v>8</v>
      </c>
    </row>
    <row r="2344" customFormat="false" ht="17.35" hidden="false" customHeight="false" outlineLevel="0" collapsed="false">
      <c r="A2344" s="8" t="n">
        <v>2343</v>
      </c>
      <c r="B2344" s="9" t="s">
        <v>3308</v>
      </c>
      <c r="C2344" s="8" t="n">
        <v>140</v>
      </c>
      <c r="D2344" s="9" t="str">
        <f aca="false">INDEX(Radicals!$B$2:$B$215,MATCH(C2344,Radicals!$A$2:$A$215,0))</f>
        <v>艸</v>
      </c>
      <c r="E2344" s="10" t="str">
        <f aca="false">INDEX(Radicals!$G$2:$G$215,MATCH(C2344,Radicals!$A$2:$A$215,0))</f>
        <v>grass, plant</v>
      </c>
      <c r="F2344" s="8" t="n">
        <f aca="false">INDEX(Radicals!$D$2:$D$215,MATCH(C2344,Radicals!$A$2:$A$215,0))</f>
        <v>6</v>
      </c>
      <c r="G2344" s="8" t="n">
        <v>13</v>
      </c>
    </row>
    <row r="2345" customFormat="false" ht="17.35" hidden="false" customHeight="false" outlineLevel="0" collapsed="false">
      <c r="A2345" s="8" t="n">
        <v>2344</v>
      </c>
      <c r="B2345" s="9" t="s">
        <v>3309</v>
      </c>
      <c r="C2345" s="8" t="n">
        <v>112</v>
      </c>
      <c r="D2345" s="9" t="str">
        <f aca="false">INDEX(Radicals!$B$2:$B$215,MATCH(C2345,Radicals!$A$2:$A$215,0))</f>
        <v>石</v>
      </c>
      <c r="E2345" s="10" t="str">
        <f aca="false">INDEX(Radicals!$G$2:$G$215,MATCH(C2345,Radicals!$A$2:$A$215,0))</f>
        <v>stone</v>
      </c>
      <c r="F2345" s="8" t="n">
        <f aca="false">INDEX(Radicals!$D$2:$D$215,MATCH(C2345,Radicals!$A$2:$A$215,0))</f>
        <v>5</v>
      </c>
      <c r="G2345" s="8" t="n">
        <v>18</v>
      </c>
    </row>
    <row r="2346" customFormat="false" ht="17.35" hidden="false" customHeight="false" outlineLevel="0" collapsed="false">
      <c r="A2346" s="8" t="n">
        <v>2345</v>
      </c>
      <c r="B2346" s="9" t="s">
        <v>3310</v>
      </c>
      <c r="C2346" s="8" t="n">
        <v>30</v>
      </c>
      <c r="D2346" s="9" t="str">
        <f aca="false">INDEX(Radicals!$B$2:$B$215,MATCH(C2346,Radicals!$A$2:$A$215,0))</f>
        <v>口</v>
      </c>
      <c r="E2346" s="10" t="str">
        <f aca="false">INDEX(Radicals!$G$2:$G$215,MATCH(C2346,Radicals!$A$2:$A$215,0))</f>
        <v>mouth</v>
      </c>
      <c r="F2346" s="8" t="n">
        <f aca="false">INDEX(Radicals!$D$2:$D$215,MATCH(C2346,Radicals!$A$2:$A$215,0))</f>
        <v>3</v>
      </c>
      <c r="G2346" s="8" t="n">
        <v>9</v>
      </c>
    </row>
    <row r="2347" customFormat="false" ht="17.35" hidden="false" customHeight="false" outlineLevel="0" collapsed="false">
      <c r="A2347" s="8" t="n">
        <v>2346</v>
      </c>
      <c r="B2347" s="9" t="s">
        <v>3311</v>
      </c>
      <c r="C2347" s="8" t="n">
        <v>140</v>
      </c>
      <c r="D2347" s="9" t="str">
        <f aca="false">INDEX(Radicals!$B$2:$B$215,MATCH(C2347,Radicals!$A$2:$A$215,0))</f>
        <v>艸</v>
      </c>
      <c r="E2347" s="10" t="str">
        <f aca="false">INDEX(Radicals!$G$2:$G$215,MATCH(C2347,Radicals!$A$2:$A$215,0))</f>
        <v>grass, plant</v>
      </c>
      <c r="F2347" s="8" t="n">
        <f aca="false">INDEX(Radicals!$D$2:$D$215,MATCH(C2347,Radicals!$A$2:$A$215,0))</f>
        <v>6</v>
      </c>
      <c r="G2347" s="8" t="n">
        <v>11</v>
      </c>
    </row>
    <row r="2348" customFormat="false" ht="17.35" hidden="false" customHeight="false" outlineLevel="0" collapsed="false">
      <c r="A2348" s="8" t="n">
        <v>2347</v>
      </c>
      <c r="B2348" s="9" t="s">
        <v>3312</v>
      </c>
      <c r="C2348" s="8" t="n">
        <v>184</v>
      </c>
      <c r="D2348" s="9" t="str">
        <f aca="false">INDEX(Radicals!$B$2:$B$215,MATCH(C2348,Radicals!$A$2:$A$215,0))</f>
        <v>食</v>
      </c>
      <c r="E2348" s="10" t="str">
        <f aca="false">INDEX(Radicals!$G$2:$G$215,MATCH(C2348,Radicals!$A$2:$A$215,0))</f>
        <v>eat, food</v>
      </c>
      <c r="F2348" s="8" t="n">
        <f aca="false">INDEX(Radicals!$D$2:$D$215,MATCH(C2348,Radicals!$A$2:$A$215,0))</f>
        <v>9</v>
      </c>
      <c r="G2348" s="8" t="n">
        <v>22</v>
      </c>
    </row>
    <row r="2349" customFormat="false" ht="17.35" hidden="false" customHeight="false" outlineLevel="0" collapsed="false">
      <c r="A2349" s="8" t="n">
        <v>2348</v>
      </c>
      <c r="B2349" s="9" t="s">
        <v>3313</v>
      </c>
      <c r="C2349" s="8" t="n">
        <v>77</v>
      </c>
      <c r="D2349" s="9" t="str">
        <f aca="false">INDEX(Radicals!$B$2:$B$215,MATCH(C2349,Radicals!$A$2:$A$215,0))</f>
        <v>止</v>
      </c>
      <c r="E2349" s="10" t="str">
        <f aca="false">INDEX(Radicals!$G$2:$G$215,MATCH(C2349,Radicals!$A$2:$A$215,0))</f>
        <v>stop</v>
      </c>
      <c r="F2349" s="8" t="n">
        <f aca="false">INDEX(Radicals!$D$2:$D$215,MATCH(C2349,Radicals!$A$2:$A$215,0))</f>
        <v>4</v>
      </c>
      <c r="G2349" s="8" t="n">
        <v>9</v>
      </c>
    </row>
    <row r="2350" customFormat="false" ht="17.35" hidden="false" customHeight="false" outlineLevel="0" collapsed="false">
      <c r="A2350" s="8" t="n">
        <v>2349</v>
      </c>
      <c r="B2350" s="9" t="s">
        <v>3314</v>
      </c>
      <c r="C2350" s="8" t="n">
        <v>14</v>
      </c>
      <c r="D2350" s="9" t="str">
        <f aca="false">INDEX(Radicals!$B$2:$B$215,MATCH(C2350,Radicals!$A$2:$A$215,0))</f>
        <v>冖</v>
      </c>
      <c r="E2350" s="10" t="str">
        <f aca="false">INDEX(Radicals!$G$2:$G$215,MATCH(C2350,Radicals!$A$2:$A$215,0))</f>
        <v>cover, crown</v>
      </c>
      <c r="F2350" s="8" t="n">
        <f aca="false">INDEX(Radicals!$D$2:$D$215,MATCH(C2350,Radicals!$A$2:$A$215,0))</f>
        <v>2</v>
      </c>
      <c r="G2350" s="8" t="n">
        <v>10</v>
      </c>
    </row>
    <row r="2351" customFormat="false" ht="17.35" hidden="false" customHeight="false" outlineLevel="0" collapsed="false">
      <c r="A2351" s="8" t="n">
        <v>2350</v>
      </c>
      <c r="B2351" s="9" t="s">
        <v>3315</v>
      </c>
      <c r="C2351" s="8" t="n">
        <v>9</v>
      </c>
      <c r="D2351" s="9" t="str">
        <f aca="false">INDEX(Radicals!$B$2:$B$215,MATCH(C2351,Radicals!$A$2:$A$215,0))</f>
        <v>人</v>
      </c>
      <c r="E2351" s="10" t="str">
        <f aca="false">INDEX(Radicals!$G$2:$G$215,MATCH(C2351,Radicals!$A$2:$A$215,0))</f>
        <v>person</v>
      </c>
      <c r="F2351" s="8" t="n">
        <f aca="false">INDEX(Radicals!$D$2:$D$215,MATCH(C2351,Radicals!$A$2:$A$215,0))</f>
        <v>2</v>
      </c>
      <c r="G2351" s="8" t="n">
        <v>11</v>
      </c>
    </row>
    <row r="2352" customFormat="false" ht="17.35" hidden="false" customHeight="false" outlineLevel="0" collapsed="false">
      <c r="A2352" s="8" t="n">
        <v>2351</v>
      </c>
      <c r="B2352" s="9" t="s">
        <v>3316</v>
      </c>
      <c r="C2352" s="8" t="n">
        <v>33</v>
      </c>
      <c r="D2352" s="9" t="str">
        <f aca="false">INDEX(Radicals!$B$2:$B$215,MATCH(C2352,Radicals!$A$2:$A$215,0))</f>
        <v>士</v>
      </c>
      <c r="E2352" s="10" t="str">
        <f aca="false">INDEX(Radicals!$G$2:$G$215,MATCH(C2352,Radicals!$A$2:$A$215,0))</f>
        <v>scholar, samurai</v>
      </c>
      <c r="F2352" s="8" t="n">
        <f aca="false">INDEX(Radicals!$D$2:$D$215,MATCH(C2352,Radicals!$A$2:$A$215,0))</f>
        <v>3</v>
      </c>
      <c r="G2352" s="8" t="n">
        <v>7</v>
      </c>
    </row>
    <row r="2353" customFormat="false" ht="17.35" hidden="false" customHeight="false" outlineLevel="0" collapsed="false">
      <c r="A2353" s="8" t="n">
        <v>2352</v>
      </c>
      <c r="B2353" s="9" t="s">
        <v>3317</v>
      </c>
      <c r="C2353" s="8" t="n">
        <v>96</v>
      </c>
      <c r="D2353" s="9" t="str">
        <f aca="false">INDEX(Radicals!$B$2:$B$215,MATCH(C2353,Radicals!$A$2:$A$215,0))</f>
        <v>玉</v>
      </c>
      <c r="E2353" s="10" t="str">
        <f aca="false">INDEX(Radicals!$G$2:$G$215,MATCH(C2353,Radicals!$A$2:$A$215,0))</f>
        <v>jade, king</v>
      </c>
      <c r="F2353" s="8" t="n">
        <f aca="false">INDEX(Radicals!$D$2:$D$215,MATCH(C2353,Radicals!$A$2:$A$215,0))</f>
        <v>5</v>
      </c>
      <c r="G2353" s="8" t="n">
        <v>14</v>
      </c>
    </row>
    <row r="2354" customFormat="false" ht="17.35" hidden="false" customHeight="false" outlineLevel="0" collapsed="false">
      <c r="A2354" s="8" t="n">
        <v>2353</v>
      </c>
      <c r="B2354" s="9" t="s">
        <v>942</v>
      </c>
      <c r="C2354" s="8" t="n">
        <v>179</v>
      </c>
      <c r="D2354" s="9" t="str">
        <f aca="false">INDEX(Radicals!$B$2:$B$215,MATCH(C2354,Radicals!$A$2:$A$215,0))</f>
        <v>韭</v>
      </c>
      <c r="E2354" s="10" t="str">
        <f aca="false">INDEX(Radicals!$G$2:$G$215,MATCH(C2354,Radicals!$A$2:$A$215,0))</f>
        <v>leek</v>
      </c>
      <c r="F2354" s="8" t="n">
        <f aca="false">INDEX(Radicals!$D$2:$D$215,MATCH(C2354,Radicals!$A$2:$A$215,0))</f>
        <v>9</v>
      </c>
      <c r="G2354" s="8" t="n">
        <v>12</v>
      </c>
    </row>
    <row r="2355" customFormat="false" ht="17.35" hidden="false" customHeight="false" outlineLevel="0" collapsed="false">
      <c r="A2355" s="8" t="n">
        <v>2354</v>
      </c>
      <c r="B2355" s="9" t="s">
        <v>3318</v>
      </c>
      <c r="C2355" s="8" t="n">
        <v>85</v>
      </c>
      <c r="D2355" s="9" t="str">
        <f aca="false">INDEX(Radicals!$B$2:$B$215,MATCH(C2355,Radicals!$A$2:$A$215,0))</f>
        <v>水</v>
      </c>
      <c r="E2355" s="10" t="str">
        <f aca="false">INDEX(Radicals!$G$2:$G$215,MATCH(C2355,Radicals!$A$2:$A$215,0))</f>
        <v>water</v>
      </c>
      <c r="F2355" s="8" t="n">
        <f aca="false">INDEX(Radicals!$D$2:$D$215,MATCH(C2355,Radicals!$A$2:$A$215,0))</f>
        <v>4</v>
      </c>
      <c r="G2355" s="8" t="n">
        <v>14</v>
      </c>
    </row>
    <row r="2356" customFormat="false" ht="17.35" hidden="false" customHeight="false" outlineLevel="0" collapsed="false">
      <c r="A2356" s="8" t="n">
        <v>2355</v>
      </c>
      <c r="B2356" s="9" t="s">
        <v>3319</v>
      </c>
      <c r="C2356" s="8" t="n">
        <v>75</v>
      </c>
      <c r="D2356" s="9" t="str">
        <f aca="false">INDEX(Radicals!$B$2:$B$215,MATCH(C2356,Radicals!$A$2:$A$215,0))</f>
        <v>木</v>
      </c>
      <c r="E2356" s="10" t="str">
        <f aca="false">INDEX(Radicals!$G$2:$G$215,MATCH(C2356,Radicals!$A$2:$A$215,0))</f>
        <v>tree, wood</v>
      </c>
      <c r="F2356" s="8" t="n">
        <f aca="false">INDEX(Radicals!$D$2:$D$215,MATCH(C2356,Radicals!$A$2:$A$215,0))</f>
        <v>4</v>
      </c>
      <c r="G2356" s="8" t="n">
        <v>8</v>
      </c>
    </row>
    <row r="2357" customFormat="false" ht="17.35" hidden="false" customHeight="false" outlineLevel="0" collapsed="false">
      <c r="A2357" s="8" t="n">
        <v>2356</v>
      </c>
      <c r="B2357" s="9" t="s">
        <v>3320</v>
      </c>
      <c r="C2357" s="8" t="n">
        <v>140</v>
      </c>
      <c r="D2357" s="9" t="str">
        <f aca="false">INDEX(Radicals!$B$2:$B$215,MATCH(C2357,Radicals!$A$2:$A$215,0))</f>
        <v>艸</v>
      </c>
      <c r="E2357" s="10" t="str">
        <f aca="false">INDEX(Radicals!$G$2:$G$215,MATCH(C2357,Radicals!$A$2:$A$215,0))</f>
        <v>grass, plant</v>
      </c>
      <c r="F2357" s="8" t="n">
        <f aca="false">INDEX(Radicals!$D$2:$D$215,MATCH(C2357,Radicals!$A$2:$A$215,0))</f>
        <v>6</v>
      </c>
      <c r="G2357" s="8" t="n">
        <v>16</v>
      </c>
    </row>
    <row r="2358" customFormat="false" ht="17.35" hidden="false" customHeight="false" outlineLevel="0" collapsed="false">
      <c r="A2358" s="8" t="n">
        <v>2357</v>
      </c>
      <c r="B2358" s="9" t="s">
        <v>3321</v>
      </c>
      <c r="C2358" s="8" t="n">
        <v>130</v>
      </c>
      <c r="D2358" s="9" t="str">
        <f aca="false">INDEX(Radicals!$B$2:$B$215,MATCH(C2358,Radicals!$A$2:$A$215,0))</f>
        <v>肉</v>
      </c>
      <c r="E2358" s="10" t="str">
        <f aca="false">INDEX(Radicals!$G$2:$G$215,MATCH(C2358,Radicals!$A$2:$A$215,0))</f>
        <v>meat, flesh</v>
      </c>
      <c r="F2358" s="8" t="n">
        <f aca="false">INDEX(Radicals!$D$2:$D$215,MATCH(C2358,Radicals!$A$2:$A$215,0))</f>
        <v>6</v>
      </c>
      <c r="G2358" s="8" t="n">
        <v>15</v>
      </c>
    </row>
    <row r="2359" customFormat="false" ht="17.35" hidden="false" customHeight="false" outlineLevel="0" collapsed="false">
      <c r="A2359" s="8" t="n">
        <v>2358</v>
      </c>
      <c r="B2359" s="9" t="s">
        <v>3322</v>
      </c>
      <c r="C2359" s="8" t="n">
        <v>10</v>
      </c>
      <c r="D2359" s="9" t="str">
        <f aca="false">INDEX(Radicals!$B$2:$B$215,MATCH(C2359,Radicals!$A$2:$A$215,0))</f>
        <v>儿</v>
      </c>
      <c r="E2359" s="10" t="str">
        <f aca="false">INDEX(Radicals!$G$2:$G$215,MATCH(C2359,Radicals!$A$2:$A$215,0))</f>
        <v>legs, walking person</v>
      </c>
      <c r="F2359" s="8" t="n">
        <f aca="false">INDEX(Radicals!$D$2:$D$215,MATCH(C2359,Radicals!$A$2:$A$215,0))</f>
        <v>2</v>
      </c>
      <c r="G2359" s="8" t="n">
        <v>4</v>
      </c>
    </row>
    <row r="2360" customFormat="false" ht="17.35" hidden="false" customHeight="false" outlineLevel="0" collapsed="false">
      <c r="A2360" s="8" t="n">
        <v>2359</v>
      </c>
      <c r="B2360" s="9" t="s">
        <v>3323</v>
      </c>
      <c r="C2360" s="8" t="n">
        <v>109</v>
      </c>
      <c r="D2360" s="9" t="str">
        <f aca="false">INDEX(Radicals!$B$2:$B$215,MATCH(C2360,Radicals!$A$2:$A$215,0))</f>
        <v>目</v>
      </c>
      <c r="E2360" s="10" t="str">
        <f aca="false">INDEX(Radicals!$G$2:$G$215,MATCH(C2360,Radicals!$A$2:$A$215,0))</f>
        <v>eye</v>
      </c>
      <c r="F2360" s="8" t="n">
        <f aca="false">INDEX(Radicals!$D$2:$D$215,MATCH(C2360,Radicals!$A$2:$A$215,0))</f>
        <v>5</v>
      </c>
      <c r="G2360" s="8" t="n">
        <v>10</v>
      </c>
    </row>
    <row r="2361" customFormat="false" ht="17.35" hidden="false" customHeight="false" outlineLevel="0" collapsed="false">
      <c r="A2361" s="8" t="n">
        <v>2360</v>
      </c>
      <c r="B2361" s="9" t="s">
        <v>3324</v>
      </c>
      <c r="C2361" s="8" t="n">
        <v>140</v>
      </c>
      <c r="D2361" s="9" t="str">
        <f aca="false">INDEX(Radicals!$B$2:$B$215,MATCH(C2361,Radicals!$A$2:$A$215,0))</f>
        <v>艸</v>
      </c>
      <c r="E2361" s="10" t="str">
        <f aca="false">INDEX(Radicals!$G$2:$G$215,MATCH(C2361,Radicals!$A$2:$A$215,0))</f>
        <v>grass, plant</v>
      </c>
      <c r="F2361" s="8" t="n">
        <f aca="false">INDEX(Radicals!$D$2:$D$215,MATCH(C2361,Radicals!$A$2:$A$215,0))</f>
        <v>6</v>
      </c>
      <c r="G2361" s="8" t="n">
        <v>13</v>
      </c>
    </row>
    <row r="2362" customFormat="false" ht="17.35" hidden="false" customHeight="false" outlineLevel="0" collapsed="false">
      <c r="A2362" s="8" t="n">
        <v>2361</v>
      </c>
      <c r="B2362" s="9" t="s">
        <v>3325</v>
      </c>
      <c r="C2362" s="8" t="n">
        <v>140</v>
      </c>
      <c r="D2362" s="9" t="str">
        <f aca="false">INDEX(Radicals!$B$2:$B$215,MATCH(C2362,Radicals!$A$2:$A$215,0))</f>
        <v>艸</v>
      </c>
      <c r="E2362" s="10" t="str">
        <f aca="false">INDEX(Radicals!$G$2:$G$215,MATCH(C2362,Radicals!$A$2:$A$215,0))</f>
        <v>grass, plant</v>
      </c>
      <c r="F2362" s="8" t="n">
        <f aca="false">INDEX(Radicals!$D$2:$D$215,MATCH(C2362,Radicals!$A$2:$A$215,0))</f>
        <v>6</v>
      </c>
      <c r="G2362" s="8" t="n">
        <v>15</v>
      </c>
    </row>
    <row r="2363" customFormat="false" ht="17.35" hidden="false" customHeight="false" outlineLevel="0" collapsed="false">
      <c r="A2363" s="8" t="n">
        <v>2362</v>
      </c>
      <c r="B2363" s="9" t="s">
        <v>3326</v>
      </c>
      <c r="C2363" s="8" t="n">
        <v>30</v>
      </c>
      <c r="D2363" s="9" t="str">
        <f aca="false">INDEX(Radicals!$B$2:$B$215,MATCH(C2363,Radicals!$A$2:$A$215,0))</f>
        <v>口</v>
      </c>
      <c r="E2363" s="10" t="str">
        <f aca="false">INDEX(Radicals!$G$2:$G$215,MATCH(C2363,Radicals!$A$2:$A$215,0))</f>
        <v>mouth</v>
      </c>
      <c r="F2363" s="8" t="n">
        <f aca="false">INDEX(Radicals!$D$2:$D$215,MATCH(C2363,Radicals!$A$2:$A$215,0))</f>
        <v>3</v>
      </c>
      <c r="G2363" s="8" t="n">
        <v>7</v>
      </c>
    </row>
    <row r="2364" customFormat="false" ht="17.35" hidden="false" customHeight="false" outlineLevel="0" collapsed="false">
      <c r="A2364" s="8" t="n">
        <v>2363</v>
      </c>
      <c r="B2364" s="9" t="s">
        <v>3327</v>
      </c>
      <c r="C2364" s="8" t="n">
        <v>9</v>
      </c>
      <c r="D2364" s="9" t="str">
        <f aca="false">INDEX(Radicals!$B$2:$B$215,MATCH(C2364,Radicals!$A$2:$A$215,0))</f>
        <v>人</v>
      </c>
      <c r="E2364" s="10" t="str">
        <f aca="false">INDEX(Radicals!$G$2:$G$215,MATCH(C2364,Radicals!$A$2:$A$215,0))</f>
        <v>person</v>
      </c>
      <c r="F2364" s="8" t="n">
        <f aca="false">INDEX(Radicals!$D$2:$D$215,MATCH(C2364,Radicals!$A$2:$A$215,0))</f>
        <v>2</v>
      </c>
      <c r="G2364" s="8" t="n">
        <v>9</v>
      </c>
    </row>
    <row r="2365" customFormat="false" ht="17.35" hidden="false" customHeight="false" outlineLevel="0" collapsed="false">
      <c r="A2365" s="8" t="n">
        <v>2364</v>
      </c>
      <c r="B2365" s="9" t="s">
        <v>3328</v>
      </c>
      <c r="C2365" s="8" t="n">
        <v>112</v>
      </c>
      <c r="D2365" s="9" t="str">
        <f aca="false">INDEX(Radicals!$B$2:$B$215,MATCH(C2365,Radicals!$A$2:$A$215,0))</f>
        <v>石</v>
      </c>
      <c r="E2365" s="10" t="str">
        <f aca="false">INDEX(Radicals!$G$2:$G$215,MATCH(C2365,Radicals!$A$2:$A$215,0))</f>
        <v>stone</v>
      </c>
      <c r="F2365" s="8" t="n">
        <f aca="false">INDEX(Radicals!$D$2:$D$215,MATCH(C2365,Radicals!$A$2:$A$215,0))</f>
        <v>5</v>
      </c>
      <c r="G2365" s="8" t="n">
        <v>13</v>
      </c>
    </row>
    <row r="2366" customFormat="false" ht="17.35" hidden="false" customHeight="false" outlineLevel="0" collapsed="false">
      <c r="A2366" s="8" t="n">
        <v>2365</v>
      </c>
      <c r="B2366" s="9" t="s">
        <v>3329</v>
      </c>
      <c r="C2366" s="8" t="n">
        <v>140</v>
      </c>
      <c r="D2366" s="9" t="str">
        <f aca="false">INDEX(Radicals!$B$2:$B$215,MATCH(C2366,Radicals!$A$2:$A$215,0))</f>
        <v>艸</v>
      </c>
      <c r="E2366" s="10" t="str">
        <f aca="false">INDEX(Radicals!$G$2:$G$215,MATCH(C2366,Radicals!$A$2:$A$215,0))</f>
        <v>grass, plant</v>
      </c>
      <c r="F2366" s="8" t="n">
        <f aca="false">INDEX(Radicals!$D$2:$D$215,MATCH(C2366,Radicals!$A$2:$A$215,0))</f>
        <v>6</v>
      </c>
      <c r="G2366" s="8" t="n">
        <v>9</v>
      </c>
    </row>
    <row r="2367" customFormat="false" ht="17.35" hidden="false" customHeight="false" outlineLevel="0" collapsed="false">
      <c r="A2367" s="8" t="n">
        <v>2366</v>
      </c>
      <c r="B2367" s="9" t="s">
        <v>3330</v>
      </c>
      <c r="C2367" s="8" t="n">
        <v>198</v>
      </c>
      <c r="D2367" s="9" t="str">
        <f aca="false">INDEX(Radicals!$B$2:$B$215,MATCH(C2367,Radicals!$A$2:$A$215,0))</f>
        <v>鹿</v>
      </c>
      <c r="E2367" s="10" t="str">
        <f aca="false">INDEX(Radicals!$G$2:$G$215,MATCH(C2367,Radicals!$A$2:$A$215,0))</f>
        <v>deer</v>
      </c>
      <c r="F2367" s="8" t="n">
        <f aca="false">INDEX(Radicals!$D$2:$D$215,MATCH(C2367,Radicals!$A$2:$A$215,0))</f>
        <v>11</v>
      </c>
      <c r="G2367" s="8" t="n">
        <v>19</v>
      </c>
    </row>
    <row r="2368" customFormat="false" ht="17.35" hidden="false" customHeight="false" outlineLevel="0" collapsed="false">
      <c r="A2368" s="8" t="n">
        <v>2367</v>
      </c>
      <c r="B2368" s="9" t="s">
        <v>3331</v>
      </c>
      <c r="C2368" s="8" t="n">
        <v>85</v>
      </c>
      <c r="D2368" s="9" t="str">
        <f aca="false">INDEX(Radicals!$B$2:$B$215,MATCH(C2368,Radicals!$A$2:$A$215,0))</f>
        <v>水</v>
      </c>
      <c r="E2368" s="10" t="str">
        <f aca="false">INDEX(Radicals!$G$2:$G$215,MATCH(C2368,Radicals!$A$2:$A$215,0))</f>
        <v>water</v>
      </c>
      <c r="F2368" s="8" t="n">
        <f aca="false">INDEX(Radicals!$D$2:$D$215,MATCH(C2368,Radicals!$A$2:$A$215,0))</f>
        <v>4</v>
      </c>
      <c r="G2368" s="8" t="n">
        <v>20</v>
      </c>
    </row>
    <row r="2369" customFormat="false" ht="17.35" hidden="false" customHeight="false" outlineLevel="0" collapsed="false">
      <c r="A2369" s="8" t="n">
        <v>2368</v>
      </c>
      <c r="B2369" s="9" t="s">
        <v>3332</v>
      </c>
      <c r="C2369" s="8" t="n">
        <v>140</v>
      </c>
      <c r="D2369" s="9" t="str">
        <f aca="false">INDEX(Radicals!$B$2:$B$215,MATCH(C2369,Radicals!$A$2:$A$215,0))</f>
        <v>艸</v>
      </c>
      <c r="E2369" s="10" t="str">
        <f aca="false">INDEX(Radicals!$G$2:$G$215,MATCH(C2369,Radicals!$A$2:$A$215,0))</f>
        <v>grass, plant</v>
      </c>
      <c r="F2369" s="8" t="n">
        <f aca="false">INDEX(Radicals!$D$2:$D$215,MATCH(C2369,Radicals!$A$2:$A$215,0))</f>
        <v>6</v>
      </c>
      <c r="G2369" s="8" t="n">
        <v>13</v>
      </c>
    </row>
    <row r="2370" customFormat="false" ht="17.35" hidden="false" customHeight="false" outlineLevel="0" collapsed="false">
      <c r="A2370" s="8" t="n">
        <v>2369</v>
      </c>
      <c r="B2370" s="9" t="s">
        <v>3333</v>
      </c>
      <c r="C2370" s="8" t="n">
        <v>195</v>
      </c>
      <c r="D2370" s="9" t="str">
        <f aca="false">INDEX(Radicals!$B$2:$B$215,MATCH(C2370,Radicals!$A$2:$A$215,0))</f>
        <v>魚</v>
      </c>
      <c r="E2370" s="10" t="str">
        <f aca="false">INDEX(Radicals!$G$2:$G$215,MATCH(C2370,Radicals!$A$2:$A$215,0))</f>
        <v>fish</v>
      </c>
      <c r="F2370" s="8" t="n">
        <f aca="false">INDEX(Radicals!$D$2:$D$215,MATCH(C2370,Radicals!$A$2:$A$215,0))</f>
        <v>11</v>
      </c>
      <c r="G2370" s="8" t="n">
        <v>18</v>
      </c>
    </row>
    <row r="2371" customFormat="false" ht="17.35" hidden="false" customHeight="false" outlineLevel="0" collapsed="false">
      <c r="A2371" s="8" t="n">
        <v>2370</v>
      </c>
      <c r="B2371" s="9" t="s">
        <v>3334</v>
      </c>
      <c r="C2371" s="8" t="n">
        <v>117</v>
      </c>
      <c r="D2371" s="9" t="str">
        <f aca="false">INDEX(Radicals!$B$2:$B$215,MATCH(C2371,Radicals!$A$2:$A$215,0))</f>
        <v>立</v>
      </c>
      <c r="E2371" s="10" t="str">
        <f aca="false">INDEX(Radicals!$G$2:$G$215,MATCH(C2371,Radicals!$A$2:$A$215,0))</f>
        <v>stand</v>
      </c>
      <c r="F2371" s="8" t="n">
        <f aca="false">INDEX(Radicals!$D$2:$D$215,MATCH(C2371,Radicals!$A$2:$A$215,0))</f>
        <v>5</v>
      </c>
      <c r="G2371" s="8" t="n">
        <v>14</v>
      </c>
    </row>
    <row r="2372" customFormat="false" ht="17.35" hidden="false" customHeight="false" outlineLevel="0" collapsed="false">
      <c r="A2372" s="8" t="n">
        <v>2371</v>
      </c>
      <c r="B2372" s="9" t="s">
        <v>3335</v>
      </c>
      <c r="C2372" s="8" t="n">
        <v>57</v>
      </c>
      <c r="D2372" s="9" t="str">
        <f aca="false">INDEX(Radicals!$B$2:$B$215,MATCH(C2372,Radicals!$A$2:$A$215,0))</f>
        <v>弓</v>
      </c>
      <c r="E2372" s="10" t="str">
        <f aca="false">INDEX(Radicals!$G$2:$G$215,MATCH(C2372,Radicals!$A$2:$A$215,0))</f>
        <v>bow</v>
      </c>
      <c r="F2372" s="8" t="n">
        <f aca="false">INDEX(Radicals!$D$2:$D$215,MATCH(C2372,Radicals!$A$2:$A$215,0))</f>
        <v>3</v>
      </c>
      <c r="G2372" s="8" t="n">
        <v>9</v>
      </c>
    </row>
    <row r="2373" customFormat="false" ht="17.35" hidden="false" customHeight="false" outlineLevel="0" collapsed="false">
      <c r="A2373" s="8" t="n">
        <v>2372</v>
      </c>
      <c r="B2373" s="9" t="s">
        <v>3336</v>
      </c>
      <c r="C2373" s="8" t="n">
        <v>115</v>
      </c>
      <c r="D2373" s="9" t="str">
        <f aca="false">INDEX(Radicals!$B$2:$B$215,MATCH(C2373,Radicals!$A$2:$A$215,0))</f>
        <v>禾</v>
      </c>
      <c r="E2373" s="10" t="str">
        <f aca="false">INDEX(Radicals!$G$2:$G$215,MATCH(C2373,Radicals!$A$2:$A$215,0))</f>
        <v>grain, rice plant</v>
      </c>
      <c r="F2373" s="8" t="n">
        <f aca="false">INDEX(Radicals!$D$2:$D$215,MATCH(C2373,Radicals!$A$2:$A$215,0))</f>
        <v>5</v>
      </c>
      <c r="G2373" s="8" t="n">
        <v>15</v>
      </c>
    </row>
    <row r="2374" customFormat="false" ht="17.35" hidden="false" customHeight="false" outlineLevel="0" collapsed="false">
      <c r="A2374" s="8" t="n">
        <v>2373</v>
      </c>
      <c r="B2374" s="9" t="s">
        <v>3337</v>
      </c>
      <c r="C2374" s="8" t="n">
        <v>104</v>
      </c>
      <c r="D2374" s="9" t="str">
        <f aca="false">INDEX(Radicals!$B$2:$B$215,MATCH(C2374,Radicals!$A$2:$A$215,0))</f>
        <v>疒</v>
      </c>
      <c r="E2374" s="10" t="str">
        <f aca="false">INDEX(Radicals!$G$2:$G$215,MATCH(C2374,Radicals!$A$2:$A$215,0))</f>
        <v>sickness</v>
      </c>
      <c r="F2374" s="8" t="n">
        <f aca="false">INDEX(Radicals!$D$2:$D$215,MATCH(C2374,Radicals!$A$2:$A$215,0))</f>
        <v>5</v>
      </c>
      <c r="G2374" s="8" t="n">
        <v>15</v>
      </c>
    </row>
    <row r="2375" customFormat="false" ht="17.35" hidden="false" customHeight="false" outlineLevel="0" collapsed="false">
      <c r="A2375" s="8" t="n">
        <v>2374</v>
      </c>
      <c r="B2375" s="9" t="s">
        <v>3338</v>
      </c>
      <c r="C2375" s="8" t="n">
        <v>85</v>
      </c>
      <c r="D2375" s="9" t="str">
        <f aca="false">INDEX(Radicals!$B$2:$B$215,MATCH(C2375,Radicals!$A$2:$A$215,0))</f>
        <v>水</v>
      </c>
      <c r="E2375" s="10" t="str">
        <f aca="false">INDEX(Radicals!$G$2:$G$215,MATCH(C2375,Radicals!$A$2:$A$215,0))</f>
        <v>water</v>
      </c>
      <c r="F2375" s="8" t="n">
        <f aca="false">INDEX(Radicals!$D$2:$D$215,MATCH(C2375,Radicals!$A$2:$A$215,0))</f>
        <v>4</v>
      </c>
      <c r="G2375" s="8" t="n">
        <v>16</v>
      </c>
    </row>
    <row r="2376" customFormat="false" ht="17.35" hidden="false" customHeight="false" outlineLevel="0" collapsed="false">
      <c r="A2376" s="8" t="n">
        <v>2375</v>
      </c>
      <c r="B2376" s="9" t="s">
        <v>3339</v>
      </c>
      <c r="C2376" s="8" t="n">
        <v>85</v>
      </c>
      <c r="D2376" s="9" t="str">
        <f aca="false">INDEX(Radicals!$B$2:$B$215,MATCH(C2376,Radicals!$A$2:$A$215,0))</f>
        <v>水</v>
      </c>
      <c r="E2376" s="10" t="str">
        <f aca="false">INDEX(Radicals!$G$2:$G$215,MATCH(C2376,Radicals!$A$2:$A$215,0))</f>
        <v>water</v>
      </c>
      <c r="F2376" s="8" t="n">
        <f aca="false">INDEX(Radicals!$D$2:$D$215,MATCH(C2376,Radicals!$A$2:$A$215,0))</f>
        <v>4</v>
      </c>
      <c r="G2376" s="8" t="n">
        <v>13</v>
      </c>
    </row>
    <row r="2377" customFormat="false" ht="17.35" hidden="false" customHeight="false" outlineLevel="0" collapsed="false">
      <c r="A2377" s="8" t="n">
        <v>2376</v>
      </c>
      <c r="B2377" s="9" t="s">
        <v>3340</v>
      </c>
      <c r="C2377" s="8" t="n">
        <v>162</v>
      </c>
      <c r="D2377" s="9" t="str">
        <f aca="false">INDEX(Radicals!$B$2:$B$215,MATCH(C2377,Radicals!$A$2:$A$215,0))</f>
        <v>辵</v>
      </c>
      <c r="E2377" s="10" t="str">
        <f aca="false">INDEX(Radicals!$G$2:$G$215,MATCH(C2377,Radicals!$A$2:$A$215,0))</f>
        <v>walk, movement</v>
      </c>
      <c r="F2377" s="8" t="n">
        <f aca="false">INDEX(Radicals!$D$2:$D$215,MATCH(C2377,Radicals!$A$2:$A$215,0))</f>
        <v>7</v>
      </c>
      <c r="G2377" s="8" t="n">
        <v>12</v>
      </c>
    </row>
    <row r="2378" customFormat="false" ht="17.35" hidden="false" customHeight="false" outlineLevel="0" collapsed="false">
      <c r="A2378" s="8" t="n">
        <v>2377</v>
      </c>
      <c r="B2378" s="9" t="s">
        <v>3341</v>
      </c>
      <c r="C2378" s="8" t="n">
        <v>157</v>
      </c>
      <c r="D2378" s="9" t="str">
        <f aca="false">INDEX(Radicals!$B$2:$B$215,MATCH(C2378,Radicals!$A$2:$A$215,0))</f>
        <v>足</v>
      </c>
      <c r="E2378" s="10" t="str">
        <f aca="false">INDEX(Radicals!$G$2:$G$215,MATCH(C2378,Radicals!$A$2:$A$215,0))</f>
        <v>foot, leg</v>
      </c>
      <c r="F2378" s="8" t="n">
        <f aca="false">INDEX(Radicals!$D$2:$D$215,MATCH(C2378,Radicals!$A$2:$A$215,0))</f>
        <v>7</v>
      </c>
      <c r="G2378" s="8" t="n">
        <v>19</v>
      </c>
    </row>
    <row r="2379" customFormat="false" ht="17.35" hidden="false" customHeight="false" outlineLevel="0" collapsed="false">
      <c r="A2379" s="8" t="n">
        <v>2378</v>
      </c>
      <c r="B2379" s="9" t="s">
        <v>3342</v>
      </c>
      <c r="C2379" s="8" t="n">
        <v>62</v>
      </c>
      <c r="D2379" s="9" t="str">
        <f aca="false">INDEX(Radicals!$B$2:$B$215,MATCH(C2379,Radicals!$A$2:$A$215,0))</f>
        <v>戈</v>
      </c>
      <c r="E2379" s="10" t="str">
        <f aca="false">INDEX(Radicals!$G$2:$G$215,MATCH(C2379,Radicals!$A$2:$A$215,0))</f>
        <v>halberd, spear</v>
      </c>
      <c r="F2379" s="8" t="n">
        <f aca="false">INDEX(Radicals!$D$2:$D$215,MATCH(C2379,Radicals!$A$2:$A$215,0))</f>
        <v>4</v>
      </c>
      <c r="G2379" s="8" t="n">
        <v>8</v>
      </c>
    </row>
    <row r="2380" customFormat="false" ht="17.35" hidden="false" customHeight="false" outlineLevel="0" collapsed="false">
      <c r="A2380" s="8" t="n">
        <v>2379</v>
      </c>
      <c r="B2380" s="9" t="s">
        <v>3343</v>
      </c>
      <c r="C2380" s="8" t="n">
        <v>149</v>
      </c>
      <c r="D2380" s="9" t="str">
        <f aca="false">INDEX(Radicals!$B$2:$B$215,MATCH(C2380,Radicals!$A$2:$A$215,0))</f>
        <v>言</v>
      </c>
      <c r="E2380" s="10" t="str">
        <f aca="false">INDEX(Radicals!$G$2:$G$215,MATCH(C2380,Radicals!$A$2:$A$215,0))</f>
        <v>speech, say</v>
      </c>
      <c r="F2380" s="8" t="n">
        <f aca="false">INDEX(Radicals!$D$2:$D$215,MATCH(C2380,Radicals!$A$2:$A$215,0))</f>
        <v>7</v>
      </c>
      <c r="G2380" s="8" t="n">
        <v>9</v>
      </c>
    </row>
    <row r="2381" customFormat="false" ht="17.35" hidden="false" customHeight="false" outlineLevel="0" collapsed="false">
      <c r="A2381" s="8" t="n">
        <v>2380</v>
      </c>
      <c r="B2381" s="9" t="s">
        <v>3344</v>
      </c>
      <c r="C2381" s="8" t="n">
        <v>111</v>
      </c>
      <c r="D2381" s="9" t="str">
        <f aca="false">INDEX(Radicals!$B$2:$B$215,MATCH(C2381,Radicals!$A$2:$A$215,0))</f>
        <v>矢</v>
      </c>
      <c r="E2381" s="10" t="str">
        <f aca="false">INDEX(Radicals!$G$2:$G$215,MATCH(C2381,Radicals!$A$2:$A$215,0))</f>
        <v>arrow</v>
      </c>
      <c r="F2381" s="8" t="n">
        <f aca="false">INDEX(Radicals!$D$2:$D$215,MATCH(C2381,Radicals!$A$2:$A$215,0))</f>
        <v>5</v>
      </c>
      <c r="G2381" s="8" t="n">
        <v>10</v>
      </c>
    </row>
    <row r="2382" customFormat="false" ht="17.35" hidden="false" customHeight="false" outlineLevel="0" collapsed="false">
      <c r="A2382" s="8" t="n">
        <v>2381</v>
      </c>
      <c r="B2382" s="9" t="s">
        <v>3345</v>
      </c>
      <c r="C2382" s="8" t="n">
        <v>27</v>
      </c>
      <c r="D2382" s="9" t="str">
        <f aca="false">INDEX(Radicals!$B$2:$B$215,MATCH(C2382,Radicals!$A$2:$A$215,0))</f>
        <v>厂</v>
      </c>
      <c r="E2382" s="10" t="str">
        <f aca="false">INDEX(Radicals!$G$2:$G$215,MATCH(C2382,Radicals!$A$2:$A$215,0))</f>
        <v>cliff</v>
      </c>
      <c r="F2382" s="8" t="n">
        <f aca="false">INDEX(Radicals!$D$2:$D$215,MATCH(C2382,Radicals!$A$2:$A$215,0))</f>
        <v>2</v>
      </c>
      <c r="G2382" s="8" t="n">
        <v>12</v>
      </c>
    </row>
    <row r="2383" customFormat="false" ht="17.35" hidden="false" customHeight="false" outlineLevel="0" collapsed="false">
      <c r="A2383" s="8" t="n">
        <v>2382</v>
      </c>
      <c r="B2383" s="9" t="s">
        <v>3346</v>
      </c>
      <c r="C2383" s="8" t="n">
        <v>14</v>
      </c>
      <c r="D2383" s="9" t="str">
        <f aca="false">INDEX(Radicals!$B$2:$B$215,MATCH(C2383,Radicals!$A$2:$A$215,0))</f>
        <v>冖</v>
      </c>
      <c r="E2383" s="10" t="str">
        <f aca="false">INDEX(Radicals!$G$2:$G$215,MATCH(C2383,Radicals!$A$2:$A$215,0))</f>
        <v>cover, crown</v>
      </c>
      <c r="F2383" s="8" t="n">
        <f aca="false">INDEX(Radicals!$D$2:$D$215,MATCH(C2383,Radicals!$A$2:$A$215,0))</f>
        <v>2</v>
      </c>
      <c r="G2383" s="8" t="n">
        <v>10</v>
      </c>
    </row>
    <row r="2384" customFormat="false" ht="17.35" hidden="false" customHeight="false" outlineLevel="0" collapsed="false">
      <c r="A2384" s="8" t="n">
        <v>2383</v>
      </c>
      <c r="B2384" s="9" t="s">
        <v>3347</v>
      </c>
      <c r="C2384" s="8" t="n">
        <v>18</v>
      </c>
      <c r="D2384" s="9" t="str">
        <f aca="false">INDEX(Radicals!$B$2:$B$215,MATCH(C2384,Radicals!$A$2:$A$215,0))</f>
        <v>刀</v>
      </c>
      <c r="E2384" s="10" t="str">
        <f aca="false">INDEX(Radicals!$G$2:$G$215,MATCH(C2384,Radicals!$A$2:$A$215,0))</f>
        <v>knife, sword</v>
      </c>
      <c r="F2384" s="8" t="n">
        <f aca="false">INDEX(Radicals!$D$2:$D$215,MATCH(C2384,Radicals!$A$2:$A$215,0))</f>
        <v>2</v>
      </c>
      <c r="G2384" s="8" t="n">
        <v>10</v>
      </c>
    </row>
    <row r="2385" customFormat="false" ht="17.35" hidden="false" customHeight="false" outlineLevel="0" collapsed="false">
      <c r="A2385" s="8" t="n">
        <v>2384</v>
      </c>
      <c r="B2385" s="9" t="s">
        <v>3348</v>
      </c>
      <c r="C2385" s="8" t="n">
        <v>136</v>
      </c>
      <c r="D2385" s="9" t="str">
        <f aca="false">INDEX(Radicals!$B$2:$B$215,MATCH(C2385,Radicals!$A$2:$A$215,0))</f>
        <v>舛</v>
      </c>
      <c r="E2385" s="10" t="str">
        <f aca="false">INDEX(Radicals!$G$2:$G$215,MATCH(C2385,Radicals!$A$2:$A$215,0))</f>
        <v>oppose, dance</v>
      </c>
      <c r="F2385" s="8" t="n">
        <f aca="false">INDEX(Radicals!$D$2:$D$215,MATCH(C2385,Radicals!$A$2:$A$215,0))</f>
        <v>6</v>
      </c>
      <c r="G2385" s="8" t="n">
        <v>13</v>
      </c>
    </row>
    <row r="2386" customFormat="false" ht="17.35" hidden="false" customHeight="false" outlineLevel="0" collapsed="false">
      <c r="A2386" s="8" t="n">
        <v>2385</v>
      </c>
      <c r="B2386" s="9" t="s">
        <v>3349</v>
      </c>
      <c r="C2386" s="8" t="n">
        <v>9</v>
      </c>
      <c r="D2386" s="9" t="str">
        <f aca="false">INDEX(Radicals!$B$2:$B$215,MATCH(C2386,Radicals!$A$2:$A$215,0))</f>
        <v>人</v>
      </c>
      <c r="E2386" s="10" t="str">
        <f aca="false">INDEX(Radicals!$G$2:$G$215,MATCH(C2386,Radicals!$A$2:$A$215,0))</f>
        <v>person</v>
      </c>
      <c r="F2386" s="8" t="n">
        <f aca="false">INDEX(Radicals!$D$2:$D$215,MATCH(C2386,Radicals!$A$2:$A$215,0))</f>
        <v>2</v>
      </c>
      <c r="G2386" s="8" t="n">
        <v>8</v>
      </c>
    </row>
    <row r="2387" customFormat="false" ht="17.35" hidden="false" customHeight="false" outlineLevel="0" collapsed="false">
      <c r="A2387" s="8" t="n">
        <v>2386</v>
      </c>
      <c r="B2387" s="9" t="s">
        <v>3350</v>
      </c>
      <c r="C2387" s="8" t="n">
        <v>154</v>
      </c>
      <c r="D2387" s="9" t="str">
        <f aca="false">INDEX(Radicals!$B$2:$B$215,MATCH(C2387,Radicals!$A$2:$A$215,0))</f>
        <v>貝</v>
      </c>
      <c r="E2387" s="10" t="str">
        <f aca="false">INDEX(Radicals!$G$2:$G$215,MATCH(C2387,Radicals!$A$2:$A$215,0))</f>
        <v>shell, money</v>
      </c>
      <c r="F2387" s="8" t="n">
        <f aca="false">INDEX(Radicals!$D$2:$D$215,MATCH(C2387,Radicals!$A$2:$A$215,0))</f>
        <v>7</v>
      </c>
      <c r="G2387" s="8" t="n">
        <v>18</v>
      </c>
    </row>
    <row r="2388" customFormat="false" ht="17.35" hidden="false" customHeight="false" outlineLevel="0" collapsed="false">
      <c r="A2388" s="8" t="n">
        <v>2387</v>
      </c>
      <c r="B2388" s="9" t="s">
        <v>3351</v>
      </c>
      <c r="C2388" s="8" t="n">
        <v>75</v>
      </c>
      <c r="D2388" s="9" t="str">
        <f aca="false">INDEX(Radicals!$B$2:$B$215,MATCH(C2388,Radicals!$A$2:$A$215,0))</f>
        <v>木</v>
      </c>
      <c r="E2388" s="10" t="str">
        <f aca="false">INDEX(Radicals!$G$2:$G$215,MATCH(C2388,Radicals!$A$2:$A$215,0))</f>
        <v>tree, wood</v>
      </c>
      <c r="F2388" s="8" t="n">
        <f aca="false">INDEX(Radicals!$D$2:$D$215,MATCH(C2388,Radicals!$A$2:$A$215,0))</f>
        <v>4</v>
      </c>
      <c r="G2388" s="8" t="n">
        <v>7</v>
      </c>
    </row>
    <row r="2389" customFormat="false" ht="17.35" hidden="false" customHeight="false" outlineLevel="0" collapsed="false">
      <c r="A2389" s="8" t="n">
        <v>2388</v>
      </c>
      <c r="B2389" s="9" t="s">
        <v>3352</v>
      </c>
      <c r="C2389" s="8" t="n">
        <v>140</v>
      </c>
      <c r="D2389" s="9" t="str">
        <f aca="false">INDEX(Radicals!$B$2:$B$215,MATCH(C2389,Radicals!$A$2:$A$215,0))</f>
        <v>艸</v>
      </c>
      <c r="E2389" s="10" t="str">
        <f aca="false">INDEX(Radicals!$G$2:$G$215,MATCH(C2389,Radicals!$A$2:$A$215,0))</f>
        <v>grass, plant</v>
      </c>
      <c r="F2389" s="8" t="n">
        <f aca="false">INDEX(Radicals!$D$2:$D$215,MATCH(C2389,Radicals!$A$2:$A$215,0))</f>
        <v>6</v>
      </c>
      <c r="G2389" s="8" t="n">
        <v>13</v>
      </c>
    </row>
    <row r="2390" customFormat="false" ht="17.35" hidden="false" customHeight="false" outlineLevel="0" collapsed="false">
      <c r="A2390" s="8" t="n">
        <v>2389</v>
      </c>
      <c r="B2390" s="9" t="s">
        <v>3353</v>
      </c>
      <c r="C2390" s="8" t="n">
        <v>102</v>
      </c>
      <c r="D2390" s="9" t="str">
        <f aca="false">INDEX(Radicals!$B$2:$B$215,MATCH(C2390,Radicals!$A$2:$A$215,0))</f>
        <v>田</v>
      </c>
      <c r="E2390" s="10" t="str">
        <f aca="false">INDEX(Radicals!$G$2:$G$215,MATCH(C2390,Radicals!$A$2:$A$215,0))</f>
        <v>field, paddy</v>
      </c>
      <c r="F2390" s="8" t="n">
        <f aca="false">INDEX(Radicals!$D$2:$D$215,MATCH(C2390,Radicals!$A$2:$A$215,0))</f>
        <v>5</v>
      </c>
      <c r="G2390" s="8" t="n">
        <v>9</v>
      </c>
    </row>
    <row r="2391" customFormat="false" ht="17.35" hidden="false" customHeight="false" outlineLevel="0" collapsed="false">
      <c r="A2391" s="8" t="n">
        <v>2390</v>
      </c>
      <c r="B2391" s="9" t="s">
        <v>3354</v>
      </c>
      <c r="C2391" s="8" t="n">
        <v>30</v>
      </c>
      <c r="D2391" s="9" t="str">
        <f aca="false">INDEX(Radicals!$B$2:$B$215,MATCH(C2391,Radicals!$A$2:$A$215,0))</f>
        <v>口</v>
      </c>
      <c r="E2391" s="10" t="str">
        <f aca="false">INDEX(Radicals!$G$2:$G$215,MATCH(C2391,Radicals!$A$2:$A$215,0))</f>
        <v>mouth</v>
      </c>
      <c r="F2391" s="8" t="n">
        <f aca="false">INDEX(Radicals!$D$2:$D$215,MATCH(C2391,Radicals!$A$2:$A$215,0))</f>
        <v>3</v>
      </c>
      <c r="G2391" s="8" t="n">
        <v>12</v>
      </c>
    </row>
    <row r="2392" customFormat="false" ht="17.35" hidden="false" customHeight="false" outlineLevel="0" collapsed="false">
      <c r="A2392" s="8" t="n">
        <v>2391</v>
      </c>
      <c r="B2392" s="9" t="s">
        <v>3355</v>
      </c>
      <c r="C2392" s="8" t="n">
        <v>85</v>
      </c>
      <c r="D2392" s="9" t="str">
        <f aca="false">INDEX(Radicals!$B$2:$B$215,MATCH(C2392,Radicals!$A$2:$A$215,0))</f>
        <v>水</v>
      </c>
      <c r="E2392" s="10" t="str">
        <f aca="false">INDEX(Radicals!$G$2:$G$215,MATCH(C2392,Radicals!$A$2:$A$215,0))</f>
        <v>water</v>
      </c>
      <c r="F2392" s="8" t="n">
        <f aca="false">INDEX(Radicals!$D$2:$D$215,MATCH(C2392,Radicals!$A$2:$A$215,0))</f>
        <v>4</v>
      </c>
      <c r="G2392" s="8" t="n">
        <v>7</v>
      </c>
    </row>
    <row r="2393" customFormat="false" ht="17.35" hidden="false" customHeight="false" outlineLevel="0" collapsed="false">
      <c r="A2393" s="8" t="n">
        <v>2392</v>
      </c>
      <c r="B2393" s="9" t="s">
        <v>3356</v>
      </c>
      <c r="C2393" s="8" t="n">
        <v>94</v>
      </c>
      <c r="D2393" s="9" t="str">
        <f aca="false">INDEX(Radicals!$B$2:$B$215,MATCH(C2393,Radicals!$A$2:$A$215,0))</f>
        <v>犬</v>
      </c>
      <c r="E2393" s="10" t="str">
        <f aca="false">INDEX(Radicals!$G$2:$G$215,MATCH(C2393,Radicals!$A$2:$A$215,0))</f>
        <v>dog</v>
      </c>
      <c r="F2393" s="8" t="n">
        <f aca="false">INDEX(Radicals!$D$2:$D$215,MATCH(C2393,Radicals!$A$2:$A$215,0))</f>
        <v>4</v>
      </c>
      <c r="G2393" s="8" t="n">
        <v>13</v>
      </c>
    </row>
    <row r="2394" customFormat="false" ht="17.35" hidden="false" customHeight="false" outlineLevel="0" collapsed="false">
      <c r="A2394" s="8" t="n">
        <v>2393</v>
      </c>
      <c r="B2394" s="9" t="s">
        <v>3357</v>
      </c>
      <c r="C2394" s="8" t="n">
        <v>96</v>
      </c>
      <c r="D2394" s="9" t="str">
        <f aca="false">INDEX(Radicals!$B$2:$B$215,MATCH(C2394,Radicals!$A$2:$A$215,0))</f>
        <v>玉</v>
      </c>
      <c r="E2394" s="10" t="str">
        <f aca="false">INDEX(Radicals!$G$2:$G$215,MATCH(C2394,Radicals!$A$2:$A$215,0))</f>
        <v>jade, king</v>
      </c>
      <c r="F2394" s="8" t="n">
        <f aca="false">INDEX(Radicals!$D$2:$D$215,MATCH(C2394,Radicals!$A$2:$A$215,0))</f>
        <v>5</v>
      </c>
      <c r="G2394" s="8" t="n">
        <v>12</v>
      </c>
    </row>
    <row r="2395" customFormat="false" ht="17.35" hidden="false" customHeight="false" outlineLevel="0" collapsed="false">
      <c r="A2395" s="8" t="n">
        <v>2394</v>
      </c>
      <c r="B2395" s="9" t="s">
        <v>3358</v>
      </c>
      <c r="C2395" s="8" t="n">
        <v>64</v>
      </c>
      <c r="D2395" s="9" t="str">
        <f aca="false">INDEX(Radicals!$B$2:$B$215,MATCH(C2395,Radicals!$A$2:$A$215,0))</f>
        <v>手</v>
      </c>
      <c r="E2395" s="10" t="str">
        <f aca="false">INDEX(Radicals!$G$2:$G$215,MATCH(C2395,Radicals!$A$2:$A$215,0))</f>
        <v>hand</v>
      </c>
      <c r="F2395" s="8" t="n">
        <f aca="false">INDEX(Radicals!$D$2:$D$215,MATCH(C2395,Radicals!$A$2:$A$215,0))</f>
        <v>4</v>
      </c>
      <c r="G2395" s="8" t="n">
        <v>13</v>
      </c>
    </row>
    <row r="2396" customFormat="false" ht="17.35" hidden="false" customHeight="false" outlineLevel="0" collapsed="false">
      <c r="A2396" s="8" t="n">
        <v>2395</v>
      </c>
      <c r="B2396" s="9" t="s">
        <v>3359</v>
      </c>
      <c r="C2396" s="8" t="n">
        <v>73</v>
      </c>
      <c r="D2396" s="9" t="str">
        <f aca="false">INDEX(Radicals!$B$2:$B$215,MATCH(C2396,Radicals!$A$2:$A$215,0))</f>
        <v>曰</v>
      </c>
      <c r="E2396" s="10" t="str">
        <f aca="false">INDEX(Radicals!$G$2:$G$215,MATCH(C2396,Radicals!$A$2:$A$215,0))</f>
        <v>say</v>
      </c>
      <c r="F2396" s="8" t="n">
        <f aca="false">INDEX(Radicals!$D$2:$D$215,MATCH(C2396,Radicals!$A$2:$A$215,0))</f>
        <v>4</v>
      </c>
      <c r="G2396" s="8" t="n">
        <v>11</v>
      </c>
    </row>
    <row r="2397" customFormat="false" ht="17.35" hidden="false" customHeight="false" outlineLevel="0" collapsed="false">
      <c r="A2397" s="8" t="n">
        <v>2396</v>
      </c>
      <c r="B2397" s="9" t="s">
        <v>3360</v>
      </c>
      <c r="C2397" s="8" t="n">
        <v>170</v>
      </c>
      <c r="D2397" s="9" t="str">
        <f aca="false">INDEX(Radicals!$B$2:$B$215,MATCH(C2397,Radicals!$A$2:$A$215,0))</f>
        <v>阜</v>
      </c>
      <c r="E2397" s="10" t="str">
        <f aca="false">INDEX(Radicals!$G$2:$G$215,MATCH(C2397,Radicals!$A$2:$A$215,0))</f>
        <v>mound, hill</v>
      </c>
      <c r="F2397" s="8" t="n">
        <f aca="false">INDEX(Radicals!$D$2:$D$215,MATCH(C2397,Radicals!$A$2:$A$215,0))</f>
        <v>8</v>
      </c>
      <c r="G2397" s="8" t="n">
        <v>8</v>
      </c>
    </row>
    <row r="2398" customFormat="false" ht="17.35" hidden="false" customHeight="false" outlineLevel="0" collapsed="false">
      <c r="A2398" s="8" t="n">
        <v>2397</v>
      </c>
      <c r="B2398" s="9" t="s">
        <v>3361</v>
      </c>
      <c r="C2398" s="8" t="n">
        <v>59</v>
      </c>
      <c r="D2398" s="9" t="str">
        <f aca="false">INDEX(Radicals!$B$2:$B$215,MATCH(C2398,Radicals!$A$2:$A$215,0))</f>
        <v>彡</v>
      </c>
      <c r="E2398" s="10" t="str">
        <f aca="false">INDEX(Radicals!$G$2:$G$215,MATCH(C2398,Radicals!$A$2:$A$215,0))</f>
        <v>bristle, hair, shadow</v>
      </c>
      <c r="F2398" s="8" t="n">
        <f aca="false">INDEX(Radicals!$D$2:$D$215,MATCH(C2398,Radicals!$A$2:$A$215,0))</f>
        <v>3</v>
      </c>
      <c r="G2398" s="8" t="n">
        <v>11</v>
      </c>
    </row>
    <row r="2399" customFormat="false" ht="17.35" hidden="false" customHeight="false" outlineLevel="0" collapsed="false">
      <c r="A2399" s="8" t="n">
        <v>2398</v>
      </c>
      <c r="B2399" s="9" t="s">
        <v>3362</v>
      </c>
      <c r="C2399" s="8" t="n">
        <v>64</v>
      </c>
      <c r="D2399" s="9" t="str">
        <f aca="false">INDEX(Radicals!$B$2:$B$215,MATCH(C2399,Radicals!$A$2:$A$215,0))</f>
        <v>手</v>
      </c>
      <c r="E2399" s="10" t="str">
        <f aca="false">INDEX(Radicals!$G$2:$G$215,MATCH(C2399,Radicals!$A$2:$A$215,0))</f>
        <v>hand</v>
      </c>
      <c r="F2399" s="8" t="n">
        <f aca="false">INDEX(Radicals!$D$2:$D$215,MATCH(C2399,Radicals!$A$2:$A$215,0))</f>
        <v>4</v>
      </c>
      <c r="G2399" s="8" t="n">
        <v>15</v>
      </c>
    </row>
    <row r="2400" customFormat="false" ht="17.35" hidden="false" customHeight="false" outlineLevel="0" collapsed="false">
      <c r="A2400" s="8" t="n">
        <v>2399</v>
      </c>
      <c r="B2400" s="9" t="s">
        <v>3363</v>
      </c>
      <c r="C2400" s="8" t="n">
        <v>30</v>
      </c>
      <c r="D2400" s="9" t="str">
        <f aca="false">INDEX(Radicals!$B$2:$B$215,MATCH(C2400,Radicals!$A$2:$A$215,0))</f>
        <v>口</v>
      </c>
      <c r="E2400" s="10" t="str">
        <f aca="false">INDEX(Radicals!$G$2:$G$215,MATCH(C2400,Radicals!$A$2:$A$215,0))</f>
        <v>mouth</v>
      </c>
      <c r="F2400" s="8" t="n">
        <f aca="false">INDEX(Radicals!$D$2:$D$215,MATCH(C2400,Radicals!$A$2:$A$215,0))</f>
        <v>3</v>
      </c>
      <c r="G2400" s="8" t="n">
        <v>15</v>
      </c>
    </row>
    <row r="2401" customFormat="false" ht="17.35" hidden="false" customHeight="false" outlineLevel="0" collapsed="false">
      <c r="A2401" s="8" t="n">
        <v>2400</v>
      </c>
      <c r="B2401" s="9" t="s">
        <v>3364</v>
      </c>
      <c r="C2401" s="8" t="n">
        <v>26</v>
      </c>
      <c r="D2401" s="9" t="str">
        <f aca="false">INDEX(Radicals!$B$2:$B$215,MATCH(C2401,Radicals!$A$2:$A$215,0))</f>
        <v>卩</v>
      </c>
      <c r="E2401" s="10" t="str">
        <f aca="false">INDEX(Radicals!$G$2:$G$215,MATCH(C2401,Radicals!$A$2:$A$215,0))</f>
        <v>seal, kneeling person</v>
      </c>
      <c r="F2401" s="8" t="n">
        <f aca="false">INDEX(Radicals!$D$2:$D$215,MATCH(C2401,Radicals!$A$2:$A$215,0))</f>
        <v>2</v>
      </c>
      <c r="G2401" s="8" t="n">
        <v>5</v>
      </c>
    </row>
    <row r="2402" customFormat="false" ht="17.35" hidden="false" customHeight="false" outlineLevel="0" collapsed="false">
      <c r="A2402" s="8" t="n">
        <v>2401</v>
      </c>
      <c r="B2402" s="9" t="s">
        <v>3365</v>
      </c>
      <c r="C2402" s="8" t="n">
        <v>75</v>
      </c>
      <c r="D2402" s="9" t="str">
        <f aca="false">INDEX(Radicals!$B$2:$B$215,MATCH(C2402,Radicals!$A$2:$A$215,0))</f>
        <v>木</v>
      </c>
      <c r="E2402" s="10" t="str">
        <f aca="false">INDEX(Radicals!$G$2:$G$215,MATCH(C2402,Radicals!$A$2:$A$215,0))</f>
        <v>tree, wood</v>
      </c>
      <c r="F2402" s="8" t="n">
        <f aca="false">INDEX(Radicals!$D$2:$D$215,MATCH(C2402,Radicals!$A$2:$A$215,0))</f>
        <v>4</v>
      </c>
      <c r="G2402" s="8" t="n">
        <v>11</v>
      </c>
    </row>
    <row r="2403" customFormat="false" ht="17.35" hidden="false" customHeight="false" outlineLevel="0" collapsed="false">
      <c r="A2403" s="8" t="n">
        <v>2402</v>
      </c>
      <c r="B2403" s="9" t="s">
        <v>3366</v>
      </c>
      <c r="C2403" s="8" t="n">
        <v>64</v>
      </c>
      <c r="D2403" s="9" t="str">
        <f aca="false">INDEX(Radicals!$B$2:$B$215,MATCH(C2403,Radicals!$A$2:$A$215,0))</f>
        <v>手</v>
      </c>
      <c r="E2403" s="10" t="str">
        <f aca="false">INDEX(Radicals!$G$2:$G$215,MATCH(C2403,Radicals!$A$2:$A$215,0))</f>
        <v>hand</v>
      </c>
      <c r="F2403" s="8" t="n">
        <f aca="false">INDEX(Radicals!$D$2:$D$215,MATCH(C2403,Radicals!$A$2:$A$215,0))</f>
        <v>4</v>
      </c>
      <c r="G2403" s="8" t="n">
        <v>15</v>
      </c>
    </row>
    <row r="2404" customFormat="false" ht="17.35" hidden="false" customHeight="false" outlineLevel="0" collapsed="false">
      <c r="A2404" s="8" t="n">
        <v>2403</v>
      </c>
      <c r="B2404" s="9" t="s">
        <v>3367</v>
      </c>
      <c r="C2404" s="8" t="n">
        <v>30</v>
      </c>
      <c r="D2404" s="9" t="str">
        <f aca="false">INDEX(Radicals!$B$2:$B$215,MATCH(C2404,Radicals!$A$2:$A$215,0))</f>
        <v>口</v>
      </c>
      <c r="E2404" s="10" t="str">
        <f aca="false">INDEX(Radicals!$G$2:$G$215,MATCH(C2404,Radicals!$A$2:$A$215,0))</f>
        <v>mouth</v>
      </c>
      <c r="F2404" s="8" t="n">
        <f aca="false">INDEX(Radicals!$D$2:$D$215,MATCH(C2404,Radicals!$A$2:$A$215,0))</f>
        <v>3</v>
      </c>
      <c r="G2404" s="8" t="n">
        <v>12</v>
      </c>
    </row>
    <row r="2405" customFormat="false" ht="17.35" hidden="false" customHeight="false" outlineLevel="0" collapsed="false">
      <c r="A2405" s="8" t="n">
        <v>2404</v>
      </c>
      <c r="B2405" s="9" t="s">
        <v>3368</v>
      </c>
      <c r="C2405" s="8" t="n">
        <v>9</v>
      </c>
      <c r="D2405" s="9" t="str">
        <f aca="false">INDEX(Radicals!$B$2:$B$215,MATCH(C2405,Radicals!$A$2:$A$215,0))</f>
        <v>人</v>
      </c>
      <c r="E2405" s="10" t="str">
        <f aca="false">INDEX(Radicals!$G$2:$G$215,MATCH(C2405,Radicals!$A$2:$A$215,0))</f>
        <v>person</v>
      </c>
      <c r="F2405" s="8" t="n">
        <f aca="false">INDEX(Radicals!$D$2:$D$215,MATCH(C2405,Radicals!$A$2:$A$215,0))</f>
        <v>2</v>
      </c>
      <c r="G2405" s="8" t="n">
        <v>7</v>
      </c>
    </row>
    <row r="2406" customFormat="false" ht="17.35" hidden="false" customHeight="false" outlineLevel="0" collapsed="false">
      <c r="A2406" s="8" t="n">
        <v>2405</v>
      </c>
      <c r="B2406" s="9" t="s">
        <v>3369</v>
      </c>
      <c r="C2406" s="8" t="n">
        <v>85</v>
      </c>
      <c r="D2406" s="9" t="str">
        <f aca="false">INDEX(Radicals!$B$2:$B$215,MATCH(C2406,Radicals!$A$2:$A$215,0))</f>
        <v>水</v>
      </c>
      <c r="E2406" s="10" t="str">
        <f aca="false">INDEX(Radicals!$G$2:$G$215,MATCH(C2406,Radicals!$A$2:$A$215,0))</f>
        <v>water</v>
      </c>
      <c r="F2406" s="8" t="n">
        <f aca="false">INDEX(Radicals!$D$2:$D$215,MATCH(C2406,Radicals!$A$2:$A$215,0))</f>
        <v>4</v>
      </c>
      <c r="G2406" s="8" t="n">
        <v>13</v>
      </c>
    </row>
    <row r="2407" customFormat="false" ht="17.35" hidden="false" customHeight="false" outlineLevel="0" collapsed="false">
      <c r="A2407" s="8" t="n">
        <v>2406</v>
      </c>
      <c r="B2407" s="9" t="s">
        <v>3370</v>
      </c>
      <c r="C2407" s="8" t="n">
        <v>169</v>
      </c>
      <c r="D2407" s="9" t="str">
        <f aca="false">INDEX(Radicals!$B$2:$B$215,MATCH(C2407,Radicals!$A$2:$A$215,0))</f>
        <v>門</v>
      </c>
      <c r="E2407" s="10" t="str">
        <f aca="false">INDEX(Radicals!$G$2:$G$215,MATCH(C2407,Radicals!$A$2:$A$215,0))</f>
        <v>gate</v>
      </c>
      <c r="F2407" s="8" t="n">
        <f aca="false">INDEX(Radicals!$D$2:$D$215,MATCH(C2407,Radicals!$A$2:$A$215,0))</f>
        <v>8</v>
      </c>
      <c r="G2407" s="8" t="n">
        <v>17</v>
      </c>
    </row>
    <row r="2408" customFormat="false" ht="17.35" hidden="false" customHeight="false" outlineLevel="0" collapsed="false">
      <c r="A2408" s="8" t="n">
        <v>2407</v>
      </c>
      <c r="B2408" s="9" t="s">
        <v>3371</v>
      </c>
      <c r="C2408" s="8" t="n">
        <v>140</v>
      </c>
      <c r="D2408" s="9" t="str">
        <f aca="false">INDEX(Radicals!$B$2:$B$215,MATCH(C2408,Radicals!$A$2:$A$215,0))</f>
        <v>艸</v>
      </c>
      <c r="E2408" s="10" t="str">
        <f aca="false">INDEX(Radicals!$G$2:$G$215,MATCH(C2408,Radicals!$A$2:$A$215,0))</f>
        <v>grass, plant</v>
      </c>
      <c r="F2408" s="8" t="n">
        <f aca="false">INDEX(Radicals!$D$2:$D$215,MATCH(C2408,Radicals!$A$2:$A$215,0))</f>
        <v>6</v>
      </c>
      <c r="G2408" s="8" t="n">
        <v>18</v>
      </c>
    </row>
    <row r="2409" customFormat="false" ht="17.35" hidden="false" customHeight="false" outlineLevel="0" collapsed="false">
      <c r="A2409" s="8" t="n">
        <v>2408</v>
      </c>
      <c r="B2409" s="9" t="s">
        <v>3372</v>
      </c>
      <c r="C2409" s="8" t="n">
        <v>85</v>
      </c>
      <c r="D2409" s="9" t="str">
        <f aca="false">INDEX(Radicals!$B$2:$B$215,MATCH(C2409,Radicals!$A$2:$A$215,0))</f>
        <v>水</v>
      </c>
      <c r="E2409" s="10" t="str">
        <f aca="false">INDEX(Radicals!$G$2:$G$215,MATCH(C2409,Radicals!$A$2:$A$215,0))</f>
        <v>water</v>
      </c>
      <c r="F2409" s="8" t="n">
        <f aca="false">INDEX(Radicals!$D$2:$D$215,MATCH(C2409,Radicals!$A$2:$A$215,0))</f>
        <v>4</v>
      </c>
      <c r="G2409" s="8" t="n">
        <v>10</v>
      </c>
    </row>
    <row r="2410" customFormat="false" ht="17.35" hidden="false" customHeight="false" outlineLevel="0" collapsed="false">
      <c r="A2410" s="8" t="n">
        <v>2409</v>
      </c>
      <c r="B2410" s="9" t="s">
        <v>3373</v>
      </c>
      <c r="C2410" s="8" t="n">
        <v>59</v>
      </c>
      <c r="D2410" s="9" t="str">
        <f aca="false">INDEX(Radicals!$B$2:$B$215,MATCH(C2410,Radicals!$A$2:$A$215,0))</f>
        <v>彡</v>
      </c>
      <c r="E2410" s="10" t="str">
        <f aca="false">INDEX(Radicals!$G$2:$G$215,MATCH(C2410,Radicals!$A$2:$A$215,0))</f>
        <v>bristle, hair, shadow</v>
      </c>
      <c r="F2410" s="8" t="n">
        <f aca="false">INDEX(Radicals!$D$2:$D$215,MATCH(C2410,Radicals!$A$2:$A$215,0))</f>
        <v>3</v>
      </c>
      <c r="G2410" s="8" t="n">
        <v>12</v>
      </c>
    </row>
    <row r="2411" customFormat="false" ht="17.35" hidden="false" customHeight="false" outlineLevel="0" collapsed="false">
      <c r="A2411" s="8" t="n">
        <v>2410</v>
      </c>
      <c r="B2411" s="9" t="s">
        <v>3374</v>
      </c>
      <c r="C2411" s="8" t="n">
        <v>85</v>
      </c>
      <c r="D2411" s="9" t="str">
        <f aca="false">INDEX(Radicals!$B$2:$B$215,MATCH(C2411,Radicals!$A$2:$A$215,0))</f>
        <v>水</v>
      </c>
      <c r="E2411" s="10" t="str">
        <f aca="false">INDEX(Radicals!$G$2:$G$215,MATCH(C2411,Radicals!$A$2:$A$215,0))</f>
        <v>water</v>
      </c>
      <c r="F2411" s="8" t="n">
        <f aca="false">INDEX(Radicals!$D$2:$D$215,MATCH(C2411,Radicals!$A$2:$A$215,0))</f>
        <v>4</v>
      </c>
      <c r="G2411" s="8" t="n">
        <v>11</v>
      </c>
    </row>
    <row r="2412" customFormat="false" ht="17.35" hidden="false" customHeight="false" outlineLevel="0" collapsed="false">
      <c r="A2412" s="8" t="n">
        <v>2411</v>
      </c>
      <c r="B2412" s="9" t="s">
        <v>3375</v>
      </c>
      <c r="C2412" s="8" t="n">
        <v>18</v>
      </c>
      <c r="D2412" s="9" t="str">
        <f aca="false">INDEX(Radicals!$B$2:$B$215,MATCH(C2412,Radicals!$A$2:$A$215,0))</f>
        <v>刀</v>
      </c>
      <c r="E2412" s="10" t="str">
        <f aca="false">INDEX(Radicals!$G$2:$G$215,MATCH(C2412,Radicals!$A$2:$A$215,0))</f>
        <v>knife, sword</v>
      </c>
      <c r="F2412" s="8" t="n">
        <f aca="false">INDEX(Radicals!$D$2:$D$215,MATCH(C2412,Radicals!$A$2:$A$215,0))</f>
        <v>2</v>
      </c>
      <c r="G2412" s="8" t="n">
        <v>9</v>
      </c>
    </row>
    <row r="2413" customFormat="false" ht="17.35" hidden="false" customHeight="false" outlineLevel="0" collapsed="false">
      <c r="A2413" s="8" t="n">
        <v>2412</v>
      </c>
      <c r="B2413" s="9" t="s">
        <v>3376</v>
      </c>
      <c r="C2413" s="8" t="n">
        <v>64</v>
      </c>
      <c r="D2413" s="9" t="str">
        <f aca="false">INDEX(Radicals!$B$2:$B$215,MATCH(C2413,Radicals!$A$2:$A$215,0))</f>
        <v>手</v>
      </c>
      <c r="E2413" s="10" t="str">
        <f aca="false">INDEX(Radicals!$G$2:$G$215,MATCH(C2413,Radicals!$A$2:$A$215,0))</f>
        <v>hand</v>
      </c>
      <c r="F2413" s="8" t="n">
        <f aca="false">INDEX(Radicals!$D$2:$D$215,MATCH(C2413,Radicals!$A$2:$A$215,0))</f>
        <v>4</v>
      </c>
      <c r="G2413" s="8" t="n">
        <v>12</v>
      </c>
    </row>
    <row r="2414" customFormat="false" ht="17.35" hidden="false" customHeight="false" outlineLevel="0" collapsed="false">
      <c r="A2414" s="8" t="n">
        <v>2413</v>
      </c>
      <c r="B2414" s="9" t="s">
        <v>3377</v>
      </c>
      <c r="C2414" s="8" t="n">
        <v>120</v>
      </c>
      <c r="D2414" s="9" t="str">
        <f aca="false">INDEX(Radicals!$B$2:$B$215,MATCH(C2414,Radicals!$A$2:$A$215,0))</f>
        <v>糸</v>
      </c>
      <c r="E2414" s="10" t="str">
        <f aca="false">INDEX(Radicals!$G$2:$G$215,MATCH(C2414,Radicals!$A$2:$A$215,0))</f>
        <v>thread, silk</v>
      </c>
      <c r="F2414" s="8" t="n">
        <f aca="false">INDEX(Radicals!$D$2:$D$215,MATCH(C2414,Radicals!$A$2:$A$215,0))</f>
        <v>6</v>
      </c>
      <c r="G2414" s="8" t="n">
        <v>14</v>
      </c>
    </row>
    <row r="2415" customFormat="false" ht="17.35" hidden="false" customHeight="false" outlineLevel="0" collapsed="false">
      <c r="A2415" s="8" t="n">
        <v>2414</v>
      </c>
      <c r="B2415" s="9" t="s">
        <v>3378</v>
      </c>
      <c r="C2415" s="8" t="n">
        <v>60</v>
      </c>
      <c r="D2415" s="9" t="str">
        <f aca="false">INDEX(Radicals!$B$2:$B$215,MATCH(C2415,Radicals!$A$2:$A$215,0))</f>
        <v>彳</v>
      </c>
      <c r="E2415" s="10" t="str">
        <f aca="false">INDEX(Radicals!$G$2:$G$215,MATCH(C2415,Radicals!$A$2:$A$215,0))</f>
        <v>step, small step</v>
      </c>
      <c r="F2415" s="8" t="n">
        <f aca="false">INDEX(Radicals!$D$2:$D$215,MATCH(C2415,Radicals!$A$2:$A$215,0))</f>
        <v>3</v>
      </c>
      <c r="G2415" s="8" t="n">
        <v>11</v>
      </c>
    </row>
    <row r="2416" customFormat="false" ht="17.35" hidden="false" customHeight="false" outlineLevel="0" collapsed="false">
      <c r="A2416" s="8" t="n">
        <v>2415</v>
      </c>
      <c r="B2416" s="9" t="s">
        <v>3379</v>
      </c>
      <c r="C2416" s="8" t="n">
        <v>49</v>
      </c>
      <c r="D2416" s="9" t="str">
        <f aca="false">INDEX(Radicals!$B$2:$B$215,MATCH(C2416,Radicals!$A$2:$A$215,0))</f>
        <v>己</v>
      </c>
      <c r="E2416" s="10" t="str">
        <f aca="false">INDEX(Radicals!$G$2:$G$215,MATCH(C2416,Radicals!$A$2:$A$215,0))</f>
        <v>oneself</v>
      </c>
      <c r="F2416" s="8" t="n">
        <f aca="false">INDEX(Radicals!$D$2:$D$215,MATCH(C2416,Radicals!$A$2:$A$215,0))</f>
        <v>3</v>
      </c>
      <c r="G2416" s="8" t="n">
        <v>9</v>
      </c>
    </row>
    <row r="2417" customFormat="false" ht="17.35" hidden="false" customHeight="false" outlineLevel="0" collapsed="false">
      <c r="A2417" s="8" t="n">
        <v>2416</v>
      </c>
      <c r="B2417" s="9" t="s">
        <v>3380</v>
      </c>
      <c r="C2417" s="8" t="n">
        <v>118</v>
      </c>
      <c r="D2417" s="9" t="str">
        <f aca="false">INDEX(Radicals!$B$2:$B$215,MATCH(C2417,Radicals!$A$2:$A$215,0))</f>
        <v>竹</v>
      </c>
      <c r="E2417" s="10" t="str">
        <f aca="false">INDEX(Radicals!$G$2:$G$215,MATCH(C2417,Radicals!$A$2:$A$215,0))</f>
        <v>bamboo</v>
      </c>
      <c r="F2417" s="8" t="n">
        <f aca="false">INDEX(Radicals!$D$2:$D$215,MATCH(C2417,Radicals!$A$2:$A$215,0))</f>
        <v>6</v>
      </c>
      <c r="G2417" s="8" t="n">
        <v>9</v>
      </c>
    </row>
    <row r="2418" customFormat="false" ht="17.35" hidden="false" customHeight="false" outlineLevel="0" collapsed="false">
      <c r="A2418" s="8" t="n">
        <v>2417</v>
      </c>
      <c r="B2418" s="9" t="s">
        <v>3381</v>
      </c>
      <c r="C2418" s="8" t="n">
        <v>142</v>
      </c>
      <c r="D2418" s="9" t="str">
        <f aca="false">INDEX(Radicals!$B$2:$B$215,MATCH(C2418,Radicals!$A$2:$A$215,0))</f>
        <v>虫</v>
      </c>
      <c r="E2418" s="10" t="str">
        <f aca="false">INDEX(Radicals!$G$2:$G$215,MATCH(C2418,Radicals!$A$2:$A$215,0))</f>
        <v>insect</v>
      </c>
      <c r="F2418" s="8" t="n">
        <f aca="false">INDEX(Radicals!$D$2:$D$215,MATCH(C2418,Radicals!$A$2:$A$215,0))</f>
        <v>6</v>
      </c>
      <c r="G2418" s="8" t="n">
        <v>19</v>
      </c>
    </row>
    <row r="2419" customFormat="false" ht="17.35" hidden="false" customHeight="false" outlineLevel="0" collapsed="false">
      <c r="A2419" s="8" t="n">
        <v>2418</v>
      </c>
      <c r="B2419" s="9" t="s">
        <v>3382</v>
      </c>
      <c r="C2419" s="8" t="n">
        <v>140</v>
      </c>
      <c r="D2419" s="9" t="str">
        <f aca="false">INDEX(Radicals!$B$2:$B$215,MATCH(C2419,Radicals!$A$2:$A$215,0))</f>
        <v>艸</v>
      </c>
      <c r="E2419" s="10" t="str">
        <f aca="false">INDEX(Radicals!$G$2:$G$215,MATCH(C2419,Radicals!$A$2:$A$215,0))</f>
        <v>grass, plant</v>
      </c>
      <c r="F2419" s="8" t="n">
        <f aca="false">INDEX(Radicals!$D$2:$D$215,MATCH(C2419,Radicals!$A$2:$A$215,0))</f>
        <v>6</v>
      </c>
      <c r="G2419" s="8" t="n">
        <v>6</v>
      </c>
    </row>
    <row r="2420" customFormat="false" ht="17.35" hidden="false" customHeight="false" outlineLevel="0" collapsed="false">
      <c r="A2420" s="8" t="n">
        <v>2419</v>
      </c>
      <c r="B2420" s="9" t="s">
        <v>3383</v>
      </c>
      <c r="C2420" s="8" t="n">
        <v>145</v>
      </c>
      <c r="D2420" s="9" t="str">
        <f aca="false">INDEX(Radicals!$B$2:$B$215,MATCH(C2420,Radicals!$A$2:$A$215,0))</f>
        <v>衣</v>
      </c>
      <c r="E2420" s="10" t="str">
        <f aca="false">INDEX(Radicals!$G$2:$G$215,MATCH(C2420,Radicals!$A$2:$A$215,0))</f>
        <v>clothes</v>
      </c>
      <c r="F2420" s="8" t="n">
        <f aca="false">INDEX(Radicals!$D$2:$D$215,MATCH(C2420,Radicals!$A$2:$A$215,0))</f>
        <v>6</v>
      </c>
      <c r="G2420" s="8" t="n">
        <v>10</v>
      </c>
    </row>
    <row r="2421" customFormat="false" ht="17.35" hidden="false" customHeight="false" outlineLevel="0" collapsed="false">
      <c r="A2421" s="8" t="n">
        <v>2420</v>
      </c>
      <c r="B2421" s="9" t="s">
        <v>3384</v>
      </c>
      <c r="C2421" s="8" t="n">
        <v>137</v>
      </c>
      <c r="D2421" s="9" t="str">
        <f aca="false">INDEX(Radicals!$B$2:$B$215,MATCH(C2421,Radicals!$A$2:$A$215,0))</f>
        <v>舟</v>
      </c>
      <c r="E2421" s="10" t="str">
        <f aca="false">INDEX(Radicals!$G$2:$G$215,MATCH(C2421,Radicals!$A$2:$A$215,0))</f>
        <v>boat</v>
      </c>
      <c r="F2421" s="8" t="n">
        <f aca="false">INDEX(Radicals!$D$2:$D$215,MATCH(C2421,Radicals!$A$2:$A$215,0))</f>
        <v>6</v>
      </c>
      <c r="G2421" s="8" t="n">
        <v>10</v>
      </c>
    </row>
    <row r="2422" customFormat="false" ht="17.35" hidden="false" customHeight="false" outlineLevel="0" collapsed="false">
      <c r="A2422" s="8" t="n">
        <v>2421</v>
      </c>
      <c r="B2422" s="9" t="s">
        <v>3385</v>
      </c>
      <c r="C2422" s="8" t="n">
        <v>64</v>
      </c>
      <c r="D2422" s="9" t="str">
        <f aca="false">INDEX(Radicals!$B$2:$B$215,MATCH(C2422,Radicals!$A$2:$A$215,0))</f>
        <v>手</v>
      </c>
      <c r="E2422" s="10" t="str">
        <f aca="false">INDEX(Radicals!$G$2:$G$215,MATCH(C2422,Radicals!$A$2:$A$215,0))</f>
        <v>hand</v>
      </c>
      <c r="F2422" s="8" t="n">
        <f aca="false">INDEX(Radicals!$D$2:$D$215,MATCH(C2422,Radicals!$A$2:$A$215,0))</f>
        <v>4</v>
      </c>
      <c r="G2422" s="8" t="n">
        <v>9</v>
      </c>
    </row>
    <row r="2423" customFormat="false" ht="17.35" hidden="false" customHeight="false" outlineLevel="0" collapsed="false">
      <c r="A2423" s="8" t="n">
        <v>2422</v>
      </c>
      <c r="B2423" s="9" t="s">
        <v>3386</v>
      </c>
      <c r="C2423" s="8" t="n">
        <v>140</v>
      </c>
      <c r="D2423" s="9" t="str">
        <f aca="false">INDEX(Radicals!$B$2:$B$215,MATCH(C2423,Radicals!$A$2:$A$215,0))</f>
        <v>艸</v>
      </c>
      <c r="E2423" s="10" t="str">
        <f aca="false">INDEX(Radicals!$G$2:$G$215,MATCH(C2423,Radicals!$A$2:$A$215,0))</f>
        <v>grass, plant</v>
      </c>
      <c r="F2423" s="8" t="n">
        <f aca="false">INDEX(Radicals!$D$2:$D$215,MATCH(C2423,Radicals!$A$2:$A$215,0))</f>
        <v>6</v>
      </c>
      <c r="G2423" s="8" t="n">
        <v>9</v>
      </c>
    </row>
    <row r="2424" customFormat="false" ht="17.35" hidden="false" customHeight="false" outlineLevel="0" collapsed="false">
      <c r="A2424" s="8" t="n">
        <v>2423</v>
      </c>
      <c r="B2424" s="9" t="s">
        <v>3387</v>
      </c>
      <c r="C2424" s="8" t="n">
        <v>15</v>
      </c>
      <c r="D2424" s="9" t="str">
        <f aca="false">INDEX(Radicals!$B$2:$B$215,MATCH(C2424,Radicals!$A$2:$A$215,0))</f>
        <v>冫</v>
      </c>
      <c r="E2424" s="10" t="str">
        <f aca="false">INDEX(Radicals!$G$2:$G$215,MATCH(C2424,Radicals!$A$2:$A$215,0))</f>
        <v>ice</v>
      </c>
      <c r="F2424" s="8" t="n">
        <f aca="false">INDEX(Radicals!$D$2:$D$215,MATCH(C2424,Radicals!$A$2:$A$215,0))</f>
        <v>2</v>
      </c>
      <c r="G2424" s="8" t="n">
        <v>10</v>
      </c>
    </row>
    <row r="2425" customFormat="false" ht="17.35" hidden="false" customHeight="false" outlineLevel="0" collapsed="false">
      <c r="A2425" s="8" t="n">
        <v>2424</v>
      </c>
      <c r="B2425" s="9" t="s">
        <v>3388</v>
      </c>
      <c r="C2425" s="8" t="n">
        <v>181</v>
      </c>
      <c r="D2425" s="9" t="str">
        <f aca="false">INDEX(Radicals!$B$2:$B$215,MATCH(C2425,Radicals!$A$2:$A$215,0))</f>
        <v>頁</v>
      </c>
      <c r="E2425" s="10" t="str">
        <f aca="false">INDEX(Radicals!$G$2:$G$215,MATCH(C2425,Radicals!$A$2:$A$215,0))</f>
        <v>page, leaf (head)</v>
      </c>
      <c r="F2425" s="8" t="n">
        <f aca="false">INDEX(Radicals!$D$2:$D$215,MATCH(C2425,Radicals!$A$2:$A$215,0))</f>
        <v>9</v>
      </c>
      <c r="G2425" s="8" t="n">
        <v>15</v>
      </c>
    </row>
    <row r="2426" customFormat="false" ht="17.35" hidden="false" customHeight="false" outlineLevel="0" collapsed="false">
      <c r="A2426" s="8" t="n">
        <v>2425</v>
      </c>
      <c r="B2426" s="9" t="s">
        <v>3389</v>
      </c>
      <c r="C2426" s="8" t="n">
        <v>27</v>
      </c>
      <c r="D2426" s="9" t="str">
        <f aca="false">INDEX(Radicals!$B$2:$B$215,MATCH(C2426,Radicals!$A$2:$A$215,0))</f>
        <v>厂</v>
      </c>
      <c r="E2426" s="10" t="str">
        <f aca="false">INDEX(Radicals!$G$2:$G$215,MATCH(C2426,Radicals!$A$2:$A$215,0))</f>
        <v>cliff</v>
      </c>
      <c r="F2426" s="8" t="n">
        <f aca="false">INDEX(Radicals!$D$2:$D$215,MATCH(C2426,Radicals!$A$2:$A$215,0))</f>
        <v>2</v>
      </c>
      <c r="G2426" s="8" t="n">
        <v>12</v>
      </c>
    </row>
    <row r="2427" customFormat="false" ht="17.35" hidden="false" customHeight="false" outlineLevel="0" collapsed="false">
      <c r="A2427" s="8" t="n">
        <v>2426</v>
      </c>
      <c r="B2427" s="9" t="s">
        <v>3390</v>
      </c>
      <c r="C2427" s="8" t="n">
        <v>93</v>
      </c>
      <c r="D2427" s="9" t="str">
        <f aca="false">INDEX(Radicals!$B$2:$B$215,MATCH(C2427,Radicals!$A$2:$A$215,0))</f>
        <v>牛</v>
      </c>
      <c r="E2427" s="10" t="str">
        <f aca="false">INDEX(Radicals!$G$2:$G$215,MATCH(C2427,Radicals!$A$2:$A$215,0))</f>
        <v>cow, ox</v>
      </c>
      <c r="F2427" s="8" t="n">
        <f aca="false">INDEX(Radicals!$D$2:$D$215,MATCH(C2427,Radicals!$A$2:$A$215,0))</f>
        <v>4</v>
      </c>
      <c r="G2427" s="8" t="n">
        <v>12</v>
      </c>
    </row>
    <row r="2428" customFormat="false" ht="17.35" hidden="false" customHeight="false" outlineLevel="0" collapsed="false">
      <c r="A2428" s="8" t="n">
        <v>2427</v>
      </c>
      <c r="B2428" s="9" t="s">
        <v>3391</v>
      </c>
      <c r="C2428" s="8" t="n">
        <v>118</v>
      </c>
      <c r="D2428" s="9" t="str">
        <f aca="false">INDEX(Radicals!$B$2:$B$215,MATCH(C2428,Radicals!$A$2:$A$215,0))</f>
        <v>竹</v>
      </c>
      <c r="E2428" s="10" t="str">
        <f aca="false">INDEX(Radicals!$G$2:$G$215,MATCH(C2428,Radicals!$A$2:$A$215,0))</f>
        <v>bamboo</v>
      </c>
      <c r="F2428" s="8" t="n">
        <f aca="false">INDEX(Radicals!$D$2:$D$215,MATCH(C2428,Radicals!$A$2:$A$215,0))</f>
        <v>6</v>
      </c>
      <c r="G2428" s="8" t="n">
        <v>16</v>
      </c>
    </row>
    <row r="2429" customFormat="false" ht="17.35" hidden="false" customHeight="false" outlineLevel="0" collapsed="false">
      <c r="A2429" s="8" t="n">
        <v>2428</v>
      </c>
      <c r="B2429" s="9" t="s">
        <v>3392</v>
      </c>
      <c r="C2429" s="8" t="n">
        <v>106</v>
      </c>
      <c r="D2429" s="9" t="str">
        <f aca="false">INDEX(Radicals!$B$2:$B$215,MATCH(C2429,Radicals!$A$2:$A$215,0))</f>
        <v>白</v>
      </c>
      <c r="E2429" s="10" t="str">
        <f aca="false">INDEX(Radicals!$G$2:$G$215,MATCH(C2429,Radicals!$A$2:$A$215,0))</f>
        <v>white</v>
      </c>
      <c r="F2429" s="8" t="n">
        <f aca="false">INDEX(Radicals!$D$2:$D$215,MATCH(C2429,Radicals!$A$2:$A$215,0))</f>
        <v>5</v>
      </c>
      <c r="G2429" s="8" t="n">
        <v>12</v>
      </c>
    </row>
    <row r="2430" customFormat="false" ht="17.35" hidden="false" customHeight="false" outlineLevel="0" collapsed="false">
      <c r="A2430" s="8" t="n">
        <v>2429</v>
      </c>
      <c r="B2430" s="9" t="s">
        <v>3393</v>
      </c>
      <c r="C2430" s="8" t="n">
        <v>100</v>
      </c>
      <c r="D2430" s="9" t="str">
        <f aca="false">INDEX(Radicals!$B$2:$B$215,MATCH(C2430,Radicals!$A$2:$A$215,0))</f>
        <v>生</v>
      </c>
      <c r="E2430" s="10" t="str">
        <f aca="false">INDEX(Radicals!$G$2:$G$215,MATCH(C2430,Radicals!$A$2:$A$215,0))</f>
        <v>life, birth</v>
      </c>
      <c r="F2430" s="8" t="n">
        <f aca="false">INDEX(Radicals!$D$2:$D$215,MATCH(C2430,Radicals!$A$2:$A$215,0))</f>
        <v>5</v>
      </c>
      <c r="G2430" s="8" t="n">
        <v>12</v>
      </c>
    </row>
    <row r="2431" customFormat="false" ht="17.35" hidden="false" customHeight="false" outlineLevel="0" collapsed="false">
      <c r="A2431" s="8" t="n">
        <v>2430</v>
      </c>
      <c r="B2431" s="9" t="s">
        <v>3394</v>
      </c>
      <c r="C2431" s="8" t="n">
        <v>85</v>
      </c>
      <c r="D2431" s="9" t="str">
        <f aca="false">INDEX(Radicals!$B$2:$B$215,MATCH(C2431,Radicals!$A$2:$A$215,0))</f>
        <v>水</v>
      </c>
      <c r="E2431" s="10" t="str">
        <f aca="false">INDEX(Radicals!$G$2:$G$215,MATCH(C2431,Radicals!$A$2:$A$215,0))</f>
        <v>water</v>
      </c>
      <c r="F2431" s="8" t="n">
        <f aca="false">INDEX(Radicals!$D$2:$D$215,MATCH(C2431,Radicals!$A$2:$A$215,0))</f>
        <v>4</v>
      </c>
      <c r="G2431" s="8" t="n">
        <v>9</v>
      </c>
    </row>
    <row r="2432" customFormat="false" ht="17.35" hidden="false" customHeight="false" outlineLevel="0" collapsed="false">
      <c r="A2432" s="8" t="n">
        <v>2431</v>
      </c>
      <c r="B2432" s="9" t="s">
        <v>3395</v>
      </c>
      <c r="C2432" s="8" t="n">
        <v>82</v>
      </c>
      <c r="D2432" s="9" t="str">
        <f aca="false">INDEX(Radicals!$B$2:$B$215,MATCH(C2432,Radicals!$A$2:$A$215,0))</f>
        <v>毛</v>
      </c>
      <c r="E2432" s="10" t="str">
        <f aca="false">INDEX(Radicals!$G$2:$G$215,MATCH(C2432,Radicals!$A$2:$A$215,0))</f>
        <v>fur, hair</v>
      </c>
      <c r="F2432" s="8" t="n">
        <f aca="false">INDEX(Radicals!$D$2:$D$215,MATCH(C2432,Radicals!$A$2:$A$215,0))</f>
        <v>4</v>
      </c>
      <c r="G2432" s="8" t="n">
        <v>11</v>
      </c>
    </row>
    <row r="2433" customFormat="false" ht="17.35" hidden="false" customHeight="false" outlineLevel="0" collapsed="false">
      <c r="A2433" s="8" t="n">
        <v>2432</v>
      </c>
      <c r="B2433" s="9" t="s">
        <v>3396</v>
      </c>
      <c r="C2433" s="8" t="n">
        <v>75</v>
      </c>
      <c r="D2433" s="9" t="str">
        <f aca="false">INDEX(Radicals!$B$2:$B$215,MATCH(C2433,Radicals!$A$2:$A$215,0))</f>
        <v>木</v>
      </c>
      <c r="E2433" s="10" t="str">
        <f aca="false">INDEX(Radicals!$G$2:$G$215,MATCH(C2433,Radicals!$A$2:$A$215,0))</f>
        <v>tree, wood</v>
      </c>
      <c r="F2433" s="8" t="n">
        <f aca="false">INDEX(Radicals!$D$2:$D$215,MATCH(C2433,Radicals!$A$2:$A$215,0))</f>
        <v>4</v>
      </c>
      <c r="G2433" s="8" t="n">
        <v>17</v>
      </c>
    </row>
    <row r="2434" customFormat="false" ht="17.35" hidden="false" customHeight="false" outlineLevel="0" collapsed="false">
      <c r="A2434" s="8" t="n">
        <v>2433</v>
      </c>
      <c r="B2434" s="9" t="s">
        <v>3397</v>
      </c>
      <c r="C2434" s="8" t="n">
        <v>38</v>
      </c>
      <c r="D2434" s="9" t="str">
        <f aca="false">INDEX(Radicals!$B$2:$B$215,MATCH(C2434,Radicals!$A$2:$A$215,0))</f>
        <v>女</v>
      </c>
      <c r="E2434" s="10" t="str">
        <f aca="false">INDEX(Radicals!$G$2:$G$215,MATCH(C2434,Radicals!$A$2:$A$215,0))</f>
        <v>woman</v>
      </c>
      <c r="F2434" s="8" t="n">
        <f aca="false">INDEX(Radicals!$D$2:$D$215,MATCH(C2434,Radicals!$A$2:$A$215,0))</f>
        <v>3</v>
      </c>
      <c r="G2434" s="8" t="n">
        <v>9</v>
      </c>
    </row>
    <row r="2435" customFormat="false" ht="17.35" hidden="false" customHeight="false" outlineLevel="0" collapsed="false">
      <c r="A2435" s="8" t="n">
        <v>2434</v>
      </c>
      <c r="B2435" s="9" t="s">
        <v>3398</v>
      </c>
      <c r="C2435" s="8" t="n">
        <v>142</v>
      </c>
      <c r="D2435" s="9" t="str">
        <f aca="false">INDEX(Radicals!$B$2:$B$215,MATCH(C2435,Radicals!$A$2:$A$215,0))</f>
        <v>虫</v>
      </c>
      <c r="E2435" s="10" t="str">
        <f aca="false">INDEX(Radicals!$G$2:$G$215,MATCH(C2435,Radicals!$A$2:$A$215,0))</f>
        <v>insect</v>
      </c>
      <c r="F2435" s="8" t="n">
        <f aca="false">INDEX(Radicals!$D$2:$D$215,MATCH(C2435,Radicals!$A$2:$A$215,0))</f>
        <v>6</v>
      </c>
      <c r="G2435" s="8" t="n">
        <v>12</v>
      </c>
    </row>
    <row r="2436" customFormat="false" ht="17.35" hidden="false" customHeight="false" outlineLevel="0" collapsed="false">
      <c r="A2436" s="8" t="n">
        <v>2435</v>
      </c>
      <c r="B2436" s="9" t="s">
        <v>3399</v>
      </c>
      <c r="C2436" s="8" t="n">
        <v>38</v>
      </c>
      <c r="D2436" s="9" t="str">
        <f aca="false">INDEX(Radicals!$B$2:$B$215,MATCH(C2436,Radicals!$A$2:$A$215,0))</f>
        <v>女</v>
      </c>
      <c r="E2436" s="10" t="str">
        <f aca="false">INDEX(Radicals!$G$2:$G$215,MATCH(C2436,Radicals!$A$2:$A$215,0))</f>
        <v>woman</v>
      </c>
      <c r="F2436" s="8" t="n">
        <f aca="false">INDEX(Radicals!$D$2:$D$215,MATCH(C2436,Radicals!$A$2:$A$215,0))</f>
        <v>3</v>
      </c>
      <c r="G2436" s="8" t="n">
        <v>11</v>
      </c>
    </row>
    <row r="2437" customFormat="false" ht="17.35" hidden="false" customHeight="false" outlineLevel="0" collapsed="false">
      <c r="A2437" s="8" t="n">
        <v>2436</v>
      </c>
      <c r="B2437" s="9" t="s">
        <v>3400</v>
      </c>
      <c r="C2437" s="8" t="n">
        <v>29</v>
      </c>
      <c r="D2437" s="9" t="str">
        <f aca="false">INDEX(Radicals!$B$2:$B$215,MATCH(C2437,Radicals!$A$2:$A$215,0))</f>
        <v>又</v>
      </c>
      <c r="E2437" s="10" t="str">
        <f aca="false">INDEX(Radicals!$G$2:$G$215,MATCH(C2437,Radicals!$A$2:$A$215,0))</f>
        <v>again, right hand</v>
      </c>
      <c r="F2437" s="8" t="n">
        <f aca="false">INDEX(Radicals!$D$2:$D$215,MATCH(C2437,Radicals!$A$2:$A$215,0))</f>
        <v>2</v>
      </c>
      <c r="G2437" s="8" t="n">
        <v>18</v>
      </c>
    </row>
    <row r="2438" customFormat="false" ht="17.35" hidden="false" customHeight="false" outlineLevel="0" collapsed="false">
      <c r="A2438" s="8" t="n">
        <v>2437</v>
      </c>
      <c r="B2438" s="9" t="s">
        <v>3401</v>
      </c>
      <c r="C2438" s="8" t="n">
        <v>75</v>
      </c>
      <c r="D2438" s="9" t="str">
        <f aca="false">INDEX(Radicals!$B$2:$B$215,MATCH(C2438,Radicals!$A$2:$A$215,0))</f>
        <v>木</v>
      </c>
      <c r="E2438" s="10" t="str">
        <f aca="false">INDEX(Radicals!$G$2:$G$215,MATCH(C2438,Radicals!$A$2:$A$215,0))</f>
        <v>tree, wood</v>
      </c>
      <c r="F2438" s="8" t="n">
        <f aca="false">INDEX(Radicals!$D$2:$D$215,MATCH(C2438,Radicals!$A$2:$A$215,0))</f>
        <v>4</v>
      </c>
      <c r="G2438" s="8" t="n">
        <v>12</v>
      </c>
    </row>
    <row r="2439" customFormat="false" ht="17.35" hidden="false" customHeight="false" outlineLevel="0" collapsed="false">
      <c r="A2439" s="8" t="n">
        <v>2438</v>
      </c>
      <c r="B2439" s="9" t="s">
        <v>3402</v>
      </c>
      <c r="C2439" s="8" t="n">
        <v>159</v>
      </c>
      <c r="D2439" s="9" t="str">
        <f aca="false">INDEX(Radicals!$B$2:$B$215,MATCH(C2439,Radicals!$A$2:$A$215,0))</f>
        <v>車</v>
      </c>
      <c r="E2439" s="10" t="str">
        <f aca="false">INDEX(Radicals!$G$2:$G$215,MATCH(C2439,Radicals!$A$2:$A$215,0))</f>
        <v>cart, vehicle</v>
      </c>
      <c r="F2439" s="8" t="n">
        <f aca="false">INDEX(Radicals!$D$2:$D$215,MATCH(C2439,Radicals!$A$2:$A$215,0))</f>
        <v>7</v>
      </c>
      <c r="G2439" s="8" t="n">
        <v>21</v>
      </c>
    </row>
    <row r="2440" customFormat="false" ht="17.35" hidden="false" customHeight="false" outlineLevel="0" collapsed="false">
      <c r="A2440" s="8" t="n">
        <v>2439</v>
      </c>
      <c r="B2440" s="9" t="s">
        <v>3403</v>
      </c>
      <c r="C2440" s="8" t="n">
        <v>154</v>
      </c>
      <c r="D2440" s="9" t="str">
        <f aca="false">INDEX(Radicals!$B$2:$B$215,MATCH(C2440,Radicals!$A$2:$A$215,0))</f>
        <v>貝</v>
      </c>
      <c r="E2440" s="10" t="str">
        <f aca="false">INDEX(Radicals!$G$2:$G$215,MATCH(C2440,Radicals!$A$2:$A$215,0))</f>
        <v>shell, money</v>
      </c>
      <c r="F2440" s="8" t="n">
        <f aca="false">INDEX(Radicals!$D$2:$D$215,MATCH(C2440,Radicals!$A$2:$A$215,0))</f>
        <v>7</v>
      </c>
      <c r="G2440" s="8" t="n">
        <v>19</v>
      </c>
    </row>
    <row r="2441" customFormat="false" ht="17.35" hidden="false" customHeight="false" outlineLevel="0" collapsed="false">
      <c r="A2441" s="8" t="n">
        <v>2440</v>
      </c>
      <c r="B2441" s="9" t="s">
        <v>3404</v>
      </c>
      <c r="C2441" s="8" t="n">
        <v>85</v>
      </c>
      <c r="D2441" s="9" t="str">
        <f aca="false">INDEX(Radicals!$B$2:$B$215,MATCH(C2441,Radicals!$A$2:$A$215,0))</f>
        <v>水</v>
      </c>
      <c r="E2441" s="10" t="str">
        <f aca="false">INDEX(Radicals!$G$2:$G$215,MATCH(C2441,Radicals!$A$2:$A$215,0))</f>
        <v>water</v>
      </c>
      <c r="F2441" s="8" t="n">
        <f aca="false">INDEX(Radicals!$D$2:$D$215,MATCH(C2441,Radicals!$A$2:$A$215,0))</f>
        <v>4</v>
      </c>
      <c r="G2441" s="8" t="n">
        <v>9</v>
      </c>
    </row>
    <row r="2442" customFormat="false" ht="17.35" hidden="false" customHeight="false" outlineLevel="0" collapsed="false">
      <c r="A2442" s="8" t="n">
        <v>2441</v>
      </c>
      <c r="B2442" s="9" t="s">
        <v>3405</v>
      </c>
      <c r="C2442" s="8" t="n">
        <v>154</v>
      </c>
      <c r="D2442" s="9" t="str">
        <f aca="false">INDEX(Radicals!$B$2:$B$215,MATCH(C2442,Radicals!$A$2:$A$215,0))</f>
        <v>貝</v>
      </c>
      <c r="E2442" s="10" t="str">
        <f aca="false">INDEX(Radicals!$G$2:$G$215,MATCH(C2442,Radicals!$A$2:$A$215,0))</f>
        <v>shell, money</v>
      </c>
      <c r="F2442" s="8" t="n">
        <f aca="false">INDEX(Radicals!$D$2:$D$215,MATCH(C2442,Radicals!$A$2:$A$215,0))</f>
        <v>7</v>
      </c>
      <c r="G2442" s="8" t="n">
        <v>12</v>
      </c>
    </row>
    <row r="2443" customFormat="false" ht="17.35" hidden="false" customHeight="false" outlineLevel="0" collapsed="false">
      <c r="A2443" s="8" t="n">
        <v>2442</v>
      </c>
      <c r="B2443" s="9" t="s">
        <v>3406</v>
      </c>
      <c r="C2443" s="8" t="n">
        <v>9</v>
      </c>
      <c r="D2443" s="9" t="str">
        <f aca="false">INDEX(Radicals!$B$2:$B$215,MATCH(C2443,Radicals!$A$2:$A$215,0))</f>
        <v>人</v>
      </c>
      <c r="E2443" s="10" t="str">
        <f aca="false">INDEX(Radicals!$G$2:$G$215,MATCH(C2443,Radicals!$A$2:$A$215,0))</f>
        <v>person</v>
      </c>
      <c r="F2443" s="8" t="n">
        <f aca="false">INDEX(Radicals!$D$2:$D$215,MATCH(C2443,Radicals!$A$2:$A$215,0))</f>
        <v>2</v>
      </c>
      <c r="G2443" s="8" t="n">
        <v>17</v>
      </c>
    </row>
    <row r="2444" customFormat="false" ht="17.35" hidden="false" customHeight="false" outlineLevel="0" collapsed="false">
      <c r="A2444" s="8" t="n">
        <v>2443</v>
      </c>
      <c r="B2444" s="9" t="s">
        <v>3407</v>
      </c>
      <c r="C2444" s="8" t="n">
        <v>120</v>
      </c>
      <c r="D2444" s="9" t="str">
        <f aca="false">INDEX(Radicals!$B$2:$B$215,MATCH(C2444,Radicals!$A$2:$A$215,0))</f>
        <v>糸</v>
      </c>
      <c r="E2444" s="10" t="str">
        <f aca="false">INDEX(Radicals!$G$2:$G$215,MATCH(C2444,Radicals!$A$2:$A$215,0))</f>
        <v>thread, silk</v>
      </c>
      <c r="F2444" s="8" t="n">
        <f aca="false">INDEX(Radicals!$D$2:$D$215,MATCH(C2444,Radicals!$A$2:$A$215,0))</f>
        <v>6</v>
      </c>
      <c r="G2444" s="8" t="n">
        <v>14</v>
      </c>
    </row>
    <row r="2445" customFormat="false" ht="17.35" hidden="false" customHeight="false" outlineLevel="0" collapsed="false">
      <c r="A2445" s="8" t="n">
        <v>2444</v>
      </c>
      <c r="B2445" s="9" t="s">
        <v>3408</v>
      </c>
      <c r="C2445" s="8" t="n">
        <v>154</v>
      </c>
      <c r="D2445" s="9" t="str">
        <f aca="false">INDEX(Radicals!$B$2:$B$215,MATCH(C2445,Radicals!$A$2:$A$215,0))</f>
        <v>貝</v>
      </c>
      <c r="E2445" s="10" t="str">
        <f aca="false">INDEX(Radicals!$G$2:$G$215,MATCH(C2445,Radicals!$A$2:$A$215,0))</f>
        <v>shell, money</v>
      </c>
      <c r="F2445" s="8" t="n">
        <f aca="false">INDEX(Radicals!$D$2:$D$215,MATCH(C2445,Radicals!$A$2:$A$215,0))</f>
        <v>7</v>
      </c>
      <c r="G2445" s="8" t="n">
        <v>12</v>
      </c>
    </row>
    <row r="2446" customFormat="false" ht="17.35" hidden="false" customHeight="false" outlineLevel="0" collapsed="false">
      <c r="A2446" s="8" t="n">
        <v>2445</v>
      </c>
      <c r="B2446" s="9" t="s">
        <v>3409</v>
      </c>
      <c r="C2446" s="8" t="n">
        <v>149</v>
      </c>
      <c r="D2446" s="9" t="str">
        <f aca="false">INDEX(Radicals!$B$2:$B$215,MATCH(C2446,Radicals!$A$2:$A$215,0))</f>
        <v>言</v>
      </c>
      <c r="E2446" s="10" t="str">
        <f aca="false">INDEX(Radicals!$G$2:$G$215,MATCH(C2446,Radicals!$A$2:$A$215,0))</f>
        <v>speech, say</v>
      </c>
      <c r="F2446" s="8" t="n">
        <f aca="false">INDEX(Radicals!$D$2:$D$215,MATCH(C2446,Radicals!$A$2:$A$215,0))</f>
        <v>7</v>
      </c>
      <c r="G2446" s="8" t="n">
        <v>16</v>
      </c>
    </row>
    <row r="2447" customFormat="false" ht="17.35" hidden="false" customHeight="false" outlineLevel="0" collapsed="false">
      <c r="A2447" s="8" t="n">
        <v>2446</v>
      </c>
      <c r="B2447" s="9" t="s">
        <v>3410</v>
      </c>
      <c r="C2447" s="8" t="n">
        <v>195</v>
      </c>
      <c r="D2447" s="9" t="str">
        <f aca="false">INDEX(Radicals!$B$2:$B$215,MATCH(C2447,Radicals!$A$2:$A$215,0))</f>
        <v>魚</v>
      </c>
      <c r="E2447" s="10" t="str">
        <f aca="false">INDEX(Radicals!$G$2:$G$215,MATCH(C2447,Radicals!$A$2:$A$215,0))</f>
        <v>fish</v>
      </c>
      <c r="F2447" s="8" t="n">
        <f aca="false">INDEX(Radicals!$D$2:$D$215,MATCH(C2447,Radicals!$A$2:$A$215,0))</f>
        <v>11</v>
      </c>
      <c r="G2447" s="8" t="n">
        <v>19</v>
      </c>
    </row>
    <row r="2448" customFormat="false" ht="17.35" hidden="false" customHeight="false" outlineLevel="0" collapsed="false">
      <c r="A2448" s="8" t="n">
        <v>2447</v>
      </c>
      <c r="B2448" s="9" t="s">
        <v>3411</v>
      </c>
      <c r="C2448" s="8" t="n">
        <v>140</v>
      </c>
      <c r="D2448" s="9" t="str">
        <f aca="false">INDEX(Radicals!$B$2:$B$215,MATCH(C2448,Radicals!$A$2:$A$215,0))</f>
        <v>艸</v>
      </c>
      <c r="E2448" s="10" t="str">
        <f aca="false">INDEX(Radicals!$G$2:$G$215,MATCH(C2448,Radicals!$A$2:$A$215,0))</f>
        <v>grass, plant</v>
      </c>
      <c r="F2448" s="8" t="n">
        <f aca="false">INDEX(Radicals!$D$2:$D$215,MATCH(C2448,Radicals!$A$2:$A$215,0))</f>
        <v>6</v>
      </c>
      <c r="G2448" s="8" t="n">
        <v>14</v>
      </c>
    </row>
    <row r="2449" customFormat="false" ht="17.35" hidden="false" customHeight="false" outlineLevel="0" collapsed="false">
      <c r="A2449" s="8" t="n">
        <v>2448</v>
      </c>
      <c r="B2449" s="9" t="s">
        <v>3412</v>
      </c>
      <c r="C2449" s="8" t="n">
        <v>98</v>
      </c>
      <c r="D2449" s="9" t="str">
        <f aca="false">INDEX(Radicals!$B$2:$B$215,MATCH(C2449,Radicals!$A$2:$A$215,0))</f>
        <v>瓦</v>
      </c>
      <c r="E2449" s="10" t="str">
        <f aca="false">INDEX(Radicals!$G$2:$G$215,MATCH(C2449,Radicals!$A$2:$A$215,0))</f>
        <v>tile</v>
      </c>
      <c r="F2449" s="8" t="n">
        <f aca="false">INDEX(Radicals!$D$2:$D$215,MATCH(C2449,Radicals!$A$2:$A$215,0))</f>
        <v>5</v>
      </c>
      <c r="G2449" s="8" t="n">
        <v>18</v>
      </c>
    </row>
    <row r="2450" customFormat="false" ht="17.35" hidden="false" customHeight="false" outlineLevel="0" collapsed="false">
      <c r="A2450" s="8" t="n">
        <v>2449</v>
      </c>
      <c r="B2450" s="9" t="s">
        <v>3413</v>
      </c>
      <c r="C2450" s="8" t="n">
        <v>30</v>
      </c>
      <c r="D2450" s="9" t="str">
        <f aca="false">INDEX(Radicals!$B$2:$B$215,MATCH(C2450,Radicals!$A$2:$A$215,0))</f>
        <v>口</v>
      </c>
      <c r="E2450" s="10" t="str">
        <f aca="false">INDEX(Radicals!$G$2:$G$215,MATCH(C2450,Radicals!$A$2:$A$215,0))</f>
        <v>mouth</v>
      </c>
      <c r="F2450" s="8" t="n">
        <f aca="false">INDEX(Radicals!$D$2:$D$215,MATCH(C2450,Radicals!$A$2:$A$215,0))</f>
        <v>3</v>
      </c>
      <c r="G2450" s="8" t="n">
        <v>12</v>
      </c>
    </row>
    <row r="2451" customFormat="false" ht="17.35" hidden="false" customHeight="false" outlineLevel="0" collapsed="false">
      <c r="A2451" s="8" t="n">
        <v>2450</v>
      </c>
      <c r="B2451" s="9" t="s">
        <v>3414</v>
      </c>
      <c r="C2451" s="8" t="n">
        <v>61</v>
      </c>
      <c r="D2451" s="9" t="str">
        <f aca="false">INDEX(Radicals!$B$2:$B$215,MATCH(C2451,Radicals!$A$2:$A$215,0))</f>
        <v>心</v>
      </c>
      <c r="E2451" s="10" t="str">
        <f aca="false">INDEX(Radicals!$G$2:$G$215,MATCH(C2451,Radicals!$A$2:$A$215,0))</f>
        <v>heart, mind</v>
      </c>
      <c r="F2451" s="8" t="n">
        <f aca="false">INDEX(Radicals!$D$2:$D$215,MATCH(C2451,Radicals!$A$2:$A$215,0))</f>
        <v>4</v>
      </c>
      <c r="G2451" s="8" t="n">
        <v>8</v>
      </c>
    </row>
    <row r="2452" customFormat="false" ht="17.35" hidden="false" customHeight="false" outlineLevel="0" collapsed="false">
      <c r="A2452" s="8" t="n">
        <v>2451</v>
      </c>
      <c r="B2452" s="9" t="s">
        <v>3415</v>
      </c>
      <c r="C2452" s="8" t="n">
        <v>85</v>
      </c>
      <c r="D2452" s="9" t="str">
        <f aca="false">INDEX(Radicals!$B$2:$B$215,MATCH(C2452,Radicals!$A$2:$A$215,0))</f>
        <v>水</v>
      </c>
      <c r="E2452" s="10" t="str">
        <f aca="false">INDEX(Radicals!$G$2:$G$215,MATCH(C2452,Radicals!$A$2:$A$215,0))</f>
        <v>water</v>
      </c>
      <c r="F2452" s="8" t="n">
        <f aca="false">INDEX(Radicals!$D$2:$D$215,MATCH(C2452,Radicals!$A$2:$A$215,0))</f>
        <v>4</v>
      </c>
      <c r="G2452" s="8" t="n">
        <v>13</v>
      </c>
    </row>
    <row r="2453" customFormat="false" ht="17.35" hidden="false" customHeight="false" outlineLevel="0" collapsed="false">
      <c r="A2453" s="8" t="n">
        <v>2452</v>
      </c>
      <c r="B2453" s="9" t="s">
        <v>856</v>
      </c>
      <c r="C2453" s="8" t="n">
        <v>163</v>
      </c>
      <c r="D2453" s="9" t="str">
        <f aca="false">INDEX(Radicals!$B$2:$B$215,MATCH(C2453,Radicals!$A$2:$A$215,0))</f>
        <v>邑</v>
      </c>
      <c r="E2453" s="10" t="str">
        <f aca="false">INDEX(Radicals!$G$2:$G$215,MATCH(C2453,Radicals!$A$2:$A$215,0))</f>
        <v>city, village</v>
      </c>
      <c r="F2453" s="8" t="n">
        <f aca="false">INDEX(Radicals!$D$2:$D$215,MATCH(C2453,Radicals!$A$2:$A$215,0))</f>
        <v>7</v>
      </c>
      <c r="G2453" s="8" t="n">
        <v>7</v>
      </c>
    </row>
    <row r="2454" customFormat="false" ht="17.35" hidden="false" customHeight="false" outlineLevel="0" collapsed="false">
      <c r="A2454" s="8" t="n">
        <v>2453</v>
      </c>
      <c r="B2454" s="9" t="s">
        <v>3416</v>
      </c>
      <c r="C2454" s="8" t="n">
        <v>167</v>
      </c>
      <c r="D2454" s="9" t="str">
        <f aca="false">INDEX(Radicals!$B$2:$B$215,MATCH(C2454,Radicals!$A$2:$A$215,0))</f>
        <v>金</v>
      </c>
      <c r="E2454" s="10" t="str">
        <f aca="false">INDEX(Radicals!$G$2:$G$215,MATCH(C2454,Radicals!$A$2:$A$215,0))</f>
        <v>metal, gold</v>
      </c>
      <c r="F2454" s="8" t="n">
        <f aca="false">INDEX(Radicals!$D$2:$D$215,MATCH(C2454,Radicals!$A$2:$A$215,0))</f>
        <v>8</v>
      </c>
      <c r="G2454" s="8" t="n">
        <v>14</v>
      </c>
    </row>
    <row r="2455" customFormat="false" ht="17.35" hidden="false" customHeight="false" outlineLevel="0" collapsed="false">
      <c r="A2455" s="8" t="n">
        <v>2454</v>
      </c>
      <c r="B2455" s="9" t="s">
        <v>3417</v>
      </c>
      <c r="C2455" s="8" t="n">
        <v>9</v>
      </c>
      <c r="D2455" s="9" t="str">
        <f aca="false">INDEX(Radicals!$B$2:$B$215,MATCH(C2455,Radicals!$A$2:$A$215,0))</f>
        <v>人</v>
      </c>
      <c r="E2455" s="10" t="str">
        <f aca="false">INDEX(Radicals!$G$2:$G$215,MATCH(C2455,Radicals!$A$2:$A$215,0))</f>
        <v>person</v>
      </c>
      <c r="F2455" s="8" t="n">
        <f aca="false">INDEX(Radicals!$D$2:$D$215,MATCH(C2455,Radicals!$A$2:$A$215,0))</f>
        <v>2</v>
      </c>
      <c r="G2455" s="8" t="n">
        <v>10</v>
      </c>
    </row>
    <row r="2456" customFormat="false" ht="17.35" hidden="false" customHeight="false" outlineLevel="0" collapsed="false">
      <c r="A2456" s="8" t="n">
        <v>2455</v>
      </c>
      <c r="B2456" s="9" t="s">
        <v>3418</v>
      </c>
      <c r="C2456" s="8" t="n">
        <v>112</v>
      </c>
      <c r="D2456" s="9" t="str">
        <f aca="false">INDEX(Radicals!$B$2:$B$215,MATCH(C2456,Radicals!$A$2:$A$215,0))</f>
        <v>石</v>
      </c>
      <c r="E2456" s="10" t="str">
        <f aca="false">INDEX(Radicals!$G$2:$G$215,MATCH(C2456,Radicals!$A$2:$A$215,0))</f>
        <v>stone</v>
      </c>
      <c r="F2456" s="8" t="n">
        <f aca="false">INDEX(Radicals!$D$2:$D$215,MATCH(C2456,Radicals!$A$2:$A$215,0))</f>
        <v>5</v>
      </c>
      <c r="G2456" s="8" t="n">
        <v>14</v>
      </c>
    </row>
    <row r="2457" customFormat="false" ht="17.35" hidden="false" customHeight="false" outlineLevel="0" collapsed="false">
      <c r="A2457" s="8" t="n">
        <v>2456</v>
      </c>
      <c r="B2457" s="9" t="s">
        <v>3419</v>
      </c>
      <c r="C2457" s="8" t="n">
        <v>86</v>
      </c>
      <c r="D2457" s="9" t="str">
        <f aca="false">INDEX(Radicals!$B$2:$B$215,MATCH(C2457,Radicals!$A$2:$A$215,0))</f>
        <v>火</v>
      </c>
      <c r="E2457" s="10" t="str">
        <f aca="false">INDEX(Radicals!$G$2:$G$215,MATCH(C2457,Radicals!$A$2:$A$215,0))</f>
        <v>fire</v>
      </c>
      <c r="F2457" s="8" t="n">
        <f aca="false">INDEX(Radicals!$D$2:$D$215,MATCH(C2457,Radicals!$A$2:$A$215,0))</f>
        <v>4</v>
      </c>
      <c r="G2457" s="8" t="n">
        <v>16</v>
      </c>
    </row>
    <row r="2458" customFormat="false" ht="17.35" hidden="false" customHeight="false" outlineLevel="0" collapsed="false">
      <c r="A2458" s="8" t="n">
        <v>2457</v>
      </c>
      <c r="B2458" s="9" t="s">
        <v>3420</v>
      </c>
      <c r="C2458" s="8" t="n">
        <v>149</v>
      </c>
      <c r="D2458" s="9" t="str">
        <f aca="false">INDEX(Radicals!$B$2:$B$215,MATCH(C2458,Radicals!$A$2:$A$215,0))</f>
        <v>言</v>
      </c>
      <c r="E2458" s="10" t="str">
        <f aca="false">INDEX(Radicals!$G$2:$G$215,MATCH(C2458,Radicals!$A$2:$A$215,0))</f>
        <v>speech, say</v>
      </c>
      <c r="F2458" s="8" t="n">
        <f aca="false">INDEX(Radicals!$D$2:$D$215,MATCH(C2458,Radicals!$A$2:$A$215,0))</f>
        <v>7</v>
      </c>
      <c r="G2458" s="8" t="n">
        <v>16</v>
      </c>
    </row>
    <row r="2459" customFormat="false" ht="17.35" hidden="false" customHeight="false" outlineLevel="0" collapsed="false">
      <c r="A2459" s="8" t="n">
        <v>2458</v>
      </c>
      <c r="B2459" s="9" t="s">
        <v>3421</v>
      </c>
      <c r="C2459" s="8" t="n">
        <v>86</v>
      </c>
      <c r="D2459" s="9" t="str">
        <f aca="false">INDEX(Radicals!$B$2:$B$215,MATCH(C2459,Radicals!$A$2:$A$215,0))</f>
        <v>火</v>
      </c>
      <c r="E2459" s="10" t="str">
        <f aca="false">INDEX(Radicals!$G$2:$G$215,MATCH(C2459,Radicals!$A$2:$A$215,0))</f>
        <v>fire</v>
      </c>
      <c r="F2459" s="8" t="n">
        <f aca="false">INDEX(Radicals!$D$2:$D$215,MATCH(C2459,Radicals!$A$2:$A$215,0))</f>
        <v>4</v>
      </c>
      <c r="G2459" s="8" t="n">
        <v>13</v>
      </c>
    </row>
    <row r="2460" customFormat="false" ht="17.35" hidden="false" customHeight="false" outlineLevel="0" collapsed="false">
      <c r="A2460" s="8" t="n">
        <v>2459</v>
      </c>
      <c r="B2460" s="9" t="s">
        <v>519</v>
      </c>
      <c r="C2460" s="8" t="n">
        <v>97</v>
      </c>
      <c r="D2460" s="9" t="str">
        <f aca="false">INDEX(Radicals!$B$2:$B$215,MATCH(C2460,Radicals!$A$2:$A$215,0))</f>
        <v>瓜</v>
      </c>
      <c r="E2460" s="10" t="str">
        <f aca="false">INDEX(Radicals!$G$2:$G$215,MATCH(C2460,Radicals!$A$2:$A$215,0))</f>
        <v>melon</v>
      </c>
      <c r="F2460" s="8" t="n">
        <f aca="false">INDEX(Radicals!$D$2:$D$215,MATCH(C2460,Radicals!$A$2:$A$215,0))</f>
        <v>5</v>
      </c>
      <c r="G2460" s="8" t="n">
        <v>6</v>
      </c>
    </row>
    <row r="2461" customFormat="false" ht="17.35" hidden="false" customHeight="false" outlineLevel="0" collapsed="false">
      <c r="A2461" s="8" t="n">
        <v>2460</v>
      </c>
      <c r="B2461" s="9" t="s">
        <v>3422</v>
      </c>
      <c r="C2461" s="8" t="n">
        <v>120</v>
      </c>
      <c r="D2461" s="9" t="str">
        <f aca="false">INDEX(Radicals!$B$2:$B$215,MATCH(C2461,Radicals!$A$2:$A$215,0))</f>
        <v>糸</v>
      </c>
      <c r="E2461" s="10" t="str">
        <f aca="false">INDEX(Radicals!$G$2:$G$215,MATCH(C2461,Radicals!$A$2:$A$215,0))</f>
        <v>thread, silk</v>
      </c>
      <c r="F2461" s="8" t="n">
        <f aca="false">INDEX(Radicals!$D$2:$D$215,MATCH(C2461,Radicals!$A$2:$A$215,0))</f>
        <v>6</v>
      </c>
      <c r="G2461" s="8" t="n">
        <v>16</v>
      </c>
    </row>
    <row r="2462" customFormat="false" ht="17.35" hidden="false" customHeight="false" outlineLevel="0" collapsed="false">
      <c r="A2462" s="8" t="n">
        <v>2461</v>
      </c>
      <c r="B2462" s="9" t="s">
        <v>3423</v>
      </c>
      <c r="C2462" s="8" t="n">
        <v>30</v>
      </c>
      <c r="D2462" s="9" t="str">
        <f aca="false">INDEX(Radicals!$B$2:$B$215,MATCH(C2462,Radicals!$A$2:$A$215,0))</f>
        <v>口</v>
      </c>
      <c r="E2462" s="10" t="str">
        <f aca="false">INDEX(Radicals!$G$2:$G$215,MATCH(C2462,Radicals!$A$2:$A$215,0))</f>
        <v>mouth</v>
      </c>
      <c r="F2462" s="8" t="n">
        <f aca="false">INDEX(Radicals!$D$2:$D$215,MATCH(C2462,Radicals!$A$2:$A$215,0))</f>
        <v>3</v>
      </c>
      <c r="G2462" s="8" t="n">
        <v>10</v>
      </c>
    </row>
    <row r="2463" customFormat="false" ht="17.35" hidden="false" customHeight="false" outlineLevel="0" collapsed="false">
      <c r="A2463" s="8" t="n">
        <v>2462</v>
      </c>
      <c r="B2463" s="9" t="s">
        <v>3424</v>
      </c>
      <c r="C2463" s="8" t="n">
        <v>75</v>
      </c>
      <c r="D2463" s="9" t="str">
        <f aca="false">INDEX(Radicals!$B$2:$B$215,MATCH(C2463,Radicals!$A$2:$A$215,0))</f>
        <v>木</v>
      </c>
      <c r="E2463" s="10" t="str">
        <f aca="false">INDEX(Radicals!$G$2:$G$215,MATCH(C2463,Radicals!$A$2:$A$215,0))</f>
        <v>tree, wood</v>
      </c>
      <c r="F2463" s="8" t="n">
        <f aca="false">INDEX(Radicals!$D$2:$D$215,MATCH(C2463,Radicals!$A$2:$A$215,0))</f>
        <v>4</v>
      </c>
      <c r="G2463" s="8" t="n">
        <v>13</v>
      </c>
    </row>
    <row r="2464" customFormat="false" ht="17.35" hidden="false" customHeight="false" outlineLevel="0" collapsed="false">
      <c r="A2464" s="8" t="n">
        <v>2463</v>
      </c>
      <c r="B2464" s="9" t="s">
        <v>3425</v>
      </c>
      <c r="C2464" s="8" t="n">
        <v>30</v>
      </c>
      <c r="D2464" s="9" t="str">
        <f aca="false">INDEX(Radicals!$B$2:$B$215,MATCH(C2464,Radicals!$A$2:$A$215,0))</f>
        <v>口</v>
      </c>
      <c r="E2464" s="10" t="str">
        <f aca="false">INDEX(Radicals!$G$2:$G$215,MATCH(C2464,Radicals!$A$2:$A$215,0))</f>
        <v>mouth</v>
      </c>
      <c r="F2464" s="8" t="n">
        <f aca="false">INDEX(Radicals!$D$2:$D$215,MATCH(C2464,Radicals!$A$2:$A$215,0))</f>
        <v>3</v>
      </c>
      <c r="G2464" s="8" t="n">
        <v>10</v>
      </c>
    </row>
    <row r="2465" customFormat="false" ht="17.35" hidden="false" customHeight="false" outlineLevel="0" collapsed="false">
      <c r="A2465" s="8" t="n">
        <v>2464</v>
      </c>
      <c r="B2465" s="9" t="s">
        <v>3426</v>
      </c>
      <c r="C2465" s="8" t="n">
        <v>115</v>
      </c>
      <c r="D2465" s="9" t="str">
        <f aca="false">INDEX(Radicals!$B$2:$B$215,MATCH(C2465,Radicals!$A$2:$A$215,0))</f>
        <v>禾</v>
      </c>
      <c r="E2465" s="10" t="str">
        <f aca="false">INDEX(Radicals!$G$2:$G$215,MATCH(C2465,Radicals!$A$2:$A$215,0))</f>
        <v>grain, rice plant</v>
      </c>
      <c r="F2465" s="8" t="n">
        <f aca="false">INDEX(Radicals!$D$2:$D$215,MATCH(C2465,Radicals!$A$2:$A$215,0))</f>
        <v>5</v>
      </c>
      <c r="G2465" s="8" t="n">
        <v>18</v>
      </c>
    </row>
    <row r="2466" customFormat="false" ht="17.35" hidden="false" customHeight="false" outlineLevel="0" collapsed="false">
      <c r="A2466" s="8" t="n">
        <v>2465</v>
      </c>
      <c r="B2466" s="9" t="s">
        <v>3427</v>
      </c>
      <c r="C2466" s="8" t="n">
        <v>30</v>
      </c>
      <c r="D2466" s="9" t="str">
        <f aca="false">INDEX(Radicals!$B$2:$B$215,MATCH(C2466,Radicals!$A$2:$A$215,0))</f>
        <v>口</v>
      </c>
      <c r="E2466" s="10" t="str">
        <f aca="false">INDEX(Radicals!$G$2:$G$215,MATCH(C2466,Radicals!$A$2:$A$215,0))</f>
        <v>mouth</v>
      </c>
      <c r="F2466" s="8" t="n">
        <f aca="false">INDEX(Radicals!$D$2:$D$215,MATCH(C2466,Radicals!$A$2:$A$215,0))</f>
        <v>3</v>
      </c>
      <c r="G2466" s="8" t="n">
        <v>13</v>
      </c>
    </row>
    <row r="2467" customFormat="false" ht="17.35" hidden="false" customHeight="false" outlineLevel="0" collapsed="false">
      <c r="A2467" s="8" t="n">
        <v>2466</v>
      </c>
      <c r="B2467" s="9" t="s">
        <v>3428</v>
      </c>
      <c r="C2467" s="8" t="n">
        <v>9</v>
      </c>
      <c r="D2467" s="9" t="str">
        <f aca="false">INDEX(Radicals!$B$2:$B$215,MATCH(C2467,Radicals!$A$2:$A$215,0))</f>
        <v>人</v>
      </c>
      <c r="E2467" s="10" t="str">
        <f aca="false">INDEX(Radicals!$G$2:$G$215,MATCH(C2467,Radicals!$A$2:$A$215,0))</f>
        <v>person</v>
      </c>
      <c r="F2467" s="8" t="n">
        <f aca="false">INDEX(Radicals!$D$2:$D$215,MATCH(C2467,Radicals!$A$2:$A$215,0))</f>
        <v>2</v>
      </c>
      <c r="G2467" s="8" t="n">
        <v>11</v>
      </c>
    </row>
    <row r="2468" customFormat="false" ht="17.35" hidden="false" customHeight="false" outlineLevel="0" collapsed="false">
      <c r="A2468" s="8" t="n">
        <v>2467</v>
      </c>
      <c r="B2468" s="9" t="s">
        <v>3429</v>
      </c>
      <c r="C2468" s="8" t="n">
        <v>122</v>
      </c>
      <c r="D2468" s="9" t="str">
        <f aca="false">INDEX(Radicals!$B$2:$B$215,MATCH(C2468,Radicals!$A$2:$A$215,0))</f>
        <v>网</v>
      </c>
      <c r="E2468" s="10" t="str">
        <f aca="false">INDEX(Radicals!$G$2:$G$215,MATCH(C2468,Radicals!$A$2:$A$215,0))</f>
        <v>net</v>
      </c>
      <c r="F2468" s="8" t="n">
        <f aca="false">INDEX(Radicals!$D$2:$D$215,MATCH(C2468,Radicals!$A$2:$A$215,0))</f>
        <v>6</v>
      </c>
      <c r="G2468" s="8" t="n">
        <v>15</v>
      </c>
    </row>
    <row r="2469" customFormat="false" ht="17.35" hidden="false" customHeight="false" outlineLevel="0" collapsed="false">
      <c r="A2469" s="8" t="n">
        <v>2468</v>
      </c>
      <c r="B2469" s="9" t="s">
        <v>862</v>
      </c>
      <c r="C2469" s="8" t="n">
        <v>164</v>
      </c>
      <c r="D2469" s="9" t="str">
        <f aca="false">INDEX(Radicals!$B$2:$B$215,MATCH(C2469,Radicals!$A$2:$A$215,0))</f>
        <v>酉</v>
      </c>
      <c r="E2469" s="10" t="str">
        <f aca="false">INDEX(Radicals!$G$2:$G$215,MATCH(C2469,Radicals!$A$2:$A$215,0))</f>
        <v>wine, 10th zodiac sign (rooster)</v>
      </c>
      <c r="F2469" s="8" t="n">
        <f aca="false">INDEX(Radicals!$D$2:$D$215,MATCH(C2469,Radicals!$A$2:$A$215,0))</f>
        <v>7</v>
      </c>
      <c r="G2469" s="8" t="n">
        <v>7</v>
      </c>
    </row>
    <row r="2470" customFormat="false" ht="17.35" hidden="false" customHeight="false" outlineLevel="0" collapsed="false">
      <c r="A2470" s="8" t="n">
        <v>2469</v>
      </c>
      <c r="B2470" s="9" t="s">
        <v>3430</v>
      </c>
      <c r="C2470" s="8" t="n">
        <v>157</v>
      </c>
      <c r="D2470" s="9" t="str">
        <f aca="false">INDEX(Radicals!$B$2:$B$215,MATCH(C2470,Radicals!$A$2:$A$215,0))</f>
        <v>足</v>
      </c>
      <c r="E2470" s="10" t="str">
        <f aca="false">INDEX(Radicals!$G$2:$G$215,MATCH(C2470,Radicals!$A$2:$A$215,0))</f>
        <v>foot, leg</v>
      </c>
      <c r="F2470" s="8" t="n">
        <f aca="false">INDEX(Radicals!$D$2:$D$215,MATCH(C2470,Radicals!$A$2:$A$215,0))</f>
        <v>7</v>
      </c>
      <c r="G2470" s="8" t="n">
        <v>16</v>
      </c>
    </row>
    <row r="2471" customFormat="false" ht="17.35" hidden="false" customHeight="false" outlineLevel="0" collapsed="false">
      <c r="A2471" s="8" t="n">
        <v>2470</v>
      </c>
      <c r="B2471" s="9" t="s">
        <v>3431</v>
      </c>
      <c r="C2471" s="8" t="n">
        <v>181</v>
      </c>
      <c r="D2471" s="9" t="str">
        <f aca="false">INDEX(Radicals!$B$2:$B$215,MATCH(C2471,Radicals!$A$2:$A$215,0))</f>
        <v>頁</v>
      </c>
      <c r="E2471" s="10" t="str">
        <f aca="false">INDEX(Radicals!$G$2:$G$215,MATCH(C2471,Radicals!$A$2:$A$215,0))</f>
        <v>page, leaf (head)</v>
      </c>
      <c r="F2471" s="8" t="n">
        <f aca="false">INDEX(Radicals!$D$2:$D$215,MATCH(C2471,Radicals!$A$2:$A$215,0))</f>
        <v>9</v>
      </c>
      <c r="G2471" s="8" t="n">
        <v>14</v>
      </c>
    </row>
    <row r="2472" customFormat="false" ht="17.35" hidden="false" customHeight="false" outlineLevel="0" collapsed="false">
      <c r="A2472" s="8" t="n">
        <v>2471</v>
      </c>
      <c r="B2472" s="9" t="s">
        <v>3432</v>
      </c>
      <c r="C2472" s="8" t="n">
        <v>130</v>
      </c>
      <c r="D2472" s="9" t="str">
        <f aca="false">INDEX(Radicals!$B$2:$B$215,MATCH(C2472,Radicals!$A$2:$A$215,0))</f>
        <v>肉</v>
      </c>
      <c r="E2472" s="10" t="str">
        <f aca="false">INDEX(Radicals!$G$2:$G$215,MATCH(C2472,Radicals!$A$2:$A$215,0))</f>
        <v>meat, flesh</v>
      </c>
      <c r="F2472" s="8" t="n">
        <f aca="false">INDEX(Radicals!$D$2:$D$215,MATCH(C2472,Radicals!$A$2:$A$215,0))</f>
        <v>6</v>
      </c>
      <c r="G2472" s="8" t="n">
        <v>9</v>
      </c>
    </row>
    <row r="2473" customFormat="false" ht="17.35" hidden="false" customHeight="false" outlineLevel="0" collapsed="false">
      <c r="A2473" s="8" t="n">
        <v>2472</v>
      </c>
      <c r="B2473" s="9" t="s">
        <v>3433</v>
      </c>
      <c r="C2473" s="8" t="n">
        <v>93</v>
      </c>
      <c r="D2473" s="9" t="str">
        <f aca="false">INDEX(Radicals!$B$2:$B$215,MATCH(C2473,Radicals!$A$2:$A$215,0))</f>
        <v>牛</v>
      </c>
      <c r="E2473" s="10" t="str">
        <f aca="false">INDEX(Radicals!$G$2:$G$215,MATCH(C2473,Radicals!$A$2:$A$215,0))</f>
        <v>cow, ox</v>
      </c>
      <c r="F2473" s="8" t="n">
        <f aca="false">INDEX(Radicals!$D$2:$D$215,MATCH(C2473,Radicals!$A$2:$A$215,0))</f>
        <v>4</v>
      </c>
      <c r="G2473" s="8" t="n">
        <v>7</v>
      </c>
    </row>
    <row r="2474" customFormat="false" ht="17.35" hidden="false" customHeight="false" outlineLevel="0" collapsed="false">
      <c r="A2474" s="8" t="n">
        <v>2473</v>
      </c>
      <c r="B2474" s="9" t="s">
        <v>3434</v>
      </c>
      <c r="C2474" s="8" t="n">
        <v>119</v>
      </c>
      <c r="D2474" s="9" t="str">
        <f aca="false">INDEX(Radicals!$B$2:$B$215,MATCH(C2474,Radicals!$A$2:$A$215,0))</f>
        <v>米</v>
      </c>
      <c r="E2474" s="10" t="str">
        <f aca="false">INDEX(Radicals!$G$2:$G$215,MATCH(C2474,Radicals!$A$2:$A$215,0))</f>
        <v>rice</v>
      </c>
      <c r="F2474" s="8" t="n">
        <f aca="false">INDEX(Radicals!$D$2:$D$215,MATCH(C2474,Radicals!$A$2:$A$215,0))</f>
        <v>6</v>
      </c>
      <c r="G2474" s="8" t="n">
        <v>17</v>
      </c>
    </row>
    <row r="2475" customFormat="false" ht="17.35" hidden="false" customHeight="false" outlineLevel="0" collapsed="false">
      <c r="A2475" s="8" t="n">
        <v>2474</v>
      </c>
      <c r="B2475" s="9" t="s">
        <v>3435</v>
      </c>
      <c r="C2475" s="8" t="n">
        <v>61</v>
      </c>
      <c r="D2475" s="9" t="str">
        <f aca="false">INDEX(Radicals!$B$2:$B$215,MATCH(C2475,Radicals!$A$2:$A$215,0))</f>
        <v>心</v>
      </c>
      <c r="E2475" s="10" t="str">
        <f aca="false">INDEX(Radicals!$G$2:$G$215,MATCH(C2475,Radicals!$A$2:$A$215,0))</f>
        <v>heart, mind</v>
      </c>
      <c r="F2475" s="8" t="n">
        <f aca="false">INDEX(Radicals!$D$2:$D$215,MATCH(C2475,Radicals!$A$2:$A$215,0))</f>
        <v>4</v>
      </c>
      <c r="G2475" s="8" t="n">
        <v>10</v>
      </c>
    </row>
    <row r="2476" customFormat="false" ht="17.35" hidden="false" customHeight="false" outlineLevel="0" collapsed="false">
      <c r="A2476" s="8" t="n">
        <v>2475</v>
      </c>
      <c r="B2476" s="9" t="s">
        <v>3436</v>
      </c>
      <c r="C2476" s="8" t="n">
        <v>30</v>
      </c>
      <c r="D2476" s="9" t="str">
        <f aca="false">INDEX(Radicals!$B$2:$B$215,MATCH(C2476,Radicals!$A$2:$A$215,0))</f>
        <v>口</v>
      </c>
      <c r="E2476" s="10" t="str">
        <f aca="false">INDEX(Radicals!$G$2:$G$215,MATCH(C2476,Radicals!$A$2:$A$215,0))</f>
        <v>mouth</v>
      </c>
      <c r="F2476" s="8" t="n">
        <f aca="false">INDEX(Radicals!$D$2:$D$215,MATCH(C2476,Radicals!$A$2:$A$215,0))</f>
        <v>3</v>
      </c>
      <c r="G2476" s="8" t="n">
        <v>6</v>
      </c>
    </row>
    <row r="2477" customFormat="false" ht="17.35" hidden="false" customHeight="false" outlineLevel="0" collapsed="false">
      <c r="A2477" s="8" t="n">
        <v>2476</v>
      </c>
      <c r="B2477" s="9" t="s">
        <v>3437</v>
      </c>
      <c r="C2477" s="8" t="n">
        <v>75</v>
      </c>
      <c r="D2477" s="9" t="str">
        <f aca="false">INDEX(Radicals!$B$2:$B$215,MATCH(C2477,Radicals!$A$2:$A$215,0))</f>
        <v>木</v>
      </c>
      <c r="E2477" s="10" t="str">
        <f aca="false">INDEX(Radicals!$G$2:$G$215,MATCH(C2477,Radicals!$A$2:$A$215,0))</f>
        <v>tree, wood</v>
      </c>
      <c r="F2477" s="8" t="n">
        <f aca="false">INDEX(Radicals!$D$2:$D$215,MATCH(C2477,Radicals!$A$2:$A$215,0))</f>
        <v>4</v>
      </c>
      <c r="G2477" s="8" t="n">
        <v>13</v>
      </c>
    </row>
    <row r="2478" customFormat="false" ht="17.35" hidden="false" customHeight="false" outlineLevel="0" collapsed="false">
      <c r="A2478" s="8" t="n">
        <v>2477</v>
      </c>
      <c r="B2478" s="9" t="s">
        <v>3438</v>
      </c>
      <c r="C2478" s="8" t="n">
        <v>195</v>
      </c>
      <c r="D2478" s="9" t="str">
        <f aca="false">INDEX(Radicals!$B$2:$B$215,MATCH(C2478,Radicals!$A$2:$A$215,0))</f>
        <v>魚</v>
      </c>
      <c r="E2478" s="10" t="str">
        <f aca="false">INDEX(Radicals!$G$2:$G$215,MATCH(C2478,Radicals!$A$2:$A$215,0))</f>
        <v>fish</v>
      </c>
      <c r="F2478" s="8" t="n">
        <f aca="false">INDEX(Radicals!$D$2:$D$215,MATCH(C2478,Radicals!$A$2:$A$215,0))</f>
        <v>11</v>
      </c>
      <c r="G2478" s="8" t="n">
        <v>17</v>
      </c>
    </row>
    <row r="2479" customFormat="false" ht="17.35" hidden="false" customHeight="false" outlineLevel="0" collapsed="false">
      <c r="A2479" s="8" t="n">
        <v>2478</v>
      </c>
      <c r="B2479" s="9" t="s">
        <v>3439</v>
      </c>
      <c r="C2479" s="8" t="n">
        <v>5</v>
      </c>
      <c r="D2479" s="9" t="str">
        <f aca="false">INDEX(Radicals!$B$2:$B$215,MATCH(C2479,Radicals!$A$2:$A$215,0))</f>
        <v>乙</v>
      </c>
      <c r="E2479" s="10" t="str">
        <f aca="false">INDEX(Radicals!$G$2:$G$215,MATCH(C2479,Radicals!$A$2:$A$215,0))</f>
        <v>second, hook</v>
      </c>
      <c r="F2479" s="8" t="n">
        <f aca="false">INDEX(Radicals!$D$2:$D$215,MATCH(C2479,Radicals!$A$2:$A$215,0))</f>
        <v>1</v>
      </c>
      <c r="G2479" s="8" t="n">
        <v>3</v>
      </c>
    </row>
    <row r="2480" customFormat="false" ht="17.35" hidden="false" customHeight="false" outlineLevel="0" collapsed="false">
      <c r="A2480" s="8" t="n">
        <v>2479</v>
      </c>
      <c r="B2480" s="9" t="s">
        <v>3440</v>
      </c>
      <c r="C2480" s="8" t="n">
        <v>9</v>
      </c>
      <c r="D2480" s="9" t="str">
        <f aca="false">INDEX(Radicals!$B$2:$B$215,MATCH(C2480,Radicals!$A$2:$A$215,0))</f>
        <v>人</v>
      </c>
      <c r="E2480" s="10" t="str">
        <f aca="false">INDEX(Radicals!$G$2:$G$215,MATCH(C2480,Radicals!$A$2:$A$215,0))</f>
        <v>person</v>
      </c>
      <c r="F2480" s="8" t="n">
        <f aca="false">INDEX(Radicals!$D$2:$D$215,MATCH(C2480,Radicals!$A$2:$A$215,0))</f>
        <v>2</v>
      </c>
      <c r="G2480" s="8" t="n">
        <v>10</v>
      </c>
    </row>
    <row r="2481" customFormat="false" ht="17.35" hidden="false" customHeight="false" outlineLevel="0" collapsed="false">
      <c r="A2481" s="8" t="n">
        <v>2480</v>
      </c>
      <c r="B2481" s="9" t="s">
        <v>3441</v>
      </c>
      <c r="C2481" s="8" t="n">
        <v>30</v>
      </c>
      <c r="D2481" s="9" t="str">
        <f aca="false">INDEX(Radicals!$B$2:$B$215,MATCH(C2481,Radicals!$A$2:$A$215,0))</f>
        <v>口</v>
      </c>
      <c r="E2481" s="10" t="str">
        <f aca="false">INDEX(Radicals!$G$2:$G$215,MATCH(C2481,Radicals!$A$2:$A$215,0))</f>
        <v>mouth</v>
      </c>
      <c r="F2481" s="8" t="n">
        <f aca="false">INDEX(Radicals!$D$2:$D$215,MATCH(C2481,Radicals!$A$2:$A$215,0))</f>
        <v>3</v>
      </c>
      <c r="G2481" s="8" t="n">
        <v>13</v>
      </c>
    </row>
    <row r="2482" customFormat="false" ht="17.35" hidden="false" customHeight="false" outlineLevel="0" collapsed="false">
      <c r="A2482" s="8" t="n">
        <v>2481</v>
      </c>
      <c r="B2482" s="9" t="s">
        <v>3442</v>
      </c>
      <c r="C2482" s="8" t="n">
        <v>149</v>
      </c>
      <c r="D2482" s="9" t="str">
        <f aca="false">INDEX(Radicals!$B$2:$B$215,MATCH(C2482,Radicals!$A$2:$A$215,0))</f>
        <v>言</v>
      </c>
      <c r="E2482" s="10" t="str">
        <f aca="false">INDEX(Radicals!$G$2:$G$215,MATCH(C2482,Radicals!$A$2:$A$215,0))</f>
        <v>speech, say</v>
      </c>
      <c r="F2482" s="8" t="n">
        <f aca="false">INDEX(Radicals!$D$2:$D$215,MATCH(C2482,Radicals!$A$2:$A$215,0))</f>
        <v>7</v>
      </c>
      <c r="G2482" s="8" t="n">
        <v>13</v>
      </c>
    </row>
    <row r="2483" customFormat="false" ht="17.35" hidden="false" customHeight="false" outlineLevel="0" collapsed="false">
      <c r="A2483" s="8" t="n">
        <v>2482</v>
      </c>
      <c r="B2483" s="9" t="s">
        <v>3443</v>
      </c>
      <c r="C2483" s="8" t="n">
        <v>195</v>
      </c>
      <c r="D2483" s="9" t="str">
        <f aca="false">INDEX(Radicals!$B$2:$B$215,MATCH(C2483,Radicals!$A$2:$A$215,0))</f>
        <v>魚</v>
      </c>
      <c r="E2483" s="10" t="str">
        <f aca="false">INDEX(Radicals!$G$2:$G$215,MATCH(C2483,Radicals!$A$2:$A$215,0))</f>
        <v>fish</v>
      </c>
      <c r="F2483" s="8" t="n">
        <f aca="false">INDEX(Radicals!$D$2:$D$215,MATCH(C2483,Radicals!$A$2:$A$215,0))</f>
        <v>11</v>
      </c>
      <c r="G2483" s="8" t="n">
        <v>23</v>
      </c>
    </row>
    <row r="2484" customFormat="false" ht="17.35" hidden="false" customHeight="false" outlineLevel="0" collapsed="false">
      <c r="A2484" s="8" t="n">
        <v>2483</v>
      </c>
      <c r="B2484" s="9" t="s">
        <v>3444</v>
      </c>
      <c r="C2484" s="8" t="n">
        <v>140</v>
      </c>
      <c r="D2484" s="9" t="str">
        <f aca="false">INDEX(Radicals!$B$2:$B$215,MATCH(C2484,Radicals!$A$2:$A$215,0))</f>
        <v>艸</v>
      </c>
      <c r="E2484" s="10" t="str">
        <f aca="false">INDEX(Radicals!$G$2:$G$215,MATCH(C2484,Radicals!$A$2:$A$215,0))</f>
        <v>grass, plant</v>
      </c>
      <c r="F2484" s="8" t="n">
        <f aca="false">INDEX(Radicals!$D$2:$D$215,MATCH(C2484,Radicals!$A$2:$A$215,0))</f>
        <v>6</v>
      </c>
      <c r="G2484" s="8" t="n">
        <v>14</v>
      </c>
    </row>
    <row r="2485" customFormat="false" ht="17.35" hidden="false" customHeight="false" outlineLevel="0" collapsed="false">
      <c r="A2485" s="8" t="n">
        <v>2484</v>
      </c>
      <c r="B2485" s="9" t="s">
        <v>3445</v>
      </c>
      <c r="C2485" s="8" t="n">
        <v>159</v>
      </c>
      <c r="D2485" s="9" t="str">
        <f aca="false">INDEX(Radicals!$B$2:$B$215,MATCH(C2485,Radicals!$A$2:$A$215,0))</f>
        <v>車</v>
      </c>
      <c r="E2485" s="10" t="str">
        <f aca="false">INDEX(Radicals!$G$2:$G$215,MATCH(C2485,Radicals!$A$2:$A$215,0))</f>
        <v>cart, vehicle</v>
      </c>
      <c r="F2485" s="8" t="n">
        <f aca="false">INDEX(Radicals!$D$2:$D$215,MATCH(C2485,Radicals!$A$2:$A$215,0))</f>
        <v>7</v>
      </c>
      <c r="G2485" s="8" t="n">
        <v>19</v>
      </c>
    </row>
    <row r="2486" customFormat="false" ht="17.35" hidden="false" customHeight="false" outlineLevel="0" collapsed="false">
      <c r="A2486" s="8" t="n">
        <v>2485</v>
      </c>
      <c r="B2486" s="9" t="s">
        <v>3446</v>
      </c>
      <c r="C2486" s="8" t="n">
        <v>164</v>
      </c>
      <c r="D2486" s="9" t="str">
        <f aca="false">INDEX(Radicals!$B$2:$B$215,MATCH(C2486,Radicals!$A$2:$A$215,0))</f>
        <v>酉</v>
      </c>
      <c r="E2486" s="10" t="str">
        <f aca="false">INDEX(Radicals!$G$2:$G$215,MATCH(C2486,Radicals!$A$2:$A$215,0))</f>
        <v>wine, 10th zodiac sign (rooster)</v>
      </c>
      <c r="F2486" s="8" t="n">
        <f aca="false">INDEX(Radicals!$D$2:$D$215,MATCH(C2486,Radicals!$A$2:$A$215,0))</f>
        <v>7</v>
      </c>
      <c r="G2486" s="8" t="n">
        <v>17</v>
      </c>
    </row>
    <row r="2487" customFormat="false" ht="17.35" hidden="false" customHeight="false" outlineLevel="0" collapsed="false">
      <c r="A2487" s="8" t="n">
        <v>2486</v>
      </c>
      <c r="B2487" s="9" t="s">
        <v>3447</v>
      </c>
      <c r="C2487" s="8" t="n">
        <v>61</v>
      </c>
      <c r="D2487" s="9" t="str">
        <f aca="false">INDEX(Radicals!$B$2:$B$215,MATCH(C2487,Radicals!$A$2:$A$215,0))</f>
        <v>心</v>
      </c>
      <c r="E2487" s="10" t="str">
        <f aca="false">INDEX(Radicals!$G$2:$G$215,MATCH(C2487,Radicals!$A$2:$A$215,0))</f>
        <v>heart, mind</v>
      </c>
      <c r="F2487" s="8" t="n">
        <f aca="false">INDEX(Radicals!$D$2:$D$215,MATCH(C2487,Radicals!$A$2:$A$215,0))</f>
        <v>4</v>
      </c>
      <c r="G2487" s="8" t="n">
        <v>11</v>
      </c>
    </row>
    <row r="2488" customFormat="false" ht="17.35" hidden="false" customHeight="false" outlineLevel="0" collapsed="false">
      <c r="A2488" s="8" t="n">
        <v>2487</v>
      </c>
      <c r="B2488" s="9" t="s">
        <v>3448</v>
      </c>
      <c r="C2488" s="8" t="n">
        <v>53</v>
      </c>
      <c r="D2488" s="9" t="str">
        <f aca="false">INDEX(Radicals!$B$2:$B$215,MATCH(C2488,Radicals!$A$2:$A$215,0))</f>
        <v>广</v>
      </c>
      <c r="E2488" s="10" t="str">
        <f aca="false">INDEX(Radicals!$G$2:$G$215,MATCH(C2488,Radicals!$A$2:$A$215,0))</f>
        <v>dotted cliff, building</v>
      </c>
      <c r="F2488" s="8" t="n">
        <f aca="false">INDEX(Radicals!$D$2:$D$215,MATCH(C2488,Radicals!$A$2:$A$215,0))</f>
        <v>3</v>
      </c>
      <c r="G2488" s="8" t="n">
        <v>15</v>
      </c>
    </row>
    <row r="2489" customFormat="false" ht="17.35" hidden="false" customHeight="false" outlineLevel="0" collapsed="false">
      <c r="A2489" s="8" t="n">
        <v>2488</v>
      </c>
      <c r="B2489" s="9" t="s">
        <v>3449</v>
      </c>
      <c r="C2489" s="8" t="n">
        <v>140</v>
      </c>
      <c r="D2489" s="9" t="str">
        <f aca="false">INDEX(Radicals!$B$2:$B$215,MATCH(C2489,Radicals!$A$2:$A$215,0))</f>
        <v>艸</v>
      </c>
      <c r="E2489" s="10" t="str">
        <f aca="false">INDEX(Radicals!$G$2:$G$215,MATCH(C2489,Radicals!$A$2:$A$215,0))</f>
        <v>grass, plant</v>
      </c>
      <c r="F2489" s="8" t="n">
        <f aca="false">INDEX(Radicals!$D$2:$D$215,MATCH(C2489,Radicals!$A$2:$A$215,0))</f>
        <v>6</v>
      </c>
      <c r="G2489" s="8" t="n">
        <v>17</v>
      </c>
    </row>
    <row r="2490" customFormat="false" ht="17.35" hidden="false" customHeight="false" outlineLevel="0" collapsed="false">
      <c r="A2490" s="8" t="n">
        <v>2489</v>
      </c>
      <c r="B2490" s="9" t="s">
        <v>3450</v>
      </c>
      <c r="C2490" s="8" t="n">
        <v>75</v>
      </c>
      <c r="D2490" s="9" t="str">
        <f aca="false">INDEX(Radicals!$B$2:$B$215,MATCH(C2490,Radicals!$A$2:$A$215,0))</f>
        <v>木</v>
      </c>
      <c r="E2490" s="10" t="str">
        <f aca="false">INDEX(Radicals!$G$2:$G$215,MATCH(C2490,Radicals!$A$2:$A$215,0))</f>
        <v>tree, wood</v>
      </c>
      <c r="F2490" s="8" t="n">
        <f aca="false">INDEX(Radicals!$D$2:$D$215,MATCH(C2490,Radicals!$A$2:$A$215,0))</f>
        <v>4</v>
      </c>
      <c r="G2490" s="8" t="n">
        <v>9</v>
      </c>
    </row>
    <row r="2491" customFormat="false" ht="17.35" hidden="false" customHeight="false" outlineLevel="0" collapsed="false">
      <c r="A2491" s="8" t="n">
        <v>2490</v>
      </c>
      <c r="B2491" s="9" t="s">
        <v>718</v>
      </c>
      <c r="C2491" s="8" t="n">
        <v>136</v>
      </c>
      <c r="D2491" s="9" t="str">
        <f aca="false">INDEX(Radicals!$B$2:$B$215,MATCH(C2491,Radicals!$A$2:$A$215,0))</f>
        <v>舛</v>
      </c>
      <c r="E2491" s="10" t="str">
        <f aca="false">INDEX(Radicals!$G$2:$G$215,MATCH(C2491,Radicals!$A$2:$A$215,0))</f>
        <v>oppose, dance</v>
      </c>
      <c r="F2491" s="8" t="n">
        <f aca="false">INDEX(Radicals!$D$2:$D$215,MATCH(C2491,Radicals!$A$2:$A$215,0))</f>
        <v>6</v>
      </c>
      <c r="G2491" s="8" t="n">
        <v>7</v>
      </c>
    </row>
    <row r="2492" customFormat="false" ht="17.35" hidden="false" customHeight="false" outlineLevel="0" collapsed="false">
      <c r="A2492" s="8" t="n">
        <v>2491</v>
      </c>
      <c r="B2492" s="9" t="s">
        <v>3451</v>
      </c>
      <c r="C2492" s="8" t="n">
        <v>120</v>
      </c>
      <c r="D2492" s="9" t="str">
        <f aca="false">INDEX(Radicals!$B$2:$B$215,MATCH(C2492,Radicals!$A$2:$A$215,0))</f>
        <v>糸</v>
      </c>
      <c r="E2492" s="10" t="str">
        <f aca="false">INDEX(Radicals!$G$2:$G$215,MATCH(C2492,Radicals!$A$2:$A$215,0))</f>
        <v>thread, silk</v>
      </c>
      <c r="F2492" s="8" t="n">
        <f aca="false">INDEX(Radicals!$D$2:$D$215,MATCH(C2492,Radicals!$A$2:$A$215,0))</f>
        <v>6</v>
      </c>
      <c r="G2492" s="8" t="n">
        <v>16</v>
      </c>
    </row>
    <row r="2493" customFormat="false" ht="17.35" hidden="false" customHeight="false" outlineLevel="0" collapsed="false">
      <c r="A2493" s="8" t="n">
        <v>2492</v>
      </c>
      <c r="B2493" s="9" t="s">
        <v>3452</v>
      </c>
      <c r="C2493" s="8" t="n">
        <v>149</v>
      </c>
      <c r="D2493" s="9" t="str">
        <f aca="false">INDEX(Radicals!$B$2:$B$215,MATCH(C2493,Radicals!$A$2:$A$215,0))</f>
        <v>言</v>
      </c>
      <c r="E2493" s="10" t="str">
        <f aca="false">INDEX(Radicals!$G$2:$G$215,MATCH(C2493,Radicals!$A$2:$A$215,0))</f>
        <v>speech, say</v>
      </c>
      <c r="F2493" s="8" t="n">
        <f aca="false">INDEX(Radicals!$D$2:$D$215,MATCH(C2493,Radicals!$A$2:$A$215,0))</f>
        <v>7</v>
      </c>
      <c r="G2493" s="8" t="n">
        <v>18</v>
      </c>
    </row>
    <row r="2494" customFormat="false" ht="17.35" hidden="false" customHeight="false" outlineLevel="0" collapsed="false">
      <c r="A2494" s="8" t="n">
        <v>2493</v>
      </c>
      <c r="B2494" s="9" t="s">
        <v>3453</v>
      </c>
      <c r="C2494" s="8" t="n">
        <v>75</v>
      </c>
      <c r="D2494" s="9" t="str">
        <f aca="false">INDEX(Radicals!$B$2:$B$215,MATCH(C2494,Radicals!$A$2:$A$215,0))</f>
        <v>木</v>
      </c>
      <c r="E2494" s="10" t="str">
        <f aca="false">INDEX(Radicals!$G$2:$G$215,MATCH(C2494,Radicals!$A$2:$A$215,0))</f>
        <v>tree, wood</v>
      </c>
      <c r="F2494" s="8" t="n">
        <f aca="false">INDEX(Radicals!$D$2:$D$215,MATCH(C2494,Radicals!$A$2:$A$215,0))</f>
        <v>4</v>
      </c>
      <c r="G2494" s="8" t="n">
        <v>7</v>
      </c>
    </row>
    <row r="2495" customFormat="false" ht="17.35" hidden="false" customHeight="false" outlineLevel="0" collapsed="false">
      <c r="A2495" s="8" t="n">
        <v>2494</v>
      </c>
      <c r="B2495" s="9" t="s">
        <v>3454</v>
      </c>
      <c r="C2495" s="8" t="n">
        <v>195</v>
      </c>
      <c r="D2495" s="9" t="str">
        <f aca="false">INDEX(Radicals!$B$2:$B$215,MATCH(C2495,Radicals!$A$2:$A$215,0))</f>
        <v>魚</v>
      </c>
      <c r="E2495" s="10" t="str">
        <f aca="false">INDEX(Radicals!$G$2:$G$215,MATCH(C2495,Radicals!$A$2:$A$215,0))</f>
        <v>fish</v>
      </c>
      <c r="F2495" s="8" t="n">
        <f aca="false">INDEX(Radicals!$D$2:$D$215,MATCH(C2495,Radicals!$A$2:$A$215,0))</f>
        <v>11</v>
      </c>
      <c r="G2495" s="8" t="n">
        <v>24</v>
      </c>
    </row>
    <row r="2496" customFormat="false" ht="17.35" hidden="false" customHeight="false" outlineLevel="0" collapsed="false">
      <c r="A2496" s="8" t="n">
        <v>2495</v>
      </c>
      <c r="B2496" s="9" t="s">
        <v>3455</v>
      </c>
      <c r="C2496" s="8" t="n">
        <v>120</v>
      </c>
      <c r="D2496" s="9" t="str">
        <f aca="false">INDEX(Radicals!$B$2:$B$215,MATCH(C2496,Radicals!$A$2:$A$215,0))</f>
        <v>糸</v>
      </c>
      <c r="E2496" s="10" t="str">
        <f aca="false">INDEX(Radicals!$G$2:$G$215,MATCH(C2496,Radicals!$A$2:$A$215,0))</f>
        <v>thread, silk</v>
      </c>
      <c r="F2496" s="8" t="n">
        <f aca="false">INDEX(Radicals!$D$2:$D$215,MATCH(C2496,Radicals!$A$2:$A$215,0))</f>
        <v>6</v>
      </c>
      <c r="G2496" s="8" t="n">
        <v>18</v>
      </c>
    </row>
    <row r="2497" customFormat="false" ht="17.35" hidden="false" customHeight="false" outlineLevel="0" collapsed="false">
      <c r="A2497" s="8" t="n">
        <v>2496</v>
      </c>
      <c r="B2497" s="9" t="s">
        <v>3456</v>
      </c>
      <c r="C2497" s="8" t="n">
        <v>167</v>
      </c>
      <c r="D2497" s="9" t="str">
        <f aca="false">INDEX(Radicals!$B$2:$B$215,MATCH(C2497,Radicals!$A$2:$A$215,0))</f>
        <v>金</v>
      </c>
      <c r="E2497" s="10" t="str">
        <f aca="false">INDEX(Radicals!$G$2:$G$215,MATCH(C2497,Radicals!$A$2:$A$215,0))</f>
        <v>metal, gold</v>
      </c>
      <c r="F2497" s="8" t="n">
        <f aca="false">INDEX(Radicals!$D$2:$D$215,MATCH(C2497,Radicals!$A$2:$A$215,0))</f>
        <v>8</v>
      </c>
      <c r="G2497" s="8" t="n">
        <v>10</v>
      </c>
    </row>
    <row r="2498" customFormat="false" ht="17.35" hidden="false" customHeight="false" outlineLevel="0" collapsed="false">
      <c r="A2498" s="8" t="n">
        <v>2497</v>
      </c>
      <c r="B2498" s="9" t="s">
        <v>3457</v>
      </c>
      <c r="C2498" s="8" t="n">
        <v>57</v>
      </c>
      <c r="D2498" s="9" t="str">
        <f aca="false">INDEX(Radicals!$B$2:$B$215,MATCH(C2498,Radicals!$A$2:$A$215,0))</f>
        <v>弓</v>
      </c>
      <c r="E2498" s="10" t="str">
        <f aca="false">INDEX(Radicals!$G$2:$G$215,MATCH(C2498,Radicals!$A$2:$A$215,0))</f>
        <v>bow</v>
      </c>
      <c r="F2498" s="8" t="n">
        <f aca="false">INDEX(Radicals!$D$2:$D$215,MATCH(C2498,Radicals!$A$2:$A$215,0))</f>
        <v>3</v>
      </c>
      <c r="G2498" s="8" t="n">
        <v>6</v>
      </c>
    </row>
    <row r="2499" customFormat="false" ht="17.35" hidden="false" customHeight="false" outlineLevel="0" collapsed="false">
      <c r="A2499" s="8" t="n">
        <v>2498</v>
      </c>
      <c r="B2499" s="9" t="s">
        <v>3458</v>
      </c>
      <c r="C2499" s="8" t="n">
        <v>94</v>
      </c>
      <c r="D2499" s="9" t="str">
        <f aca="false">INDEX(Radicals!$B$2:$B$215,MATCH(C2499,Radicals!$A$2:$A$215,0))</f>
        <v>犬</v>
      </c>
      <c r="E2499" s="10" t="str">
        <f aca="false">INDEX(Radicals!$G$2:$G$215,MATCH(C2499,Radicals!$A$2:$A$215,0))</f>
        <v>dog</v>
      </c>
      <c r="F2499" s="8" t="n">
        <f aca="false">INDEX(Radicals!$D$2:$D$215,MATCH(C2499,Radicals!$A$2:$A$215,0))</f>
        <v>4</v>
      </c>
      <c r="G2499" s="8" t="n">
        <v>10</v>
      </c>
    </row>
    <row r="2500" customFormat="false" ht="17.35" hidden="false" customHeight="false" outlineLevel="0" collapsed="false">
      <c r="A2500" s="8" t="n">
        <v>2499</v>
      </c>
      <c r="B2500" s="9" t="s">
        <v>3459</v>
      </c>
      <c r="C2500" s="8" t="n">
        <v>33</v>
      </c>
      <c r="D2500" s="9" t="str">
        <f aca="false">INDEX(Radicals!$B$2:$B$215,MATCH(C2500,Radicals!$A$2:$A$215,0))</f>
        <v>士</v>
      </c>
      <c r="E2500" s="10" t="str">
        <f aca="false">INDEX(Radicals!$G$2:$G$215,MATCH(C2500,Radicals!$A$2:$A$215,0))</f>
        <v>scholar, samurai</v>
      </c>
      <c r="F2500" s="8" t="n">
        <f aca="false">INDEX(Radicals!$D$2:$D$215,MATCH(C2500,Radicals!$A$2:$A$215,0))</f>
        <v>3</v>
      </c>
      <c r="G2500" s="8" t="n">
        <v>4</v>
      </c>
    </row>
    <row r="2501" customFormat="false" ht="17.35" hidden="false" customHeight="false" outlineLevel="0" collapsed="false">
      <c r="A2501" s="8" t="n">
        <v>2500</v>
      </c>
      <c r="B2501" s="9" t="s">
        <v>3460</v>
      </c>
      <c r="C2501" s="8" t="n">
        <v>112</v>
      </c>
      <c r="D2501" s="9" t="str">
        <f aca="false">INDEX(Radicals!$B$2:$B$215,MATCH(C2501,Radicals!$A$2:$A$215,0))</f>
        <v>石</v>
      </c>
      <c r="E2501" s="10" t="str">
        <f aca="false">INDEX(Radicals!$G$2:$G$215,MATCH(C2501,Radicals!$A$2:$A$215,0))</f>
        <v>stone</v>
      </c>
      <c r="F2501" s="8" t="n">
        <f aca="false">INDEX(Radicals!$D$2:$D$215,MATCH(C2501,Radicals!$A$2:$A$215,0))</f>
        <v>5</v>
      </c>
      <c r="G2501" s="8" t="n">
        <v>12</v>
      </c>
    </row>
    <row r="2502" customFormat="false" ht="17.35" hidden="false" customHeight="false" outlineLevel="0" collapsed="false">
      <c r="A2502" s="8" t="n">
        <v>2501</v>
      </c>
      <c r="B2502" s="9" t="s">
        <v>3461</v>
      </c>
      <c r="C2502" s="8" t="n">
        <v>142</v>
      </c>
      <c r="D2502" s="9" t="str">
        <f aca="false">INDEX(Radicals!$B$2:$B$215,MATCH(C2502,Radicals!$A$2:$A$215,0))</f>
        <v>虫</v>
      </c>
      <c r="E2502" s="10" t="str">
        <f aca="false">INDEX(Radicals!$G$2:$G$215,MATCH(C2502,Radicals!$A$2:$A$215,0))</f>
        <v>insect</v>
      </c>
      <c r="F2502" s="8" t="n">
        <f aca="false">INDEX(Radicals!$D$2:$D$215,MATCH(C2502,Radicals!$A$2:$A$215,0))</f>
        <v>6</v>
      </c>
      <c r="G2502" s="8" t="n">
        <v>15</v>
      </c>
    </row>
  </sheetData>
  <autoFilter ref="A1:G250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1" t="s">
        <v>3462</v>
      </c>
    </row>
    <row r="2" customFormat="false" ht="26.85" hidden="false" customHeight="false" outlineLevel="0" collapsed="false">
      <c r="A2" s="12" t="s">
        <v>3463</v>
      </c>
    </row>
    <row r="3" customFormat="false" ht="26.85" hidden="false" customHeight="false" outlineLevel="0" collapsed="false">
      <c r="A3" s="12" t="s">
        <v>3464</v>
      </c>
    </row>
    <row r="4" customFormat="false" ht="29.85" hidden="false" customHeight="false" outlineLevel="0" collapsed="false">
      <c r="A4" s="12" t="s">
        <v>3465</v>
      </c>
    </row>
    <row r="5" customFormat="false" ht="26.85" hidden="false" customHeight="false" outlineLevel="0" collapsed="false">
      <c r="A5" s="12" t="s">
        <v>3466</v>
      </c>
    </row>
    <row r="6" customFormat="false" ht="15" hidden="false" customHeight="false" outlineLevel="0" collapsed="false">
      <c r="A6" s="12" t="s">
        <v>3467</v>
      </c>
    </row>
    <row r="7" customFormat="false" ht="26.85" hidden="false" customHeight="false" outlineLevel="0" collapsed="false">
      <c r="A7" s="12" t="s">
        <v>3468</v>
      </c>
    </row>
    <row r="8" customFormat="false" ht="17.15" hidden="false" customHeight="false" outlineLevel="0" collapsed="false">
      <c r="A8" s="12" t="s">
        <v>3469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2026-10-30T03:45:37Z</dcterms:created>
  <dc:creator>openpyxl</dc:creator>
  <dc:description/>
  <dc:language>en-US</dc:language>
  <cp:lastModifiedBy/>
  <dcterms:modified xsi:type="dcterms:W3CDTF">2026-10-30T03:45:39Z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